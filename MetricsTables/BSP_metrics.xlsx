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škola\Bp\"/>
    </mc:Choice>
  </mc:AlternateContent>
  <xr:revisionPtr revIDLastSave="0" documentId="13_ncr:1_{C761E3B3-748D-4FB5-BE63-9419C6DDD793}" xr6:coauthVersionLast="47" xr6:coauthVersionMax="47" xr10:uidLastSave="{00000000-0000-0000-0000-000000000000}"/>
  <bookViews>
    <workbookView xWindow="-120" yWindow="-120" windowWidth="29040" windowHeight="15840" tabRatio="868" activeTab="5" xr2:uid="{9C48D6C5-B304-4CA8-B5A2-32036611014C}"/>
  </bookViews>
  <sheets>
    <sheet name="BSP_depth2_room5_padding2" sheetId="3" r:id="rId1"/>
    <sheet name="BSP_depth10_room5_padding2" sheetId="2" r:id="rId2"/>
    <sheet name="BSP_depth20_room5_padding2" sheetId="4" r:id="rId3"/>
    <sheet name="BSP_depth2_room10_padding2" sheetId="5" r:id="rId4"/>
    <sheet name="BSP_depth10_room10_padding2" sheetId="7" r:id="rId5"/>
    <sheet name="BSP_depth20_room10_padding2" sheetId="6" r:id="rId6"/>
    <sheet name="Souhrn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2" i="6" l="1"/>
  <c r="J52" i="6"/>
  <c r="I52" i="6"/>
  <c r="F52" i="6"/>
  <c r="D52" i="6"/>
  <c r="C52" i="6"/>
  <c r="H52" i="4"/>
  <c r="G52" i="4"/>
  <c r="F52" i="4"/>
  <c r="E52" i="4"/>
  <c r="J7" i="1"/>
  <c r="H7" i="1"/>
  <c r="G7" i="1"/>
  <c r="I7" i="1"/>
  <c r="F7" i="1"/>
  <c r="E7" i="1"/>
  <c r="D7" i="1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J8" i="1"/>
  <c r="I8" i="1"/>
  <c r="H8" i="1"/>
  <c r="G8" i="1"/>
  <c r="F8" i="1"/>
  <c r="E8" i="1"/>
  <c r="D8" i="1"/>
  <c r="J5" i="1"/>
  <c r="I5" i="1"/>
  <c r="H5" i="1"/>
  <c r="G5" i="1"/>
  <c r="F5" i="1"/>
  <c r="E5" i="1"/>
  <c r="D5" i="1"/>
  <c r="J6" i="1"/>
  <c r="I6" i="1"/>
  <c r="H6" i="1"/>
  <c r="G6" i="1"/>
  <c r="F6" i="1"/>
  <c r="E6" i="1"/>
  <c r="D6" i="1"/>
  <c r="J3" i="1"/>
  <c r="I3" i="1"/>
  <c r="H3" i="1"/>
  <c r="G3" i="1"/>
  <c r="F3" i="1"/>
  <c r="E3" i="1"/>
  <c r="D3" i="1"/>
  <c r="J4" i="1"/>
  <c r="I4" i="1"/>
  <c r="H4" i="1"/>
  <c r="G4" i="1"/>
  <c r="F4" i="1"/>
  <c r="E4" i="1"/>
  <c r="D4" i="1"/>
  <c r="P52" i="6"/>
  <c r="N52" i="6"/>
  <c r="M52" i="6"/>
  <c r="L52" i="6"/>
  <c r="K52" i="6"/>
  <c r="H52" i="6"/>
  <c r="G52" i="6"/>
  <c r="E52" i="6"/>
  <c r="P52" i="4"/>
  <c r="O52" i="4"/>
  <c r="N52" i="4"/>
  <c r="M52" i="4"/>
  <c r="L52" i="4"/>
  <c r="K52" i="4"/>
  <c r="J52" i="4"/>
  <c r="I52" i="4"/>
  <c r="D52" i="4"/>
  <c r="C52" i="4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</calcChain>
</file>

<file path=xl/sharedStrings.xml><?xml version="1.0" encoding="utf-8"?>
<sst xmlns="http://schemas.openxmlformats.org/spreadsheetml/2006/main" count="420" uniqueCount="37">
  <si>
    <t>algorithm</t>
  </si>
  <si>
    <t>seed</t>
  </si>
  <si>
    <t>floors</t>
  </si>
  <si>
    <t>walls</t>
  </si>
  <si>
    <t>floor_percent</t>
  </si>
  <si>
    <t>wall_percent</t>
  </si>
  <si>
    <t>longest_shortest_path</t>
  </si>
  <si>
    <t>component_count</t>
  </si>
  <si>
    <t>max_component_size</t>
  </si>
  <si>
    <t>connectivity_ratio</t>
  </si>
  <si>
    <t>room_count</t>
  </si>
  <si>
    <t>avg_room_size</t>
  </si>
  <si>
    <t>max_room_size</t>
  </si>
  <si>
    <t>min_room_size</t>
  </si>
  <si>
    <t>room_tiles</t>
  </si>
  <si>
    <t>room_ratio</t>
  </si>
  <si>
    <t>DungeonGeneratorBSP</t>
  </si>
  <si>
    <t>Průměr:</t>
  </si>
  <si>
    <t>Hodnoty parametrů</t>
  </si>
  <si>
    <t>Max Depth</t>
  </si>
  <si>
    <t>Min Room Size</t>
  </si>
  <si>
    <t>Padding</t>
  </si>
  <si>
    <t>Nejdelší cesta</t>
  </si>
  <si>
    <t>Průměrná velikost místnosti</t>
  </si>
  <si>
    <t>Maximální velikost místnosti</t>
  </si>
  <si>
    <t>Minimální velikost místnosti</t>
  </si>
  <si>
    <t>Počet místností</t>
  </si>
  <si>
    <t>Poměr místností</t>
  </si>
  <si>
    <t>Průměrné hodnoty z 50 generovaných dungeonů</t>
  </si>
  <si>
    <t>Podíl podlah</t>
  </si>
  <si>
    <t>Průměr</t>
  </si>
  <si>
    <t>Hodnoty parametrů: Max depth = 2, Min room size = 5, padding = 2</t>
  </si>
  <si>
    <t>Hodnoty parametrů: Max depth = 10, Min room size = 5, padding = 2</t>
  </si>
  <si>
    <t>Hodnoty parametrů: Max depth = 20, Min room size = 5, padding = 2</t>
  </si>
  <si>
    <t>Hodnoty parametrů: Max depth = 2, Min room size = 10, padding = 2</t>
  </si>
  <si>
    <t>Hodnoty parametrů: Max depth = 10, Min room size = 10, padding = 2</t>
  </si>
  <si>
    <t>Hodnoty parametrů: Max depth = 20, Min room size = 10, padding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</si>
</sst>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0" fontId="0" fillId="0" borderId="0" xfId="0" applyNumberFormat="1"/>
    <xf numFmtId="9" fontId="0" fillId="0" borderId="0" xfId="1" applyFont="1"/>
    <xf numFmtId="9" fontId="0" fillId="0" borderId="0" xfId="0" applyNumberFormat="1"/>
    <xf numFmtId="9" fontId="2" fillId="0" borderId="1" xfId="1" applyFont="1" applyBorder="1"/>
    <xf numFmtId="0" fontId="2" fillId="0" borderId="1" xfId="0" applyFont="1" applyBorder="1"/>
    <xf numFmtId="9" fontId="2" fillId="0" borderId="1" xfId="0" applyNumberFormat="1" applyFont="1" applyBorder="1"/>
    <xf numFmtId="10" fontId="2" fillId="0" borderId="1" xfId="0" applyNumberFormat="1" applyFont="1" applyBorder="1"/>
    <xf numFmtId="0" fontId="2" fillId="0" borderId="2" xfId="0" applyFont="1" applyBorder="1"/>
    <xf numFmtId="9" fontId="2" fillId="0" borderId="2" xfId="1" applyFont="1" applyBorder="1"/>
    <xf numFmtId="0" fontId="2" fillId="0" borderId="3" xfId="0" applyFont="1" applyBorder="1"/>
    <xf numFmtId="0" fontId="3" fillId="0" borderId="0" xfId="0" applyFont="1"/>
    <xf numFmtId="0" fontId="4" fillId="0" borderId="0" xfId="0" applyFont="1"/>
    <xf numFmtId="0" fontId="2" fillId="0" borderId="0" xfId="0" applyFont="1"/>
    <xf numFmtId="0" fontId="4" fillId="0" borderId="4" xfId="0" applyFont="1" applyBorder="1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0" xfId="1" applyNumberFormat="1" applyFont="1"/>
  </cellXfs>
  <cellStyles count="2">
    <cellStyle name="Normální" xfId="0" builtinId="0"/>
    <cellStyle name="Procenta" xfId="1" builtinId="5"/>
  </cellStyles>
  <dxfs count="5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numFmt numFmtId="30" formatCode="@"/>
    </dxf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13" formatCode="0%"/>
    </dxf>
    <dxf>
      <numFmt numFmtId="30" formatCode="@"/>
    </dxf>
    <dxf>
      <numFmt numFmtId="30" formatCode="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0" formatCode="@"/>
    </dxf>
    <dxf>
      <numFmt numFmtId="30" formatCode="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F1B58A-9A6A-4955-B3A4-F59A3FA7E95B}" name="BSP_depth2_room5_padding2" displayName="BSP_depth2_room5_padding2" ref="A1:P52" totalsRowCount="1">
  <autoFilter ref="A1:P51" xr:uid="{00F1B58A-9A6A-4955-B3A4-F59A3FA7E95B}"/>
  <tableColumns count="16">
    <tableColumn id="1" xr3:uid="{7FC4D7D7-489F-4ACC-8A08-7B132E5C80DF}" name="algorithm" totalsRowLabel="Průměr" dataDxfId="49"/>
    <tableColumn id="2" xr3:uid="{5B6500EB-53FA-4E2C-B36E-000C06EEB0BF}" name="seed" dataDxfId="48" totalsRowDxfId="47"/>
    <tableColumn id="3" xr3:uid="{EB1E76FE-FBC4-47EE-928E-0DF5B2A8E271}" name="floors" totalsRowFunction="average"/>
    <tableColumn id="4" xr3:uid="{D3596E13-CC17-40C9-B933-47F0E638B07B}" name="walls" totalsRowFunction="average"/>
    <tableColumn id="5" xr3:uid="{01C6411E-803B-4AB1-9D1A-D16D677B3CC1}" name="floor_percent" totalsRowFunction="average" totalsRowDxfId="46" dataCellStyle="Procenta" totalsRowCellStyle="Procenta"/>
    <tableColumn id="6" xr3:uid="{FC1B4F9C-B754-4975-AC93-D0F3A5050DF6}" name="wall_percent" totalsRowFunction="average" totalsRowDxfId="45" dataCellStyle="Procenta" totalsRowCellStyle="Procenta"/>
    <tableColumn id="7" xr3:uid="{B6779031-80B8-44EE-9721-028A72395CB8}" name="longest_shortest_path" totalsRowFunction="average"/>
    <tableColumn id="8" xr3:uid="{E9953131-EC63-4FF6-8D0D-3083E8A7F2CB}" name="component_count" totalsRowFunction="average"/>
    <tableColumn id="9" xr3:uid="{316C836C-151D-48AD-86B6-31C1E888EB10}" name="max_component_size" totalsRowFunction="average"/>
    <tableColumn id="10" xr3:uid="{1828B12D-F04C-496F-A57A-639E2B557729}" name="connectivity_ratio" totalsRowFunction="average" dataDxfId="11" totalsRowDxfId="10" dataCellStyle="Procenta" totalsRowCellStyle="Procenta"/>
    <tableColumn id="11" xr3:uid="{86CF3B08-0044-4531-8E67-90DCF4173925}" name="room_count" totalsRowFunction="average"/>
    <tableColumn id="12" xr3:uid="{3EF7A492-FB26-4BA8-BC11-859957354EC1}" name="avg_room_size" totalsRowFunction="average" dataDxfId="44"/>
    <tableColumn id="13" xr3:uid="{1A46FB0F-8C53-4F1D-9895-8B45FE6100F0}" name="max_room_size" totalsRowFunction="average"/>
    <tableColumn id="14" xr3:uid="{5D82B429-3751-43AF-9DE1-3332E7F0CB0A}" name="min_room_size" totalsRowFunction="average"/>
    <tableColumn id="15" xr3:uid="{836BDA32-DF0C-498A-8293-AB6ADCDE7C14}" name="room_tiles" totalsRowFunction="average"/>
    <tableColumn id="16" xr3:uid="{5CC08777-C270-42EC-9711-33EBC34DF028}" name="room_ratio" totalsRowFunction="average" totalsRowDxfId="43" dataCellStyle="Procenta" totalsRowCellStyle="Procent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2DEEAD-1B2E-4BDD-9181-D0724AB967C3}" name="BSP_depth10_room5_padding2" displayName="BSP_depth10_room5_padding2" ref="A1:P52" totalsRowCount="1">
  <autoFilter ref="A1:P51" xr:uid="{612DEEAD-1B2E-4BDD-9181-D0724AB967C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3DB76203-49E8-4DF9-BFC6-E394BD3FC891}" name="algorithm" totalsRowLabel="Průměr:" dataDxfId="42" totalsRowDxfId="41"/>
    <tableColumn id="2" xr3:uid="{E5E13C21-294B-4D10-AF38-8C128E95F58C}" name="seed" dataDxfId="40" totalsRowDxfId="39"/>
    <tableColumn id="3" xr3:uid="{6DBCAE3E-7B1C-44B4-B5F1-C81CD8308879}" name="floors" totalsRowFunction="average"/>
    <tableColumn id="4" xr3:uid="{0093AC3F-1B5D-4418-9660-C476B5532FF1}" name="walls" totalsRowFunction="average"/>
    <tableColumn id="5" xr3:uid="{6B86C9CA-89D6-4944-AB98-75025B7031F0}" name="floor_percent" totalsRowFunction="average" totalsRowDxfId="38" dataCellStyle="Procenta" totalsRowCellStyle="Procenta"/>
    <tableColumn id="6" xr3:uid="{FE1F01EC-783D-46E6-893A-B6B6F6BA739F}" name="wall_percent" totalsRowFunction="average" totalsRowDxfId="37" dataCellStyle="Procenta" totalsRowCellStyle="Procenta"/>
    <tableColumn id="7" xr3:uid="{3BDADDB3-CC95-4640-9F67-CC530A151ED1}" name="longest_shortest_path" totalsRowFunction="average"/>
    <tableColumn id="8" xr3:uid="{41456A7D-0055-4D7D-ABE3-579AC3A09BA3}" name="component_count" totalsRowFunction="average"/>
    <tableColumn id="9" xr3:uid="{31321A34-68EA-4A75-8833-F34751A1049F}" name="max_component_size" totalsRowFunction="average"/>
    <tableColumn id="10" xr3:uid="{6295F27E-CCCB-4B1B-853D-0A6F1A13B0F1}" name="connectivity_ratio" totalsRowFunction="average" dataDxfId="9" totalsRowDxfId="8" dataCellStyle="Procenta" totalsRowCellStyle="Procenta"/>
    <tableColumn id="11" xr3:uid="{AE462C8B-834D-4B7E-923C-ADBD37D76D53}" name="room_count" totalsRowFunction="average"/>
    <tableColumn id="12" xr3:uid="{60AF5228-5D3F-41A5-A314-18DF4DCD4150}" name="avg_room_size" totalsRowFunction="average" dataDxfId="36" totalsRowDxfId="35"/>
    <tableColumn id="13" xr3:uid="{F0DEA061-1751-4249-BFDB-24E58E44709D}" name="max_room_size" totalsRowFunction="average"/>
    <tableColumn id="14" xr3:uid="{19281F5D-A35A-4882-AE33-B3A1EB4BF6C6}" name="min_room_size" totalsRowFunction="average"/>
    <tableColumn id="15" xr3:uid="{BF15F993-DAE7-4CD7-AD09-2A79CBF6B000}" name="room_tiles" totalsRowFunction="average"/>
    <tableColumn id="16" xr3:uid="{81C81019-B4BD-4A1B-A4AE-F05EDA0C760F}" name="room_ratio" totalsRowFunction="average" totalsRowDxfId="34" dataCellStyle="Procenta" totalsRowCellStyle="Procenta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F54F05-113F-4026-9303-27D4EF87B6B5}" name="BSP_depth20_room5_padding2" displayName="BSP_depth20_room5_padding2" ref="A1:P52" totalsRowCount="1">
  <autoFilter ref="A1:P51" xr:uid="{33F54F05-113F-4026-9303-27D4EF87B6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F32BC877-5AF2-4770-9430-CA8C454FD1EE}" name="algorithm" totalsRowLabel="Průměr" dataDxfId="33"/>
    <tableColumn id="2" xr3:uid="{1A5E9902-BB7E-43DB-AED4-CCD5AA5847D5}" name="seed" dataDxfId="32" totalsRowDxfId="31"/>
    <tableColumn id="3" xr3:uid="{0A97A4F8-88F7-4E8A-9F44-DCD05722A5B6}" name="floors" totalsRowFunction="average"/>
    <tableColumn id="4" xr3:uid="{27F378E8-637E-4201-B5D7-E755305238AC}" name="walls" totalsRowFunction="average"/>
    <tableColumn id="5" xr3:uid="{CFF50D4D-CCDA-4806-8E01-4B6FBFB3DECB}" name="floor_percent" totalsRowFunction="average" dataDxfId="30" totalsRowDxfId="29"/>
    <tableColumn id="6" xr3:uid="{5B711A41-9FCC-4C74-83D2-4D59B32E7570}" name="wall_percent" totalsRowFunction="average" dataDxfId="28" totalsRowDxfId="27"/>
    <tableColumn id="7" xr3:uid="{B60B8A35-13CB-41BC-A6BF-848FF40B4FE5}" name="longest_shortest_path" totalsRowFunction="average"/>
    <tableColumn id="8" xr3:uid="{FD2E8DDF-3118-43A3-B1C3-9331DA8E6810}" name="component_count" totalsRowFunction="average"/>
    <tableColumn id="9" xr3:uid="{66EA0CC0-79B8-4343-949D-E7F0810EBC42}" name="max_component_size" totalsRowFunction="average"/>
    <tableColumn id="10" xr3:uid="{CC2D5498-5436-4CA3-ADB6-A11AA68884CD}" name="connectivity_ratio" totalsRowFunction="average" dataDxfId="7" totalsRowDxfId="6" dataCellStyle="Procenta" totalsRowCellStyle="Procenta"/>
    <tableColumn id="11" xr3:uid="{86C74737-6D25-4D06-9566-6F1AA3364657}" name="room_count" totalsRowFunction="average"/>
    <tableColumn id="12" xr3:uid="{790C54A8-1FF1-4227-A071-929E4207172C}" name="avg_room_size" totalsRowFunction="average" dataDxfId="26"/>
    <tableColumn id="13" xr3:uid="{7D0A82F6-DDCD-4736-A018-0DDFF11F683D}" name="max_room_size" totalsRowFunction="average"/>
    <tableColumn id="14" xr3:uid="{8E7F58AA-AD3C-41E4-90FF-84478228A62E}" name="min_room_size" totalsRowFunction="average"/>
    <tableColumn id="15" xr3:uid="{82666C69-7DD5-4B41-9223-DC8555E8621B}" name="room_tiles" totalsRowFunction="average"/>
    <tableColumn id="16" xr3:uid="{EF798B8A-C9A6-489F-9D21-FA0D0AAE30A7}" name="room_ratio" totalsRowFunction="average" totalsRowDxfId="25" dataCellStyle="Procenta" totalsRowCellStyle="Procenta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CF5966-CD08-4D82-A37F-B113BA856397}" name="BSP_depth2_room10_padding2" displayName="BSP_depth2_room10_padding2" ref="A1:P52" totalsRowCount="1">
  <autoFilter ref="A1:P51" xr:uid="{FECF5966-CD08-4D82-A37F-B113BA856397}"/>
  <tableColumns count="16">
    <tableColumn id="1" xr3:uid="{6E24F566-40BC-49B0-9732-EF59523344E4}" name="algorithm" totalsRowLabel="Průměr" dataDxfId="24"/>
    <tableColumn id="2" xr3:uid="{F7B83291-28B7-4675-89CF-3AA5CE47C5E4}" name="seed" dataDxfId="23" totalsRowDxfId="22"/>
    <tableColumn id="3" xr3:uid="{DFFA55C6-0932-4141-8BD7-3BA6235C270D}" name="floors" totalsRowFunction="average"/>
    <tableColumn id="4" xr3:uid="{F070A84D-0E59-4407-9265-DAF8590624E4}" name="walls" totalsRowFunction="average"/>
    <tableColumn id="5" xr3:uid="{D445D566-7D6D-4EDF-BFFA-9569D2351786}" name="floor_percent" totalsRowFunction="average" totalsRowDxfId="21" dataCellStyle="Procenta"/>
    <tableColumn id="6" xr3:uid="{1A12C461-EB7D-491D-9E14-48558B586A05}" name="wall_percent" totalsRowFunction="average" totalsRowDxfId="20" dataCellStyle="Procenta"/>
    <tableColumn id="7" xr3:uid="{63C2DABB-3CA1-487B-B3DE-5E94AB3C7130}" name="longest_shortest_path" totalsRowFunction="average"/>
    <tableColumn id="8" xr3:uid="{3CFC2B54-7606-4487-800B-21F4AD0CEC3A}" name="component_count" totalsRowFunction="average"/>
    <tableColumn id="9" xr3:uid="{B02FBC0A-6957-450C-AA7C-90125123E111}" name="max_component_size" totalsRowFunction="average"/>
    <tableColumn id="10" xr3:uid="{394D006D-3AF9-42AC-B23A-B4D41BE65289}" name="connectivity_ratio" totalsRowFunction="average" dataDxfId="5" totalsRowDxfId="4" dataCellStyle="Procenta" totalsRowCellStyle="Procenta"/>
    <tableColumn id="11" xr3:uid="{4FB4CB08-01BC-4426-92F1-81689E155CB7}" name="room_count" totalsRowFunction="average"/>
    <tableColumn id="12" xr3:uid="{6E068481-AAD1-46AC-9CA3-29413636EA91}" name="avg_room_size" totalsRowFunction="average" dataDxfId="19"/>
    <tableColumn id="13" xr3:uid="{5EC3D9D1-D448-4B73-9ADD-24DD97B61CBA}" name="max_room_size" totalsRowFunction="average"/>
    <tableColumn id="14" xr3:uid="{FD7E25D5-F1BA-4EDB-B02A-DEF7FE54B676}" name="min_room_size" totalsRowFunction="average"/>
    <tableColumn id="15" xr3:uid="{CE039EE7-365E-44E0-93A3-5DC6FEBC29DE}" name="room_tiles" totalsRowFunction="average"/>
    <tableColumn id="16" xr3:uid="{5917C881-DBF8-42EA-B3E4-A192EEBCB419}" name="room_ratio" totalsRowFunction="average" totalsRowDxfId="18" dataCellStyle="Procenta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DCAE4D-57BE-4295-8F44-62AF9E7FD4FA}" name="BSP_depth10_room10_padding2" displayName="BSP_depth10_room10_padding2" ref="A1:P52" totalsRowCount="1">
  <autoFilter ref="A1:P51" xr:uid="{E6DCAE4D-57BE-4295-8F44-62AF9E7FD4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DB191CF7-C692-44DF-BC77-39890AF8452F}" name="algorithm" totalsRowLabel="Průměr" dataDxfId="17"/>
    <tableColumn id="2" xr3:uid="{E107C808-3319-4C84-A6CA-3091EF56CB5C}" name="seed" dataDxfId="16"/>
    <tableColumn id="3" xr3:uid="{E1FF551A-7A34-4D02-A030-4D1EAE62EA27}" name="floors" totalsRowFunction="average"/>
    <tableColumn id="4" xr3:uid="{CBDEDC03-5B42-47F2-91EA-6C61EA1AB865}" name="walls" totalsRowFunction="average"/>
    <tableColumn id="5" xr3:uid="{81351983-26B0-4530-B0B9-2D0EB16AF4AF}" name="floor_percent" totalsRowFunction="average" totalsRowDxfId="15" dataCellStyle="Procenta" totalsRowCellStyle="Procenta"/>
    <tableColumn id="6" xr3:uid="{615BFCF7-23A6-499E-8A12-CEB270CF1CEE}" name="wall_percent" totalsRowFunction="average" totalsRowDxfId="14" dataCellStyle="Procenta" totalsRowCellStyle="Procenta"/>
    <tableColumn id="7" xr3:uid="{78AC4761-2D9B-44D6-8E95-D0753D0D0B27}" name="longest_shortest_path" totalsRowFunction="average"/>
    <tableColumn id="8" xr3:uid="{36F8898D-BAE0-404A-BB8D-F49CFB609D2C}" name="component_count" totalsRowFunction="average"/>
    <tableColumn id="9" xr3:uid="{9FABE691-BAA9-4125-A51B-F4F6E79FA647}" name="max_component_size" totalsRowFunction="average"/>
    <tableColumn id="10" xr3:uid="{48ED1233-1C9B-4357-816B-7C2E70666DC3}" name="connectivity_ratio" totalsRowFunction="average" dataDxfId="3" totalsRowDxfId="2" dataCellStyle="Procenta" totalsRowCellStyle="Procenta"/>
    <tableColumn id="11" xr3:uid="{131862BB-0932-4428-BCF3-64A6F07DEB51}" name="room_count" totalsRowFunction="average"/>
    <tableColumn id="12" xr3:uid="{B831F05B-597C-4B5B-8765-64A2E8B6D753}" name="avg_room_size" totalsRowFunction="average" dataDxfId="13"/>
    <tableColumn id="13" xr3:uid="{93601FCE-B1C1-41D8-9122-CA3BE9E206DE}" name="max_room_size" totalsRowFunction="average"/>
    <tableColumn id="14" xr3:uid="{087F687A-F9FC-4C3E-B49F-49EDBE64F65F}" name="min_room_size" totalsRowFunction="average"/>
    <tableColumn id="15" xr3:uid="{B7DF63B4-BC27-435D-9C97-0B2595F7312A}" name="room_tiles" totalsRowFunction="average"/>
    <tableColumn id="16" xr3:uid="{E5ED9FC3-D538-44B0-84E6-BBA2C3114D35}" name="room_ratio" totalsRowFunction="average" totalsRowDxfId="12" dataCellStyle="Procenta" totalsRowCellStyle="Procenta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1FA74E-2B3B-4EA9-920E-219AC4F155DA}" name="BSP_depth20_room10_padding2" displayName="BSP_depth20_room10_padding2" ref="A1:P52" totalsRowCount="1">
  <autoFilter ref="A1:P51" xr:uid="{291FA74E-2B3B-4EA9-920E-219AC4F155DA}"/>
  <tableColumns count="16">
    <tableColumn id="1" xr3:uid="{C2C0B197-F60A-4311-AE02-520E06B57574}" name="algorithm" totalsRowLabel="Průměr" dataDxfId="54"/>
    <tableColumn id="2" xr3:uid="{CDD3AAB4-CDEA-4F4E-8897-7EE154BF4DBF}" name="seed" dataDxfId="53"/>
    <tableColumn id="3" xr3:uid="{1E5A63A5-C58C-4123-A18D-C80A2F5C18E7}" name="floors" totalsRowFunction="average"/>
    <tableColumn id="4" xr3:uid="{F6B1D89E-0F53-4993-8EC9-999F8D3ED0CA}" name="walls" totalsRowFunction="average"/>
    <tableColumn id="5" xr3:uid="{F7FC9CBD-6BDA-4637-B9C5-5BC6360BB5C5}" name="floor_percent" totalsRowFunction="average" totalsRowDxfId="52" dataCellStyle="Procenta"/>
    <tableColumn id="6" xr3:uid="{2C598AF7-E23E-440A-909B-F84031CBB2A8}" name="wall_percent" totalsRowFunction="average" dataCellStyle="Procenta"/>
    <tableColumn id="7" xr3:uid="{51628501-9FEC-436B-8CEB-3C699494A347}" name="longest_shortest_path" totalsRowFunction="average"/>
    <tableColumn id="8" xr3:uid="{3BD380C1-4421-4E6A-93BD-9BCC8942D226}" name="component_count" totalsRowFunction="average"/>
    <tableColumn id="9" xr3:uid="{844ACFC2-8327-42EB-A39B-B15F5C3CD04C}" name="max_component_size" totalsRowFunction="average"/>
    <tableColumn id="10" xr3:uid="{4C30660C-1E87-40F8-BCC1-0103EA65958C}" name="connectivity_ratio" totalsRowFunction="average" dataDxfId="1" totalsRowDxfId="0" dataCellStyle="Procenta" totalsRowCellStyle="Procenta"/>
    <tableColumn id="11" xr3:uid="{CE45D5A5-2627-4CAB-AA7C-E361E17B400D}" name="room_count" totalsRowFunction="average"/>
    <tableColumn id="12" xr3:uid="{A9E6A9EB-3E16-41D3-B463-2F26D7F94A8D}" name="avg_room_size" totalsRowFunction="average" dataDxfId="51"/>
    <tableColumn id="13" xr3:uid="{C7963656-7865-45A9-9975-E726056E83F6}" name="max_room_size" totalsRowFunction="average"/>
    <tableColumn id="14" xr3:uid="{87DAB516-CFAC-42D9-9257-9D0A88B93260}" name="min_room_size" totalsRowFunction="average"/>
    <tableColumn id="15" xr3:uid="{CB80D1D7-384C-4077-AA70-549F4CD98F43}" name="room_tiles" totalsRowFunction="average"/>
    <tableColumn id="16" xr3:uid="{CEECCCA2-4F7A-46A2-9185-B64A47464CB2}" name="room_ratio" totalsRowFunction="average" totalsRowDxfId="50" dataCellStyle="Procent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6F35-A8EE-4EEA-A511-E53EDDB4D482}">
  <dimension ref="A1:P53"/>
  <sheetViews>
    <sheetView workbookViewId="0">
      <selection activeCell="J1" sqref="J1:J1048576"/>
    </sheetView>
  </sheetViews>
  <sheetFormatPr defaultRowHeight="15" x14ac:dyDescent="0.25"/>
  <cols>
    <col min="1" max="1" width="21.140625" bestFit="1" customWidth="1"/>
    <col min="2" max="2" width="11" style="16" bestFit="1" customWidth="1"/>
    <col min="3" max="3" width="8.85546875" bestFit="1" customWidth="1"/>
    <col min="4" max="4" width="7.85546875" bestFit="1" customWidth="1"/>
    <col min="5" max="5" width="15.5703125" bestFit="1" customWidth="1"/>
    <col min="6" max="6" width="14.7109375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19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bestFit="1" customWidth="1"/>
  </cols>
  <sheetData>
    <row r="1" spans="1:16" x14ac:dyDescent="0.25">
      <c r="A1" t="s">
        <v>0</v>
      </c>
      <c r="B1" s="1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9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6">
        <v>1753992924</v>
      </c>
      <c r="C2">
        <v>958</v>
      </c>
      <c r="D2">
        <v>1542</v>
      </c>
      <c r="E2" s="2">
        <v>0.38319999999999999</v>
      </c>
      <c r="F2" s="2">
        <v>0.61680000000000001</v>
      </c>
      <c r="G2">
        <v>61</v>
      </c>
      <c r="H2">
        <v>1</v>
      </c>
      <c r="I2">
        <v>958</v>
      </c>
      <c r="J2" s="19">
        <v>1</v>
      </c>
      <c r="K2">
        <v>4</v>
      </c>
      <c r="L2">
        <v>230</v>
      </c>
      <c r="M2">
        <v>427</v>
      </c>
      <c r="N2">
        <v>76</v>
      </c>
      <c r="O2">
        <v>920</v>
      </c>
      <c r="P2" s="2">
        <v>0.96033400000000002</v>
      </c>
    </row>
    <row r="3" spans="1:16" x14ac:dyDescent="0.25">
      <c r="A3" t="s">
        <v>16</v>
      </c>
      <c r="B3" s="16">
        <v>10694024</v>
      </c>
      <c r="C3">
        <v>1001</v>
      </c>
      <c r="D3">
        <v>1499</v>
      </c>
      <c r="E3" s="2">
        <v>0.40039999999999998</v>
      </c>
      <c r="F3" s="2">
        <v>0.59960000000000002</v>
      </c>
      <c r="G3">
        <v>63</v>
      </c>
      <c r="H3">
        <v>1</v>
      </c>
      <c r="I3">
        <v>1001</v>
      </c>
      <c r="J3" s="19">
        <v>1</v>
      </c>
      <c r="K3">
        <v>4</v>
      </c>
      <c r="L3">
        <v>239.5</v>
      </c>
      <c r="M3">
        <v>496</v>
      </c>
      <c r="N3">
        <v>44</v>
      </c>
      <c r="O3">
        <v>958</v>
      </c>
      <c r="P3" s="2">
        <v>0.95704299999999998</v>
      </c>
    </row>
    <row r="4" spans="1:16" x14ac:dyDescent="0.25">
      <c r="A4" t="s">
        <v>16</v>
      </c>
      <c r="B4" s="16">
        <v>1621708424</v>
      </c>
      <c r="C4">
        <v>1031</v>
      </c>
      <c r="D4">
        <v>1469</v>
      </c>
      <c r="E4" s="2">
        <v>0.41239999999999999</v>
      </c>
      <c r="F4" s="2">
        <v>0.58760000000000001</v>
      </c>
      <c r="G4">
        <v>68</v>
      </c>
      <c r="H4">
        <v>1</v>
      </c>
      <c r="I4">
        <v>1031</v>
      </c>
      <c r="J4" s="19">
        <v>1</v>
      </c>
      <c r="K4">
        <v>4</v>
      </c>
      <c r="L4">
        <v>244.5</v>
      </c>
      <c r="M4">
        <v>373</v>
      </c>
      <c r="N4">
        <v>77</v>
      </c>
      <c r="O4">
        <v>978</v>
      </c>
      <c r="P4" s="2">
        <v>0.94859400000000005</v>
      </c>
    </row>
    <row r="5" spans="1:16" x14ac:dyDescent="0.25">
      <c r="A5" t="s">
        <v>16</v>
      </c>
      <c r="B5" s="16">
        <v>1417056088</v>
      </c>
      <c r="C5">
        <v>1131</v>
      </c>
      <c r="D5">
        <v>1369</v>
      </c>
      <c r="E5" s="2">
        <v>0.45240000000000002</v>
      </c>
      <c r="F5" s="2">
        <v>0.54759999999999998</v>
      </c>
      <c r="G5">
        <v>74</v>
      </c>
      <c r="H5">
        <v>1</v>
      </c>
      <c r="I5">
        <v>1131</v>
      </c>
      <c r="J5" s="19">
        <v>1</v>
      </c>
      <c r="K5">
        <v>4</v>
      </c>
      <c r="L5">
        <v>272.5</v>
      </c>
      <c r="M5">
        <v>642</v>
      </c>
      <c r="N5">
        <v>40</v>
      </c>
      <c r="O5">
        <v>1090</v>
      </c>
      <c r="P5" s="2">
        <v>0.96374899999999997</v>
      </c>
    </row>
    <row r="6" spans="1:16" x14ac:dyDescent="0.25">
      <c r="A6" t="s">
        <v>16</v>
      </c>
      <c r="B6" s="16">
        <v>1822781195</v>
      </c>
      <c r="C6">
        <v>967</v>
      </c>
      <c r="D6">
        <v>1533</v>
      </c>
      <c r="E6" s="2">
        <v>0.38679999999999998</v>
      </c>
      <c r="F6" s="2">
        <v>0.61319999999999997</v>
      </c>
      <c r="G6">
        <v>68</v>
      </c>
      <c r="H6">
        <v>1</v>
      </c>
      <c r="I6">
        <v>967</v>
      </c>
      <c r="J6" s="19">
        <v>1</v>
      </c>
      <c r="K6">
        <v>4</v>
      </c>
      <c r="L6">
        <v>223.75</v>
      </c>
      <c r="M6">
        <v>437</v>
      </c>
      <c r="N6">
        <v>106</v>
      </c>
      <c r="O6">
        <v>895</v>
      </c>
      <c r="P6" s="2">
        <v>0.925543</v>
      </c>
    </row>
    <row r="7" spans="1:16" x14ac:dyDescent="0.25">
      <c r="A7" t="s">
        <v>16</v>
      </c>
      <c r="B7" s="16">
        <v>2052242955</v>
      </c>
      <c r="C7">
        <v>1067</v>
      </c>
      <c r="D7">
        <v>1433</v>
      </c>
      <c r="E7" s="2">
        <v>0.42680000000000001</v>
      </c>
      <c r="F7" s="2">
        <v>0.57320000000000004</v>
      </c>
      <c r="G7">
        <v>83</v>
      </c>
      <c r="H7">
        <v>1</v>
      </c>
      <c r="I7">
        <v>1067</v>
      </c>
      <c r="J7" s="19">
        <v>1</v>
      </c>
      <c r="K7">
        <v>4</v>
      </c>
      <c r="L7">
        <v>256.75</v>
      </c>
      <c r="M7">
        <v>332</v>
      </c>
      <c r="N7">
        <v>150</v>
      </c>
      <c r="O7">
        <v>1027</v>
      </c>
      <c r="P7" s="2">
        <v>0.96251200000000003</v>
      </c>
    </row>
    <row r="8" spans="1:16" x14ac:dyDescent="0.25">
      <c r="A8" t="s">
        <v>16</v>
      </c>
      <c r="B8" s="16">
        <v>1126835433</v>
      </c>
      <c r="C8">
        <v>964</v>
      </c>
      <c r="D8">
        <v>1536</v>
      </c>
      <c r="E8" s="2">
        <v>0.3856</v>
      </c>
      <c r="F8" s="2">
        <v>0.61439999999999995</v>
      </c>
      <c r="G8">
        <v>87</v>
      </c>
      <c r="H8">
        <v>1</v>
      </c>
      <c r="I8">
        <v>964</v>
      </c>
      <c r="J8" s="19">
        <v>1</v>
      </c>
      <c r="K8">
        <v>4</v>
      </c>
      <c r="L8">
        <v>228</v>
      </c>
      <c r="M8">
        <v>320</v>
      </c>
      <c r="N8">
        <v>92</v>
      </c>
      <c r="O8">
        <v>912</v>
      </c>
      <c r="P8" s="2">
        <v>0.94605799999999995</v>
      </c>
    </row>
    <row r="9" spans="1:16" x14ac:dyDescent="0.25">
      <c r="A9" t="s">
        <v>16</v>
      </c>
      <c r="B9" s="16">
        <v>1328715558</v>
      </c>
      <c r="C9">
        <v>1023</v>
      </c>
      <c r="D9">
        <v>1477</v>
      </c>
      <c r="E9" s="2">
        <v>0.40920000000000001</v>
      </c>
      <c r="F9" s="2">
        <v>0.59079999999999999</v>
      </c>
      <c r="G9">
        <v>124</v>
      </c>
      <c r="H9">
        <v>1</v>
      </c>
      <c r="I9">
        <v>1023</v>
      </c>
      <c r="J9" s="19">
        <v>1</v>
      </c>
      <c r="K9">
        <v>4</v>
      </c>
      <c r="L9">
        <v>237</v>
      </c>
      <c r="M9">
        <v>647</v>
      </c>
      <c r="N9">
        <v>21</v>
      </c>
      <c r="O9">
        <v>948</v>
      </c>
      <c r="P9" s="2">
        <v>0.92668600000000001</v>
      </c>
    </row>
    <row r="10" spans="1:16" x14ac:dyDescent="0.25">
      <c r="A10" t="s">
        <v>16</v>
      </c>
      <c r="B10" s="16">
        <v>191037732</v>
      </c>
      <c r="C10">
        <v>1062</v>
      </c>
      <c r="D10">
        <v>1438</v>
      </c>
      <c r="E10" s="2">
        <v>0.42480000000000001</v>
      </c>
      <c r="F10" s="2">
        <v>0.57520000000000004</v>
      </c>
      <c r="G10">
        <v>74</v>
      </c>
      <c r="H10">
        <v>1</v>
      </c>
      <c r="I10">
        <v>1062</v>
      </c>
      <c r="J10" s="19">
        <v>1</v>
      </c>
      <c r="K10">
        <v>4</v>
      </c>
      <c r="L10">
        <v>254</v>
      </c>
      <c r="M10">
        <v>496</v>
      </c>
      <c r="N10">
        <v>136</v>
      </c>
      <c r="O10">
        <v>1016</v>
      </c>
      <c r="P10" s="2">
        <v>0.95668500000000001</v>
      </c>
    </row>
    <row r="11" spans="1:16" x14ac:dyDescent="0.25">
      <c r="A11" t="s">
        <v>16</v>
      </c>
      <c r="B11" s="16">
        <v>2092339551</v>
      </c>
      <c r="C11">
        <v>927</v>
      </c>
      <c r="D11">
        <v>1573</v>
      </c>
      <c r="E11" s="2">
        <v>0.37080000000000002</v>
      </c>
      <c r="F11" s="2">
        <v>0.62919999999999998</v>
      </c>
      <c r="G11">
        <v>84</v>
      </c>
      <c r="H11">
        <v>1</v>
      </c>
      <c r="I11">
        <v>927</v>
      </c>
      <c r="J11" s="19">
        <v>1</v>
      </c>
      <c r="K11">
        <v>4</v>
      </c>
      <c r="L11">
        <v>223</v>
      </c>
      <c r="M11">
        <v>396</v>
      </c>
      <c r="N11">
        <v>122</v>
      </c>
      <c r="O11">
        <v>892</v>
      </c>
      <c r="P11" s="2">
        <v>0.96224399999999999</v>
      </c>
    </row>
    <row r="12" spans="1:16" x14ac:dyDescent="0.25">
      <c r="A12" t="s">
        <v>16</v>
      </c>
      <c r="B12" s="16">
        <v>732672816</v>
      </c>
      <c r="C12">
        <v>1068</v>
      </c>
      <c r="D12">
        <v>1432</v>
      </c>
      <c r="E12" s="2">
        <v>0.42720000000000002</v>
      </c>
      <c r="F12" s="2">
        <v>0.57279999999999998</v>
      </c>
      <c r="G12">
        <v>69</v>
      </c>
      <c r="H12">
        <v>1</v>
      </c>
      <c r="I12">
        <v>1068</v>
      </c>
      <c r="J12" s="19">
        <v>1</v>
      </c>
      <c r="K12">
        <v>4</v>
      </c>
      <c r="L12">
        <v>254.75</v>
      </c>
      <c r="M12">
        <v>572</v>
      </c>
      <c r="N12">
        <v>38</v>
      </c>
      <c r="O12">
        <v>1019</v>
      </c>
      <c r="P12" s="2">
        <v>0.95411999999999997</v>
      </c>
    </row>
    <row r="13" spans="1:16" x14ac:dyDescent="0.25">
      <c r="A13" t="s">
        <v>16</v>
      </c>
      <c r="B13" s="16">
        <v>1571039539</v>
      </c>
      <c r="C13">
        <v>1085</v>
      </c>
      <c r="D13">
        <v>1415</v>
      </c>
      <c r="E13" s="2">
        <v>0.434</v>
      </c>
      <c r="F13" s="2">
        <v>0.56599999999999995</v>
      </c>
      <c r="G13">
        <v>90</v>
      </c>
      <c r="H13">
        <v>1</v>
      </c>
      <c r="I13">
        <v>1085</v>
      </c>
      <c r="J13" s="19">
        <v>1</v>
      </c>
      <c r="K13">
        <v>4</v>
      </c>
      <c r="L13">
        <v>262</v>
      </c>
      <c r="M13">
        <v>672</v>
      </c>
      <c r="N13">
        <v>73</v>
      </c>
      <c r="O13">
        <v>1048</v>
      </c>
      <c r="P13" s="2">
        <v>0.96589899999999995</v>
      </c>
    </row>
    <row r="14" spans="1:16" x14ac:dyDescent="0.25">
      <c r="A14" t="s">
        <v>16</v>
      </c>
      <c r="B14" s="16">
        <v>1923612500</v>
      </c>
      <c r="C14">
        <v>1119</v>
      </c>
      <c r="D14">
        <v>1381</v>
      </c>
      <c r="E14" s="2">
        <v>0.4476</v>
      </c>
      <c r="F14" s="2">
        <v>0.5524</v>
      </c>
      <c r="G14">
        <v>98</v>
      </c>
      <c r="H14">
        <v>1</v>
      </c>
      <c r="I14">
        <v>1119</v>
      </c>
      <c r="J14" s="19">
        <v>1</v>
      </c>
      <c r="K14">
        <v>4</v>
      </c>
      <c r="L14">
        <v>267.25</v>
      </c>
      <c r="M14">
        <v>430</v>
      </c>
      <c r="N14">
        <v>68</v>
      </c>
      <c r="O14">
        <v>1069</v>
      </c>
      <c r="P14" s="2">
        <v>0.95531699999999997</v>
      </c>
    </row>
    <row r="15" spans="1:16" x14ac:dyDescent="0.25">
      <c r="A15" t="s">
        <v>16</v>
      </c>
      <c r="B15" s="16">
        <v>216058499</v>
      </c>
      <c r="C15">
        <v>1011</v>
      </c>
      <c r="D15">
        <v>1489</v>
      </c>
      <c r="E15" s="2">
        <v>0.40439999999999998</v>
      </c>
      <c r="F15" s="2">
        <v>0.59560000000000002</v>
      </c>
      <c r="G15">
        <v>87</v>
      </c>
      <c r="H15">
        <v>1</v>
      </c>
      <c r="I15">
        <v>1011</v>
      </c>
      <c r="J15" s="19">
        <v>1</v>
      </c>
      <c r="K15">
        <v>4</v>
      </c>
      <c r="L15">
        <v>240.5</v>
      </c>
      <c r="M15">
        <v>364</v>
      </c>
      <c r="N15">
        <v>126</v>
      </c>
      <c r="O15">
        <v>962</v>
      </c>
      <c r="P15" s="2">
        <v>0.95153299999999996</v>
      </c>
    </row>
    <row r="16" spans="1:16" x14ac:dyDescent="0.25">
      <c r="A16" t="s">
        <v>16</v>
      </c>
      <c r="B16" s="16">
        <v>136017971</v>
      </c>
      <c r="C16">
        <v>890</v>
      </c>
      <c r="D16">
        <v>1610</v>
      </c>
      <c r="E16" s="2">
        <v>0.35599999999999998</v>
      </c>
      <c r="F16" s="2">
        <v>0.64400000000000002</v>
      </c>
      <c r="G16">
        <v>94</v>
      </c>
      <c r="H16">
        <v>1</v>
      </c>
      <c r="I16">
        <v>890</v>
      </c>
      <c r="J16" s="19">
        <v>1</v>
      </c>
      <c r="K16">
        <v>4</v>
      </c>
      <c r="L16">
        <v>211</v>
      </c>
      <c r="M16">
        <v>546</v>
      </c>
      <c r="N16">
        <v>66</v>
      </c>
      <c r="O16">
        <v>844</v>
      </c>
      <c r="P16" s="2">
        <v>0.94831500000000002</v>
      </c>
    </row>
    <row r="17" spans="1:16" x14ac:dyDescent="0.25">
      <c r="A17" t="s">
        <v>16</v>
      </c>
      <c r="B17" s="16">
        <v>923418462</v>
      </c>
      <c r="C17">
        <v>983</v>
      </c>
      <c r="D17">
        <v>1517</v>
      </c>
      <c r="E17" s="2">
        <v>0.39319999999999999</v>
      </c>
      <c r="F17" s="2">
        <v>0.60680000000000001</v>
      </c>
      <c r="G17">
        <v>90</v>
      </c>
      <c r="H17">
        <v>1</v>
      </c>
      <c r="I17">
        <v>983</v>
      </c>
      <c r="J17" s="19">
        <v>1</v>
      </c>
      <c r="K17">
        <v>4</v>
      </c>
      <c r="L17">
        <v>232.75</v>
      </c>
      <c r="M17">
        <v>678</v>
      </c>
      <c r="N17">
        <v>71</v>
      </c>
      <c r="O17">
        <v>931</v>
      </c>
      <c r="P17" s="2">
        <v>0.94710099999999997</v>
      </c>
    </row>
    <row r="18" spans="1:16" x14ac:dyDescent="0.25">
      <c r="A18" t="s">
        <v>16</v>
      </c>
      <c r="B18" s="16">
        <v>364123365</v>
      </c>
      <c r="C18">
        <v>1115</v>
      </c>
      <c r="D18">
        <v>1385</v>
      </c>
      <c r="E18" s="2">
        <v>0.44600000000000001</v>
      </c>
      <c r="F18" s="2">
        <v>0.55400000000000005</v>
      </c>
      <c r="G18">
        <v>90</v>
      </c>
      <c r="H18">
        <v>1</v>
      </c>
      <c r="I18">
        <v>1115</v>
      </c>
      <c r="J18" s="19">
        <v>1</v>
      </c>
      <c r="K18">
        <v>4</v>
      </c>
      <c r="L18">
        <v>266</v>
      </c>
      <c r="M18">
        <v>410</v>
      </c>
      <c r="N18">
        <v>62</v>
      </c>
      <c r="O18">
        <v>1064</v>
      </c>
      <c r="P18" s="2">
        <v>0.95426</v>
      </c>
    </row>
    <row r="19" spans="1:16" x14ac:dyDescent="0.25">
      <c r="A19" t="s">
        <v>16</v>
      </c>
      <c r="B19" s="16">
        <v>1679855850</v>
      </c>
      <c r="C19">
        <v>936</v>
      </c>
      <c r="D19">
        <v>1564</v>
      </c>
      <c r="E19" s="2">
        <v>0.37440000000000001</v>
      </c>
      <c r="F19" s="2">
        <v>0.62560000000000004</v>
      </c>
      <c r="G19">
        <v>72</v>
      </c>
      <c r="H19">
        <v>1</v>
      </c>
      <c r="I19">
        <v>936</v>
      </c>
      <c r="J19" s="19">
        <v>1</v>
      </c>
      <c r="K19">
        <v>4</v>
      </c>
      <c r="L19">
        <v>223</v>
      </c>
      <c r="M19">
        <v>356</v>
      </c>
      <c r="N19">
        <v>68</v>
      </c>
      <c r="O19">
        <v>892</v>
      </c>
      <c r="P19" s="2">
        <v>0.95299100000000003</v>
      </c>
    </row>
    <row r="20" spans="1:16" x14ac:dyDescent="0.25">
      <c r="A20" t="s">
        <v>16</v>
      </c>
      <c r="B20" s="16">
        <v>314109448</v>
      </c>
      <c r="C20">
        <v>920</v>
      </c>
      <c r="D20">
        <v>1580</v>
      </c>
      <c r="E20" s="2">
        <v>0.36799999999999999</v>
      </c>
      <c r="F20" s="2">
        <v>0.63200000000000001</v>
      </c>
      <c r="G20">
        <v>84</v>
      </c>
      <c r="H20">
        <v>1</v>
      </c>
      <c r="I20">
        <v>920</v>
      </c>
      <c r="J20" s="19">
        <v>1</v>
      </c>
      <c r="K20">
        <v>4</v>
      </c>
      <c r="L20">
        <v>217.25</v>
      </c>
      <c r="M20">
        <v>319</v>
      </c>
      <c r="N20">
        <v>77</v>
      </c>
      <c r="O20">
        <v>869</v>
      </c>
      <c r="P20" s="2">
        <v>0.94456499999999999</v>
      </c>
    </row>
    <row r="21" spans="1:16" x14ac:dyDescent="0.25">
      <c r="A21" t="s">
        <v>16</v>
      </c>
      <c r="B21" s="16">
        <v>1591541378</v>
      </c>
      <c r="C21">
        <v>864</v>
      </c>
      <c r="D21">
        <v>1636</v>
      </c>
      <c r="E21" s="2">
        <v>0.34560000000000002</v>
      </c>
      <c r="F21" s="2">
        <v>0.65439999999999998</v>
      </c>
      <c r="G21">
        <v>64</v>
      </c>
      <c r="H21">
        <v>1</v>
      </c>
      <c r="I21">
        <v>864</v>
      </c>
      <c r="J21" s="19">
        <v>1</v>
      </c>
      <c r="K21">
        <v>4</v>
      </c>
      <c r="L21">
        <v>203</v>
      </c>
      <c r="M21">
        <v>370</v>
      </c>
      <c r="N21">
        <v>71</v>
      </c>
      <c r="O21">
        <v>812</v>
      </c>
      <c r="P21" s="2">
        <v>0.93981499999999996</v>
      </c>
    </row>
    <row r="22" spans="1:16" x14ac:dyDescent="0.25">
      <c r="A22" t="s">
        <v>16</v>
      </c>
      <c r="B22" s="16">
        <v>1608651607</v>
      </c>
      <c r="C22">
        <v>901</v>
      </c>
      <c r="D22">
        <v>1599</v>
      </c>
      <c r="E22" s="2">
        <v>0.3604</v>
      </c>
      <c r="F22" s="2">
        <v>0.63959999999999995</v>
      </c>
      <c r="G22">
        <v>68</v>
      </c>
      <c r="H22">
        <v>1</v>
      </c>
      <c r="I22">
        <v>901</v>
      </c>
      <c r="J22" s="19">
        <v>1</v>
      </c>
      <c r="K22">
        <v>4</v>
      </c>
      <c r="L22">
        <v>212.75</v>
      </c>
      <c r="M22">
        <v>506</v>
      </c>
      <c r="N22">
        <v>56</v>
      </c>
      <c r="O22">
        <v>851</v>
      </c>
      <c r="P22" s="2">
        <v>0.94450599999999996</v>
      </c>
    </row>
    <row r="23" spans="1:16" x14ac:dyDescent="0.25">
      <c r="A23" t="s">
        <v>16</v>
      </c>
      <c r="B23" s="16">
        <v>579188253</v>
      </c>
      <c r="C23">
        <v>1125</v>
      </c>
      <c r="D23">
        <v>1375</v>
      </c>
      <c r="E23" s="2">
        <v>0.45</v>
      </c>
      <c r="F23" s="2">
        <v>0.55000000000000004</v>
      </c>
      <c r="G23">
        <v>77</v>
      </c>
      <c r="H23">
        <v>1</v>
      </c>
      <c r="I23">
        <v>1125</v>
      </c>
      <c r="J23" s="19">
        <v>1</v>
      </c>
      <c r="K23">
        <v>4</v>
      </c>
      <c r="L23">
        <v>271</v>
      </c>
      <c r="M23">
        <v>846</v>
      </c>
      <c r="N23">
        <v>40</v>
      </c>
      <c r="O23">
        <v>1084</v>
      </c>
      <c r="P23" s="2">
        <v>0.96355599999999997</v>
      </c>
    </row>
    <row r="24" spans="1:16" x14ac:dyDescent="0.25">
      <c r="A24" t="s">
        <v>16</v>
      </c>
      <c r="B24" s="16">
        <v>416899753</v>
      </c>
      <c r="C24">
        <v>1014</v>
      </c>
      <c r="D24">
        <v>1486</v>
      </c>
      <c r="E24" s="2">
        <v>0.40560000000000002</v>
      </c>
      <c r="F24" s="2">
        <v>0.59440000000000004</v>
      </c>
      <c r="G24">
        <v>71</v>
      </c>
      <c r="H24">
        <v>1</v>
      </c>
      <c r="I24">
        <v>1014</v>
      </c>
      <c r="J24" s="19">
        <v>1</v>
      </c>
      <c r="K24">
        <v>4</v>
      </c>
      <c r="L24">
        <v>242</v>
      </c>
      <c r="M24">
        <v>348</v>
      </c>
      <c r="N24">
        <v>136</v>
      </c>
      <c r="O24">
        <v>968</v>
      </c>
      <c r="P24" s="2">
        <v>0.95463500000000001</v>
      </c>
    </row>
    <row r="25" spans="1:16" x14ac:dyDescent="0.25">
      <c r="A25" t="s">
        <v>16</v>
      </c>
      <c r="B25" s="16">
        <v>2113019177</v>
      </c>
      <c r="C25">
        <v>1006</v>
      </c>
      <c r="D25">
        <v>1494</v>
      </c>
      <c r="E25" s="2">
        <v>0.40239999999999998</v>
      </c>
      <c r="F25" s="2">
        <v>0.59760000000000002</v>
      </c>
      <c r="G25">
        <v>80</v>
      </c>
      <c r="H25">
        <v>1</v>
      </c>
      <c r="I25">
        <v>1006</v>
      </c>
      <c r="J25" s="19">
        <v>1</v>
      </c>
      <c r="K25">
        <v>4</v>
      </c>
      <c r="L25">
        <v>238.25</v>
      </c>
      <c r="M25">
        <v>386</v>
      </c>
      <c r="N25">
        <v>116</v>
      </c>
      <c r="O25">
        <v>953</v>
      </c>
      <c r="P25" s="2">
        <v>0.94731600000000005</v>
      </c>
    </row>
    <row r="26" spans="1:16" x14ac:dyDescent="0.25">
      <c r="A26" t="s">
        <v>16</v>
      </c>
      <c r="B26" s="16">
        <v>1308059626</v>
      </c>
      <c r="C26">
        <v>1205</v>
      </c>
      <c r="D26">
        <v>1295</v>
      </c>
      <c r="E26" s="2">
        <v>0.48199999999999998</v>
      </c>
      <c r="F26" s="2">
        <v>0.51800000000000002</v>
      </c>
      <c r="G26">
        <v>77</v>
      </c>
      <c r="H26">
        <v>1</v>
      </c>
      <c r="I26">
        <v>1205</v>
      </c>
      <c r="J26" s="19">
        <v>1</v>
      </c>
      <c r="K26">
        <v>4</v>
      </c>
      <c r="L26">
        <v>290.5</v>
      </c>
      <c r="M26">
        <v>471</v>
      </c>
      <c r="N26">
        <v>200</v>
      </c>
      <c r="O26">
        <v>1162</v>
      </c>
      <c r="P26" s="2">
        <v>0.96431500000000003</v>
      </c>
    </row>
    <row r="27" spans="1:16" x14ac:dyDescent="0.25">
      <c r="A27" t="s">
        <v>16</v>
      </c>
      <c r="B27" s="16">
        <v>607022935</v>
      </c>
      <c r="C27">
        <v>1133</v>
      </c>
      <c r="D27">
        <v>1367</v>
      </c>
      <c r="E27" s="2">
        <v>0.45319999999999999</v>
      </c>
      <c r="F27" s="2">
        <v>0.54679999999999995</v>
      </c>
      <c r="G27">
        <v>78</v>
      </c>
      <c r="H27">
        <v>1</v>
      </c>
      <c r="I27">
        <v>1133</v>
      </c>
      <c r="J27" s="19">
        <v>1</v>
      </c>
      <c r="K27">
        <v>4</v>
      </c>
      <c r="L27">
        <v>273.25</v>
      </c>
      <c r="M27">
        <v>336</v>
      </c>
      <c r="N27">
        <v>131</v>
      </c>
      <c r="O27">
        <v>1093</v>
      </c>
      <c r="P27" s="2">
        <v>0.96469499999999997</v>
      </c>
    </row>
    <row r="28" spans="1:16" x14ac:dyDescent="0.25">
      <c r="A28" t="s">
        <v>16</v>
      </c>
      <c r="B28" s="16">
        <v>1756948994</v>
      </c>
      <c r="C28">
        <v>1057</v>
      </c>
      <c r="D28">
        <v>1443</v>
      </c>
      <c r="E28" s="2">
        <v>0.42280000000000001</v>
      </c>
      <c r="F28" s="2">
        <v>0.57720000000000005</v>
      </c>
      <c r="G28">
        <v>98</v>
      </c>
      <c r="H28">
        <v>1</v>
      </c>
      <c r="I28">
        <v>1057</v>
      </c>
      <c r="J28" s="19">
        <v>1</v>
      </c>
      <c r="K28">
        <v>4</v>
      </c>
      <c r="L28">
        <v>248.25</v>
      </c>
      <c r="M28">
        <v>506</v>
      </c>
      <c r="N28">
        <v>51</v>
      </c>
      <c r="O28">
        <v>993</v>
      </c>
      <c r="P28" s="2">
        <v>0.93945100000000004</v>
      </c>
    </row>
    <row r="29" spans="1:16" x14ac:dyDescent="0.25">
      <c r="A29" t="s">
        <v>16</v>
      </c>
      <c r="B29" s="16">
        <v>1220615731</v>
      </c>
      <c r="C29">
        <v>988</v>
      </c>
      <c r="D29">
        <v>1512</v>
      </c>
      <c r="E29" s="2">
        <v>0.3952</v>
      </c>
      <c r="F29" s="2">
        <v>0.6048</v>
      </c>
      <c r="G29">
        <v>71</v>
      </c>
      <c r="H29">
        <v>1</v>
      </c>
      <c r="I29">
        <v>988</v>
      </c>
      <c r="J29" s="19">
        <v>1</v>
      </c>
      <c r="K29">
        <v>4</v>
      </c>
      <c r="L29">
        <v>237</v>
      </c>
      <c r="M29">
        <v>266</v>
      </c>
      <c r="N29">
        <v>204</v>
      </c>
      <c r="O29">
        <v>948</v>
      </c>
      <c r="P29" s="2">
        <v>0.95951399999999998</v>
      </c>
    </row>
    <row r="30" spans="1:16" x14ac:dyDescent="0.25">
      <c r="A30" t="s">
        <v>16</v>
      </c>
      <c r="B30" s="16">
        <v>1171470342</v>
      </c>
      <c r="C30">
        <v>867</v>
      </c>
      <c r="D30">
        <v>1633</v>
      </c>
      <c r="E30" s="2">
        <v>0.3468</v>
      </c>
      <c r="F30" s="2">
        <v>0.6532</v>
      </c>
      <c r="G30">
        <v>103</v>
      </c>
      <c r="H30">
        <v>1</v>
      </c>
      <c r="I30">
        <v>867</v>
      </c>
      <c r="J30" s="19">
        <v>1</v>
      </c>
      <c r="K30">
        <v>4</v>
      </c>
      <c r="L30">
        <v>200.5</v>
      </c>
      <c r="M30">
        <v>290</v>
      </c>
      <c r="N30">
        <v>124</v>
      </c>
      <c r="O30">
        <v>802</v>
      </c>
      <c r="P30" s="2">
        <v>0.92502899999999999</v>
      </c>
    </row>
    <row r="31" spans="1:16" x14ac:dyDescent="0.25">
      <c r="A31" t="s">
        <v>16</v>
      </c>
      <c r="B31" s="16">
        <v>595134383</v>
      </c>
      <c r="C31">
        <v>1173</v>
      </c>
      <c r="D31">
        <v>1327</v>
      </c>
      <c r="E31" s="2">
        <v>0.46920000000000001</v>
      </c>
      <c r="F31" s="2">
        <v>0.53080000000000005</v>
      </c>
      <c r="G31">
        <v>88</v>
      </c>
      <c r="H31">
        <v>1</v>
      </c>
      <c r="I31">
        <v>1173</v>
      </c>
      <c r="J31" s="19">
        <v>1</v>
      </c>
      <c r="K31">
        <v>4</v>
      </c>
      <c r="L31">
        <v>283.5</v>
      </c>
      <c r="M31">
        <v>584</v>
      </c>
      <c r="N31">
        <v>122</v>
      </c>
      <c r="O31">
        <v>1134</v>
      </c>
      <c r="P31" s="2">
        <v>0.96675199999999994</v>
      </c>
    </row>
    <row r="32" spans="1:16" x14ac:dyDescent="0.25">
      <c r="A32" t="s">
        <v>16</v>
      </c>
      <c r="B32" s="16">
        <v>2146630103</v>
      </c>
      <c r="C32">
        <v>1066</v>
      </c>
      <c r="D32">
        <v>1434</v>
      </c>
      <c r="E32" s="2">
        <v>0.4264</v>
      </c>
      <c r="F32" s="2">
        <v>0.5736</v>
      </c>
      <c r="G32">
        <v>80</v>
      </c>
      <c r="H32">
        <v>1</v>
      </c>
      <c r="I32">
        <v>1066</v>
      </c>
      <c r="J32" s="19">
        <v>1</v>
      </c>
      <c r="K32">
        <v>4</v>
      </c>
      <c r="L32">
        <v>256.5</v>
      </c>
      <c r="M32">
        <v>480</v>
      </c>
      <c r="N32">
        <v>96</v>
      </c>
      <c r="O32">
        <v>1026</v>
      </c>
      <c r="P32" s="2">
        <v>0.96247700000000003</v>
      </c>
    </row>
    <row r="33" spans="1:16" x14ac:dyDescent="0.25">
      <c r="A33" t="s">
        <v>16</v>
      </c>
      <c r="B33" s="16">
        <v>351041731</v>
      </c>
      <c r="C33">
        <v>916</v>
      </c>
      <c r="D33">
        <v>1584</v>
      </c>
      <c r="E33" s="2">
        <v>0.3664</v>
      </c>
      <c r="F33" s="2">
        <v>0.63360000000000005</v>
      </c>
      <c r="G33">
        <v>84</v>
      </c>
      <c r="H33">
        <v>1</v>
      </c>
      <c r="I33">
        <v>916</v>
      </c>
      <c r="J33" s="19">
        <v>1</v>
      </c>
      <c r="K33">
        <v>4</v>
      </c>
      <c r="L33">
        <v>217.5</v>
      </c>
      <c r="M33">
        <v>458</v>
      </c>
      <c r="N33">
        <v>62</v>
      </c>
      <c r="O33">
        <v>870</v>
      </c>
      <c r="P33" s="2">
        <v>0.94978200000000002</v>
      </c>
    </row>
    <row r="34" spans="1:16" x14ac:dyDescent="0.25">
      <c r="A34" t="s">
        <v>16</v>
      </c>
      <c r="B34" s="16">
        <v>1038228148</v>
      </c>
      <c r="C34">
        <v>1041</v>
      </c>
      <c r="D34">
        <v>1459</v>
      </c>
      <c r="E34" s="2">
        <v>0.41639999999999999</v>
      </c>
      <c r="F34" s="2">
        <v>0.58360000000000001</v>
      </c>
      <c r="G34">
        <v>85</v>
      </c>
      <c r="H34">
        <v>1</v>
      </c>
      <c r="I34">
        <v>1041</v>
      </c>
      <c r="J34" s="19">
        <v>1</v>
      </c>
      <c r="K34">
        <v>4</v>
      </c>
      <c r="L34">
        <v>248.5</v>
      </c>
      <c r="M34">
        <v>404</v>
      </c>
      <c r="N34">
        <v>48</v>
      </c>
      <c r="O34">
        <v>994</v>
      </c>
      <c r="P34" s="2">
        <v>0.95485100000000001</v>
      </c>
    </row>
    <row r="35" spans="1:16" x14ac:dyDescent="0.25">
      <c r="A35" t="s">
        <v>16</v>
      </c>
      <c r="B35" s="16">
        <v>481714154</v>
      </c>
      <c r="C35">
        <v>1094</v>
      </c>
      <c r="D35">
        <v>1406</v>
      </c>
      <c r="E35" s="2">
        <v>0.43759999999999999</v>
      </c>
      <c r="F35" s="2">
        <v>0.56240000000000001</v>
      </c>
      <c r="G35">
        <v>66</v>
      </c>
      <c r="H35">
        <v>1</v>
      </c>
      <c r="I35">
        <v>1094</v>
      </c>
      <c r="J35" s="19">
        <v>1</v>
      </c>
      <c r="K35">
        <v>4</v>
      </c>
      <c r="L35">
        <v>265</v>
      </c>
      <c r="M35">
        <v>472</v>
      </c>
      <c r="N35">
        <v>24</v>
      </c>
      <c r="O35">
        <v>1060</v>
      </c>
      <c r="P35" s="2">
        <v>0.96892100000000003</v>
      </c>
    </row>
    <row r="36" spans="1:16" x14ac:dyDescent="0.25">
      <c r="A36" t="s">
        <v>16</v>
      </c>
      <c r="B36" s="16">
        <v>1941715587</v>
      </c>
      <c r="C36">
        <v>1010</v>
      </c>
      <c r="D36">
        <v>1490</v>
      </c>
      <c r="E36" s="2">
        <v>0.40400000000000003</v>
      </c>
      <c r="F36" s="2">
        <v>0.59599999999999997</v>
      </c>
      <c r="G36">
        <v>79</v>
      </c>
      <c r="H36">
        <v>1</v>
      </c>
      <c r="I36">
        <v>1010</v>
      </c>
      <c r="J36" s="19">
        <v>1</v>
      </c>
      <c r="K36">
        <v>4</v>
      </c>
      <c r="L36">
        <v>240</v>
      </c>
      <c r="M36">
        <v>387</v>
      </c>
      <c r="N36">
        <v>95</v>
      </c>
      <c r="O36">
        <v>960</v>
      </c>
      <c r="P36" s="2">
        <v>0.95049499999999998</v>
      </c>
    </row>
    <row r="37" spans="1:16" x14ac:dyDescent="0.25">
      <c r="A37" t="s">
        <v>16</v>
      </c>
      <c r="B37" s="16">
        <v>1712111097</v>
      </c>
      <c r="C37">
        <v>1005</v>
      </c>
      <c r="D37">
        <v>1495</v>
      </c>
      <c r="E37" s="2">
        <v>0.40200000000000002</v>
      </c>
      <c r="F37" s="2">
        <v>0.59799999999999998</v>
      </c>
      <c r="G37">
        <v>68</v>
      </c>
      <c r="H37">
        <v>1</v>
      </c>
      <c r="I37">
        <v>1005</v>
      </c>
      <c r="J37" s="19">
        <v>1</v>
      </c>
      <c r="K37">
        <v>4</v>
      </c>
      <c r="L37">
        <v>240.5</v>
      </c>
      <c r="M37">
        <v>321</v>
      </c>
      <c r="N37">
        <v>73</v>
      </c>
      <c r="O37">
        <v>962</v>
      </c>
      <c r="P37" s="2">
        <v>0.95721400000000001</v>
      </c>
    </row>
    <row r="38" spans="1:16" x14ac:dyDescent="0.25">
      <c r="A38" t="s">
        <v>16</v>
      </c>
      <c r="B38" s="16">
        <v>1036158524</v>
      </c>
      <c r="C38">
        <v>1078</v>
      </c>
      <c r="D38">
        <v>1422</v>
      </c>
      <c r="E38" s="2">
        <v>0.43120000000000003</v>
      </c>
      <c r="F38" s="2">
        <v>0.56879999999999997</v>
      </c>
      <c r="G38">
        <v>100</v>
      </c>
      <c r="H38">
        <v>1</v>
      </c>
      <c r="I38">
        <v>1078</v>
      </c>
      <c r="J38" s="19">
        <v>1</v>
      </c>
      <c r="K38">
        <v>4</v>
      </c>
      <c r="L38">
        <v>256.5</v>
      </c>
      <c r="M38">
        <v>506</v>
      </c>
      <c r="N38">
        <v>84</v>
      </c>
      <c r="O38">
        <v>1026</v>
      </c>
      <c r="P38" s="2">
        <v>0.95176300000000003</v>
      </c>
    </row>
    <row r="39" spans="1:16" x14ac:dyDescent="0.25">
      <c r="A39" t="s">
        <v>16</v>
      </c>
      <c r="B39" s="16">
        <v>514088153</v>
      </c>
      <c r="C39">
        <v>1123</v>
      </c>
      <c r="D39">
        <v>1377</v>
      </c>
      <c r="E39" s="2">
        <v>0.44919999999999999</v>
      </c>
      <c r="F39" s="2">
        <v>0.55079999999999996</v>
      </c>
      <c r="G39">
        <v>65</v>
      </c>
      <c r="H39">
        <v>1</v>
      </c>
      <c r="I39">
        <v>1123</v>
      </c>
      <c r="J39" s="19">
        <v>1</v>
      </c>
      <c r="K39">
        <v>4</v>
      </c>
      <c r="L39">
        <v>271</v>
      </c>
      <c r="M39">
        <v>616</v>
      </c>
      <c r="N39">
        <v>86</v>
      </c>
      <c r="O39">
        <v>1084</v>
      </c>
      <c r="P39" s="2">
        <v>0.96527200000000002</v>
      </c>
    </row>
    <row r="40" spans="1:16" x14ac:dyDescent="0.25">
      <c r="A40" t="s">
        <v>16</v>
      </c>
      <c r="B40" s="16">
        <v>367841574</v>
      </c>
      <c r="C40">
        <v>993</v>
      </c>
      <c r="D40">
        <v>1507</v>
      </c>
      <c r="E40" s="2">
        <v>0.3972</v>
      </c>
      <c r="F40" s="2">
        <v>0.6028</v>
      </c>
      <c r="G40">
        <v>80</v>
      </c>
      <c r="H40">
        <v>1</v>
      </c>
      <c r="I40">
        <v>993</v>
      </c>
      <c r="J40" s="19">
        <v>1</v>
      </c>
      <c r="K40">
        <v>4</v>
      </c>
      <c r="L40">
        <v>238.5</v>
      </c>
      <c r="M40">
        <v>524</v>
      </c>
      <c r="N40">
        <v>36</v>
      </c>
      <c r="O40">
        <v>954</v>
      </c>
      <c r="P40" s="2">
        <v>0.96072500000000005</v>
      </c>
    </row>
    <row r="41" spans="1:16" x14ac:dyDescent="0.25">
      <c r="A41" t="s">
        <v>16</v>
      </c>
      <c r="B41" s="16">
        <v>1262167187</v>
      </c>
      <c r="C41">
        <v>1110</v>
      </c>
      <c r="D41">
        <v>1390</v>
      </c>
      <c r="E41" s="2">
        <v>0.44400000000000001</v>
      </c>
      <c r="F41" s="2">
        <v>0.55600000000000005</v>
      </c>
      <c r="G41">
        <v>82</v>
      </c>
      <c r="H41">
        <v>1</v>
      </c>
      <c r="I41">
        <v>1110</v>
      </c>
      <c r="J41" s="19">
        <v>1</v>
      </c>
      <c r="K41">
        <v>4</v>
      </c>
      <c r="L41">
        <v>265.25</v>
      </c>
      <c r="M41">
        <v>566</v>
      </c>
      <c r="N41">
        <v>36</v>
      </c>
      <c r="O41">
        <v>1061</v>
      </c>
      <c r="P41" s="2">
        <v>0.95585600000000004</v>
      </c>
    </row>
    <row r="42" spans="1:16" x14ac:dyDescent="0.25">
      <c r="A42" t="s">
        <v>16</v>
      </c>
      <c r="B42" s="16">
        <v>507494085</v>
      </c>
      <c r="C42">
        <v>941</v>
      </c>
      <c r="D42">
        <v>1559</v>
      </c>
      <c r="E42" s="2">
        <v>0.37640000000000001</v>
      </c>
      <c r="F42" s="2">
        <v>0.62360000000000004</v>
      </c>
      <c r="G42">
        <v>63</v>
      </c>
      <c r="H42">
        <v>1</v>
      </c>
      <c r="I42">
        <v>941</v>
      </c>
      <c r="J42" s="19">
        <v>1</v>
      </c>
      <c r="K42">
        <v>4</v>
      </c>
      <c r="L42">
        <v>223.75</v>
      </c>
      <c r="M42">
        <v>540</v>
      </c>
      <c r="N42">
        <v>71</v>
      </c>
      <c r="O42">
        <v>895</v>
      </c>
      <c r="P42" s="2">
        <v>0.95111599999999996</v>
      </c>
    </row>
    <row r="43" spans="1:16" x14ac:dyDescent="0.25">
      <c r="A43" t="s">
        <v>16</v>
      </c>
      <c r="B43" s="16">
        <v>192016773</v>
      </c>
      <c r="C43">
        <v>1193</v>
      </c>
      <c r="D43">
        <v>1307</v>
      </c>
      <c r="E43" s="2">
        <v>0.47720000000000001</v>
      </c>
      <c r="F43" s="2">
        <v>0.52280000000000004</v>
      </c>
      <c r="G43">
        <v>75</v>
      </c>
      <c r="H43">
        <v>1</v>
      </c>
      <c r="I43">
        <v>1193</v>
      </c>
      <c r="J43" s="19">
        <v>1</v>
      </c>
      <c r="K43">
        <v>4</v>
      </c>
      <c r="L43">
        <v>283</v>
      </c>
      <c r="M43">
        <v>596</v>
      </c>
      <c r="N43">
        <v>38</v>
      </c>
      <c r="O43">
        <v>1132</v>
      </c>
      <c r="P43" s="2">
        <v>0.94886800000000004</v>
      </c>
    </row>
    <row r="44" spans="1:16" x14ac:dyDescent="0.25">
      <c r="A44" t="s">
        <v>16</v>
      </c>
      <c r="B44" s="16">
        <v>1243091256</v>
      </c>
      <c r="C44">
        <v>803</v>
      </c>
      <c r="D44">
        <v>1697</v>
      </c>
      <c r="E44" s="2">
        <v>0.32119999999999999</v>
      </c>
      <c r="F44" s="2">
        <v>0.67879999999999996</v>
      </c>
      <c r="G44">
        <v>98</v>
      </c>
      <c r="H44">
        <v>1</v>
      </c>
      <c r="I44">
        <v>803</v>
      </c>
      <c r="J44" s="19">
        <v>1</v>
      </c>
      <c r="K44">
        <v>4</v>
      </c>
      <c r="L44">
        <v>185.25</v>
      </c>
      <c r="M44">
        <v>290</v>
      </c>
      <c r="N44">
        <v>108</v>
      </c>
      <c r="O44">
        <v>741</v>
      </c>
      <c r="P44" s="2">
        <v>0.92279</v>
      </c>
    </row>
    <row r="45" spans="1:16" x14ac:dyDescent="0.25">
      <c r="A45" t="s">
        <v>16</v>
      </c>
      <c r="B45" s="16">
        <v>1404384438</v>
      </c>
      <c r="C45">
        <v>1169</v>
      </c>
      <c r="D45">
        <v>1331</v>
      </c>
      <c r="E45" s="2">
        <v>0.46760000000000002</v>
      </c>
      <c r="F45" s="2">
        <v>0.53239999999999998</v>
      </c>
      <c r="G45">
        <v>85</v>
      </c>
      <c r="H45">
        <v>1</v>
      </c>
      <c r="I45">
        <v>1169</v>
      </c>
      <c r="J45" s="19">
        <v>1</v>
      </c>
      <c r="K45">
        <v>4</v>
      </c>
      <c r="L45">
        <v>278.25</v>
      </c>
      <c r="M45">
        <v>480</v>
      </c>
      <c r="N45">
        <v>92</v>
      </c>
      <c r="O45">
        <v>1113</v>
      </c>
      <c r="P45" s="2">
        <v>0.95209600000000005</v>
      </c>
    </row>
    <row r="46" spans="1:16" x14ac:dyDescent="0.25">
      <c r="A46" t="s">
        <v>16</v>
      </c>
      <c r="B46" s="16">
        <v>449884972</v>
      </c>
      <c r="C46">
        <v>1055</v>
      </c>
      <c r="D46">
        <v>1445</v>
      </c>
      <c r="E46" s="2">
        <v>0.42199999999999999</v>
      </c>
      <c r="F46" s="2">
        <v>0.57799999999999996</v>
      </c>
      <c r="G46">
        <v>68</v>
      </c>
      <c r="H46">
        <v>1</v>
      </c>
      <c r="I46">
        <v>1055</v>
      </c>
      <c r="J46" s="19">
        <v>1</v>
      </c>
      <c r="K46">
        <v>5</v>
      </c>
      <c r="L46">
        <v>199.6</v>
      </c>
      <c r="M46">
        <v>421</v>
      </c>
      <c r="N46">
        <v>1</v>
      </c>
      <c r="O46">
        <v>998</v>
      </c>
      <c r="P46" s="2">
        <v>0.94597200000000004</v>
      </c>
    </row>
    <row r="47" spans="1:16" x14ac:dyDescent="0.25">
      <c r="A47" t="s">
        <v>16</v>
      </c>
      <c r="B47" s="16">
        <v>842658276</v>
      </c>
      <c r="C47">
        <v>969</v>
      </c>
      <c r="D47">
        <v>1531</v>
      </c>
      <c r="E47" s="2">
        <v>0.3876</v>
      </c>
      <c r="F47" s="2">
        <v>0.61240000000000006</v>
      </c>
      <c r="G47">
        <v>70</v>
      </c>
      <c r="H47">
        <v>1</v>
      </c>
      <c r="I47">
        <v>969</v>
      </c>
      <c r="J47" s="19">
        <v>1</v>
      </c>
      <c r="K47">
        <v>4</v>
      </c>
      <c r="L47">
        <v>231</v>
      </c>
      <c r="M47">
        <v>421</v>
      </c>
      <c r="N47">
        <v>41</v>
      </c>
      <c r="O47">
        <v>924</v>
      </c>
      <c r="P47" s="2">
        <v>0.95355999999999996</v>
      </c>
    </row>
    <row r="48" spans="1:16" x14ac:dyDescent="0.25">
      <c r="A48" t="s">
        <v>16</v>
      </c>
      <c r="B48" s="16">
        <v>1892505093</v>
      </c>
      <c r="C48">
        <v>1209</v>
      </c>
      <c r="D48">
        <v>1291</v>
      </c>
      <c r="E48" s="2">
        <v>0.48359999999999997</v>
      </c>
      <c r="F48" s="2">
        <v>0.51639999999999997</v>
      </c>
      <c r="G48">
        <v>96</v>
      </c>
      <c r="H48">
        <v>1</v>
      </c>
      <c r="I48">
        <v>1209</v>
      </c>
      <c r="J48" s="19">
        <v>1</v>
      </c>
      <c r="K48">
        <v>4</v>
      </c>
      <c r="L48">
        <v>291.75</v>
      </c>
      <c r="M48">
        <v>750</v>
      </c>
      <c r="N48">
        <v>106</v>
      </c>
      <c r="O48">
        <v>1167</v>
      </c>
      <c r="P48" s="2">
        <v>0.96526100000000004</v>
      </c>
    </row>
    <row r="49" spans="1:16" x14ac:dyDescent="0.25">
      <c r="A49" t="s">
        <v>16</v>
      </c>
      <c r="B49" s="16">
        <v>1592248647</v>
      </c>
      <c r="C49">
        <v>939</v>
      </c>
      <c r="D49">
        <v>1561</v>
      </c>
      <c r="E49" s="2">
        <v>0.37559999999999999</v>
      </c>
      <c r="F49" s="2">
        <v>0.62439999999999996</v>
      </c>
      <c r="G49">
        <v>88</v>
      </c>
      <c r="H49">
        <v>1</v>
      </c>
      <c r="I49">
        <v>939</v>
      </c>
      <c r="J49" s="19">
        <v>1</v>
      </c>
      <c r="K49">
        <v>4</v>
      </c>
      <c r="L49">
        <v>221.5</v>
      </c>
      <c r="M49">
        <v>421</v>
      </c>
      <c r="N49">
        <v>94</v>
      </c>
      <c r="O49">
        <v>886</v>
      </c>
      <c r="P49" s="2">
        <v>0.94355699999999998</v>
      </c>
    </row>
    <row r="50" spans="1:16" x14ac:dyDescent="0.25">
      <c r="A50" t="s">
        <v>16</v>
      </c>
      <c r="B50" s="16">
        <v>706192976</v>
      </c>
      <c r="C50">
        <v>950</v>
      </c>
      <c r="D50">
        <v>1550</v>
      </c>
      <c r="E50" s="2">
        <v>0.38</v>
      </c>
      <c r="F50" s="2">
        <v>0.62</v>
      </c>
      <c r="G50">
        <v>86</v>
      </c>
      <c r="H50">
        <v>1</v>
      </c>
      <c r="I50">
        <v>950</v>
      </c>
      <c r="J50" s="19">
        <v>1</v>
      </c>
      <c r="K50">
        <v>4</v>
      </c>
      <c r="L50">
        <v>226</v>
      </c>
      <c r="M50">
        <v>353</v>
      </c>
      <c r="N50">
        <v>56</v>
      </c>
      <c r="O50">
        <v>904</v>
      </c>
      <c r="P50" s="2">
        <v>0.95157899999999995</v>
      </c>
    </row>
    <row r="51" spans="1:16" x14ac:dyDescent="0.25">
      <c r="A51" t="s">
        <v>16</v>
      </c>
      <c r="B51" s="16">
        <v>917525028</v>
      </c>
      <c r="C51">
        <v>1032</v>
      </c>
      <c r="D51">
        <v>1468</v>
      </c>
      <c r="E51" s="2">
        <v>0.4128</v>
      </c>
      <c r="F51" s="2">
        <v>0.58720000000000006</v>
      </c>
      <c r="G51">
        <v>96</v>
      </c>
      <c r="H51">
        <v>1</v>
      </c>
      <c r="I51">
        <v>1032</v>
      </c>
      <c r="J51" s="19">
        <v>1</v>
      </c>
      <c r="K51">
        <v>4</v>
      </c>
      <c r="L51">
        <v>244</v>
      </c>
      <c r="M51">
        <v>496</v>
      </c>
      <c r="N51">
        <v>68</v>
      </c>
      <c r="O51">
        <v>976</v>
      </c>
      <c r="P51" s="2">
        <v>0.94573600000000002</v>
      </c>
    </row>
    <row r="52" spans="1:16" x14ac:dyDescent="0.25">
      <c r="A52" t="s">
        <v>30</v>
      </c>
      <c r="C52">
        <f>SUBTOTAL(101,BSP_depth2_room5_padding2[floors])</f>
        <v>1025.74</v>
      </c>
      <c r="D52">
        <f>SUBTOTAL(101,BSP_depth2_room5_padding2[walls])</f>
        <v>1474.26</v>
      </c>
      <c r="E52" s="2">
        <f>SUBTOTAL(101,BSP_depth2_room5_padding2[floor_percent])</f>
        <v>0.41029599999999994</v>
      </c>
      <c r="F52" s="2">
        <f>SUBTOTAL(101,BSP_depth2_room5_padding2[wall_percent])</f>
        <v>0.58970399999999989</v>
      </c>
      <c r="G52">
        <f>SUBTOTAL(101,BSP_depth2_room5_padding2[longest_shortest_path])</f>
        <v>80.98</v>
      </c>
      <c r="H52">
        <f>SUBTOTAL(101,BSP_depth2_room5_padding2[component_count])</f>
        <v>1</v>
      </c>
      <c r="I52">
        <f>SUBTOTAL(101,BSP_depth2_room5_padding2[max_component_size])</f>
        <v>1025.74</v>
      </c>
      <c r="J52" s="19">
        <f>SUBTOTAL(101,BSP_depth2_room5_padding2[connectivity_ratio])</f>
        <v>1</v>
      </c>
      <c r="K52">
        <f>SUBTOTAL(101,BSP_depth2_room5_padding2[room_count])</f>
        <v>4.0199999999999996</v>
      </c>
      <c r="L52">
        <f>SUBTOTAL(101,BSP_depth2_room5_padding2[avg_room_size])</f>
        <v>243.33700000000002</v>
      </c>
      <c r="M52">
        <f>SUBTOTAL(101,BSP_depth2_room5_padding2[max_room_size])</f>
        <v>466.48</v>
      </c>
      <c r="N52">
        <f>SUBTOTAL(101,BSP_depth2_room5_padding2[min_room_size])</f>
        <v>81.58</v>
      </c>
      <c r="O52">
        <f>SUBTOTAL(101,BSP_depth2_room5_padding2[room_tiles])</f>
        <v>977.34</v>
      </c>
      <c r="P52" s="2">
        <f>SUBTOTAL(101,BSP_depth2_room5_padding2[room_ratio])</f>
        <v>0.9522204799999997</v>
      </c>
    </row>
    <row r="53" spans="1:16" x14ac:dyDescent="0.25">
      <c r="A53" s="17" t="s">
        <v>31</v>
      </c>
      <c r="B53" s="17"/>
      <c r="C53" s="17"/>
      <c r="D53" s="17"/>
      <c r="E53" s="17"/>
    </row>
  </sheetData>
  <mergeCells count="1">
    <mergeCell ref="A53:E53"/>
  </mergeCells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7E62-8E33-4159-80F4-FA6047C7C9FC}">
  <dimension ref="A1:P53"/>
  <sheetViews>
    <sheetView workbookViewId="0">
      <selection activeCell="G38" sqref="G38"/>
    </sheetView>
  </sheetViews>
  <sheetFormatPr defaultRowHeight="15" x14ac:dyDescent="0.25"/>
  <cols>
    <col min="1" max="1" width="21.140625" bestFit="1" customWidth="1"/>
    <col min="2" max="2" width="11" style="15" bestFit="1" customWidth="1"/>
    <col min="3" max="3" width="8.85546875" bestFit="1" customWidth="1"/>
    <col min="4" max="4" width="7.85546875" bestFit="1" customWidth="1"/>
    <col min="5" max="5" width="15.5703125" bestFit="1" customWidth="1"/>
    <col min="6" max="6" width="14.7109375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19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bestFit="1" customWidth="1"/>
  </cols>
  <sheetData>
    <row r="1" spans="1:16" x14ac:dyDescent="0.25">
      <c r="A1" t="s">
        <v>0</v>
      </c>
      <c r="B1" s="1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9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5">
        <v>915722647</v>
      </c>
      <c r="C2">
        <v>995</v>
      </c>
      <c r="D2">
        <v>1505</v>
      </c>
      <c r="E2" s="2">
        <v>0.39800000000000002</v>
      </c>
      <c r="F2" s="2">
        <v>0.60199999999999998</v>
      </c>
      <c r="G2">
        <v>140</v>
      </c>
      <c r="H2">
        <v>1</v>
      </c>
      <c r="I2">
        <v>995</v>
      </c>
      <c r="J2" s="19">
        <v>1</v>
      </c>
      <c r="K2">
        <v>23</v>
      </c>
      <c r="L2">
        <v>34.043478</v>
      </c>
      <c r="M2">
        <v>77</v>
      </c>
      <c r="N2">
        <v>9</v>
      </c>
      <c r="O2">
        <v>783</v>
      </c>
      <c r="P2" s="2">
        <v>0.78693500000000005</v>
      </c>
    </row>
    <row r="3" spans="1:16" x14ac:dyDescent="0.25">
      <c r="A3" t="s">
        <v>16</v>
      </c>
      <c r="B3" s="15">
        <v>87468434</v>
      </c>
      <c r="C3">
        <v>966</v>
      </c>
      <c r="D3">
        <v>1534</v>
      </c>
      <c r="E3" s="2">
        <v>0.38640000000000002</v>
      </c>
      <c r="F3" s="2">
        <v>0.61360000000000003</v>
      </c>
      <c r="G3">
        <v>118</v>
      </c>
      <c r="H3">
        <v>1</v>
      </c>
      <c r="I3">
        <v>966</v>
      </c>
      <c r="J3" s="19">
        <v>1</v>
      </c>
      <c r="K3">
        <v>24</v>
      </c>
      <c r="L3">
        <v>32.25</v>
      </c>
      <c r="M3">
        <v>81</v>
      </c>
      <c r="N3">
        <v>12</v>
      </c>
      <c r="O3">
        <v>774</v>
      </c>
      <c r="P3" s="2">
        <v>0.80124200000000001</v>
      </c>
    </row>
    <row r="4" spans="1:16" x14ac:dyDescent="0.25">
      <c r="A4" t="s">
        <v>16</v>
      </c>
      <c r="B4" s="15">
        <v>200304007</v>
      </c>
      <c r="C4">
        <v>1027</v>
      </c>
      <c r="D4">
        <v>1473</v>
      </c>
      <c r="E4" s="2">
        <v>0.4108</v>
      </c>
      <c r="F4" s="2">
        <v>0.58919999999999995</v>
      </c>
      <c r="G4">
        <v>132</v>
      </c>
      <c r="H4">
        <v>1</v>
      </c>
      <c r="I4">
        <v>1027</v>
      </c>
      <c r="J4" s="19">
        <v>1</v>
      </c>
      <c r="K4">
        <v>24</v>
      </c>
      <c r="L4">
        <v>34.5</v>
      </c>
      <c r="M4">
        <v>83</v>
      </c>
      <c r="N4">
        <v>16</v>
      </c>
      <c r="O4">
        <v>828</v>
      </c>
      <c r="P4" s="2">
        <v>0.80623199999999995</v>
      </c>
    </row>
    <row r="5" spans="1:16" x14ac:dyDescent="0.25">
      <c r="A5" t="s">
        <v>16</v>
      </c>
      <c r="B5" s="15">
        <v>1481428432</v>
      </c>
      <c r="C5">
        <v>1021</v>
      </c>
      <c r="D5">
        <v>1479</v>
      </c>
      <c r="E5" s="2">
        <v>0.40839999999999999</v>
      </c>
      <c r="F5" s="2">
        <v>0.59160000000000001</v>
      </c>
      <c r="G5">
        <v>131</v>
      </c>
      <c r="H5">
        <v>1</v>
      </c>
      <c r="I5">
        <v>1021</v>
      </c>
      <c r="J5" s="19">
        <v>1</v>
      </c>
      <c r="K5">
        <v>30</v>
      </c>
      <c r="L5">
        <v>26.1</v>
      </c>
      <c r="M5">
        <v>120</v>
      </c>
      <c r="N5">
        <v>8</v>
      </c>
      <c r="O5">
        <v>783</v>
      </c>
      <c r="P5" s="2">
        <v>0.76689499999999999</v>
      </c>
    </row>
    <row r="6" spans="1:16" x14ac:dyDescent="0.25">
      <c r="A6" t="s">
        <v>16</v>
      </c>
      <c r="B6" s="15">
        <v>1969104213</v>
      </c>
      <c r="C6">
        <v>1013</v>
      </c>
      <c r="D6">
        <v>1487</v>
      </c>
      <c r="E6" s="2">
        <v>0.4052</v>
      </c>
      <c r="F6" s="2">
        <v>0.5948</v>
      </c>
      <c r="G6">
        <v>120</v>
      </c>
      <c r="H6">
        <v>1</v>
      </c>
      <c r="I6">
        <v>1013</v>
      </c>
      <c r="J6" s="19">
        <v>1</v>
      </c>
      <c r="K6">
        <v>23</v>
      </c>
      <c r="L6">
        <v>34.869565000000001</v>
      </c>
      <c r="M6">
        <v>265</v>
      </c>
      <c r="N6">
        <v>8</v>
      </c>
      <c r="O6">
        <v>802</v>
      </c>
      <c r="P6" s="2">
        <v>0.79170799999999997</v>
      </c>
    </row>
    <row r="7" spans="1:16" x14ac:dyDescent="0.25">
      <c r="A7" t="s">
        <v>16</v>
      </c>
      <c r="B7" s="15">
        <v>305935586</v>
      </c>
      <c r="C7">
        <v>974</v>
      </c>
      <c r="D7">
        <v>1526</v>
      </c>
      <c r="E7" s="2">
        <v>0.3896</v>
      </c>
      <c r="F7" s="2">
        <v>0.61040000000000005</v>
      </c>
      <c r="G7">
        <v>148</v>
      </c>
      <c r="H7">
        <v>1</v>
      </c>
      <c r="I7">
        <v>974</v>
      </c>
      <c r="J7" s="19">
        <v>1</v>
      </c>
      <c r="K7">
        <v>26</v>
      </c>
      <c r="L7">
        <v>29.5</v>
      </c>
      <c r="M7">
        <v>146</v>
      </c>
      <c r="N7">
        <v>8</v>
      </c>
      <c r="O7">
        <v>767</v>
      </c>
      <c r="P7" s="2">
        <v>0.78747400000000001</v>
      </c>
    </row>
    <row r="8" spans="1:16" x14ac:dyDescent="0.25">
      <c r="A8" t="s">
        <v>16</v>
      </c>
      <c r="B8" s="15">
        <v>613361328</v>
      </c>
      <c r="C8">
        <v>1021</v>
      </c>
      <c r="D8">
        <v>1479</v>
      </c>
      <c r="E8" s="2">
        <v>0.40839999999999999</v>
      </c>
      <c r="F8" s="2">
        <v>0.59160000000000001</v>
      </c>
      <c r="G8">
        <v>126</v>
      </c>
      <c r="H8">
        <v>1</v>
      </c>
      <c r="I8">
        <v>1021</v>
      </c>
      <c r="J8" s="19">
        <v>1</v>
      </c>
      <c r="K8">
        <v>22</v>
      </c>
      <c r="L8">
        <v>37.727272999999997</v>
      </c>
      <c r="M8">
        <v>129</v>
      </c>
      <c r="N8">
        <v>12</v>
      </c>
      <c r="O8">
        <v>830</v>
      </c>
      <c r="P8" s="2">
        <v>0.81292900000000001</v>
      </c>
    </row>
    <row r="9" spans="1:16" x14ac:dyDescent="0.25">
      <c r="A9" t="s">
        <v>16</v>
      </c>
      <c r="B9" s="15">
        <v>1025235576</v>
      </c>
      <c r="C9">
        <v>1027</v>
      </c>
      <c r="D9">
        <v>1473</v>
      </c>
      <c r="E9" s="2">
        <v>0.4108</v>
      </c>
      <c r="F9" s="2">
        <v>0.58919999999999995</v>
      </c>
      <c r="G9">
        <v>135</v>
      </c>
      <c r="H9">
        <v>1</v>
      </c>
      <c r="I9">
        <v>1027</v>
      </c>
      <c r="J9" s="19">
        <v>1</v>
      </c>
      <c r="K9">
        <v>28</v>
      </c>
      <c r="L9">
        <v>28.678571000000002</v>
      </c>
      <c r="M9">
        <v>137</v>
      </c>
      <c r="N9">
        <v>8</v>
      </c>
      <c r="O9">
        <v>803</v>
      </c>
      <c r="P9" s="2">
        <v>0.78188899999999995</v>
      </c>
    </row>
    <row r="10" spans="1:16" x14ac:dyDescent="0.25">
      <c r="A10" t="s">
        <v>16</v>
      </c>
      <c r="B10" s="15">
        <v>1439631025</v>
      </c>
      <c r="C10">
        <v>1054</v>
      </c>
      <c r="D10">
        <v>1446</v>
      </c>
      <c r="E10" s="2">
        <v>0.42159999999999997</v>
      </c>
      <c r="F10" s="2">
        <v>0.57840000000000003</v>
      </c>
      <c r="G10">
        <v>116</v>
      </c>
      <c r="H10">
        <v>1</v>
      </c>
      <c r="I10">
        <v>1054</v>
      </c>
      <c r="J10" s="19">
        <v>1</v>
      </c>
      <c r="K10">
        <v>28</v>
      </c>
      <c r="L10">
        <v>29.178571000000002</v>
      </c>
      <c r="M10">
        <v>106</v>
      </c>
      <c r="N10">
        <v>8</v>
      </c>
      <c r="O10">
        <v>817</v>
      </c>
      <c r="P10" s="2">
        <v>0.775142</v>
      </c>
    </row>
    <row r="11" spans="1:16" x14ac:dyDescent="0.25">
      <c r="A11" t="s">
        <v>16</v>
      </c>
      <c r="B11" s="15">
        <v>1143589818</v>
      </c>
      <c r="C11">
        <v>1022</v>
      </c>
      <c r="D11">
        <v>1478</v>
      </c>
      <c r="E11" s="2">
        <v>0.4088</v>
      </c>
      <c r="F11" s="2">
        <v>0.59119999999999995</v>
      </c>
      <c r="G11">
        <v>117</v>
      </c>
      <c r="H11">
        <v>1</v>
      </c>
      <c r="I11">
        <v>1022</v>
      </c>
      <c r="J11" s="19">
        <v>1</v>
      </c>
      <c r="K11">
        <v>30</v>
      </c>
      <c r="L11">
        <v>26.033332999999999</v>
      </c>
      <c r="M11">
        <v>63</v>
      </c>
      <c r="N11">
        <v>8</v>
      </c>
      <c r="O11">
        <v>781</v>
      </c>
      <c r="P11" s="2">
        <v>0.76418799999999998</v>
      </c>
    </row>
    <row r="12" spans="1:16" x14ac:dyDescent="0.25">
      <c r="A12" t="s">
        <v>16</v>
      </c>
      <c r="B12" s="15">
        <v>146111045</v>
      </c>
      <c r="C12">
        <v>1037</v>
      </c>
      <c r="D12">
        <v>1463</v>
      </c>
      <c r="E12" s="2">
        <v>0.4148</v>
      </c>
      <c r="F12" s="2">
        <v>0.58520000000000005</v>
      </c>
      <c r="G12">
        <v>143</v>
      </c>
      <c r="H12">
        <v>1</v>
      </c>
      <c r="I12">
        <v>1037</v>
      </c>
      <c r="J12" s="19">
        <v>1</v>
      </c>
      <c r="K12">
        <v>22</v>
      </c>
      <c r="L12">
        <v>37.590909000000003</v>
      </c>
      <c r="M12">
        <v>130</v>
      </c>
      <c r="N12">
        <v>11</v>
      </c>
      <c r="O12">
        <v>827</v>
      </c>
      <c r="P12" s="2">
        <v>0.79749300000000001</v>
      </c>
    </row>
    <row r="13" spans="1:16" x14ac:dyDescent="0.25">
      <c r="A13" t="s">
        <v>16</v>
      </c>
      <c r="B13" s="15">
        <v>63019097</v>
      </c>
      <c r="C13">
        <v>982</v>
      </c>
      <c r="D13">
        <v>1518</v>
      </c>
      <c r="E13" s="2">
        <v>0.39279999999999998</v>
      </c>
      <c r="F13" s="2">
        <v>0.60719999999999996</v>
      </c>
      <c r="G13">
        <v>127</v>
      </c>
      <c r="H13">
        <v>1</v>
      </c>
      <c r="I13">
        <v>982</v>
      </c>
      <c r="J13" s="19">
        <v>1</v>
      </c>
      <c r="K13">
        <v>30</v>
      </c>
      <c r="L13">
        <v>24.9</v>
      </c>
      <c r="M13">
        <v>59</v>
      </c>
      <c r="N13">
        <v>8</v>
      </c>
      <c r="O13">
        <v>747</v>
      </c>
      <c r="P13" s="2">
        <v>0.76069200000000003</v>
      </c>
    </row>
    <row r="14" spans="1:16" x14ac:dyDescent="0.25">
      <c r="A14" t="s">
        <v>16</v>
      </c>
      <c r="B14" s="15">
        <v>613333192</v>
      </c>
      <c r="C14">
        <v>1038</v>
      </c>
      <c r="D14">
        <v>1462</v>
      </c>
      <c r="E14" s="2">
        <v>0.41520000000000001</v>
      </c>
      <c r="F14" s="2">
        <v>0.58479999999999999</v>
      </c>
      <c r="G14">
        <v>131</v>
      </c>
      <c r="H14">
        <v>1</v>
      </c>
      <c r="I14">
        <v>1038</v>
      </c>
      <c r="J14" s="19">
        <v>1</v>
      </c>
      <c r="K14">
        <v>24</v>
      </c>
      <c r="L14">
        <v>34.416666999999997</v>
      </c>
      <c r="M14">
        <v>118</v>
      </c>
      <c r="N14">
        <v>10</v>
      </c>
      <c r="O14">
        <v>826</v>
      </c>
      <c r="P14" s="2">
        <v>0.79576100000000005</v>
      </c>
    </row>
    <row r="15" spans="1:16" x14ac:dyDescent="0.25">
      <c r="A15" t="s">
        <v>16</v>
      </c>
      <c r="B15" s="15">
        <v>1457787291</v>
      </c>
      <c r="C15">
        <v>1062</v>
      </c>
      <c r="D15">
        <v>1438</v>
      </c>
      <c r="E15" s="2">
        <v>0.42480000000000001</v>
      </c>
      <c r="F15" s="2">
        <v>0.57520000000000004</v>
      </c>
      <c r="G15">
        <v>146</v>
      </c>
      <c r="H15">
        <v>1</v>
      </c>
      <c r="I15">
        <v>1062</v>
      </c>
      <c r="J15" s="19">
        <v>1</v>
      </c>
      <c r="K15">
        <v>29</v>
      </c>
      <c r="L15">
        <v>28.586207000000002</v>
      </c>
      <c r="M15">
        <v>75</v>
      </c>
      <c r="N15">
        <v>8</v>
      </c>
      <c r="O15">
        <v>829</v>
      </c>
      <c r="P15" s="2">
        <v>0.78060300000000005</v>
      </c>
    </row>
    <row r="16" spans="1:16" x14ac:dyDescent="0.25">
      <c r="A16" t="s">
        <v>16</v>
      </c>
      <c r="B16" s="15">
        <v>1712922000</v>
      </c>
      <c r="C16">
        <v>990</v>
      </c>
      <c r="D16">
        <v>1510</v>
      </c>
      <c r="E16" s="2">
        <v>0.39600000000000002</v>
      </c>
      <c r="F16" s="2">
        <v>0.60399999999999998</v>
      </c>
      <c r="G16">
        <v>139</v>
      </c>
      <c r="H16">
        <v>1</v>
      </c>
      <c r="I16">
        <v>990</v>
      </c>
      <c r="J16" s="19">
        <v>1</v>
      </c>
      <c r="K16">
        <v>21</v>
      </c>
      <c r="L16">
        <v>38.619047999999999</v>
      </c>
      <c r="M16">
        <v>93</v>
      </c>
      <c r="N16">
        <v>16</v>
      </c>
      <c r="O16">
        <v>811</v>
      </c>
      <c r="P16" s="2">
        <v>0.81919200000000003</v>
      </c>
    </row>
    <row r="17" spans="1:16" x14ac:dyDescent="0.25">
      <c r="A17" t="s">
        <v>16</v>
      </c>
      <c r="B17" s="15">
        <v>1317892179</v>
      </c>
      <c r="C17">
        <v>1065</v>
      </c>
      <c r="D17">
        <v>1435</v>
      </c>
      <c r="E17" s="2">
        <v>0.42599999999999999</v>
      </c>
      <c r="F17" s="2">
        <v>0.57399999999999995</v>
      </c>
      <c r="G17">
        <v>134</v>
      </c>
      <c r="H17">
        <v>1</v>
      </c>
      <c r="I17">
        <v>1065</v>
      </c>
      <c r="J17" s="19">
        <v>1</v>
      </c>
      <c r="K17">
        <v>26</v>
      </c>
      <c r="L17">
        <v>33.269230999999998</v>
      </c>
      <c r="M17">
        <v>157</v>
      </c>
      <c r="N17">
        <v>11</v>
      </c>
      <c r="O17">
        <v>865</v>
      </c>
      <c r="P17" s="2">
        <v>0.81220700000000001</v>
      </c>
    </row>
    <row r="18" spans="1:16" x14ac:dyDescent="0.25">
      <c r="A18" t="s">
        <v>16</v>
      </c>
      <c r="B18" s="15">
        <v>584815387</v>
      </c>
      <c r="C18">
        <v>1023</v>
      </c>
      <c r="D18">
        <v>1477</v>
      </c>
      <c r="E18" s="2">
        <v>0.40920000000000001</v>
      </c>
      <c r="F18" s="2">
        <v>0.59079999999999999</v>
      </c>
      <c r="G18">
        <v>119</v>
      </c>
      <c r="H18">
        <v>1</v>
      </c>
      <c r="I18">
        <v>1023</v>
      </c>
      <c r="J18" s="19">
        <v>1</v>
      </c>
      <c r="K18">
        <v>23</v>
      </c>
      <c r="L18">
        <v>36.391303999999998</v>
      </c>
      <c r="M18">
        <v>66</v>
      </c>
      <c r="N18">
        <v>12</v>
      </c>
      <c r="O18">
        <v>837</v>
      </c>
      <c r="P18" s="2">
        <v>0.81818199999999996</v>
      </c>
    </row>
    <row r="19" spans="1:16" x14ac:dyDescent="0.25">
      <c r="A19" t="s">
        <v>16</v>
      </c>
      <c r="B19" s="15">
        <v>1396458434</v>
      </c>
      <c r="C19">
        <v>1042</v>
      </c>
      <c r="D19">
        <v>1458</v>
      </c>
      <c r="E19" s="2">
        <v>0.4168</v>
      </c>
      <c r="F19" s="2">
        <v>0.58320000000000005</v>
      </c>
      <c r="G19">
        <v>130</v>
      </c>
      <c r="H19">
        <v>1</v>
      </c>
      <c r="I19">
        <v>1042</v>
      </c>
      <c r="J19" s="19">
        <v>1</v>
      </c>
      <c r="K19">
        <v>29</v>
      </c>
      <c r="L19">
        <v>28.103448</v>
      </c>
      <c r="M19">
        <v>86</v>
      </c>
      <c r="N19">
        <v>11</v>
      </c>
      <c r="O19">
        <v>815</v>
      </c>
      <c r="P19" s="2">
        <v>0.78215000000000001</v>
      </c>
    </row>
    <row r="20" spans="1:16" x14ac:dyDescent="0.25">
      <c r="A20" t="s">
        <v>16</v>
      </c>
      <c r="B20" s="15">
        <v>864920898</v>
      </c>
      <c r="C20">
        <v>1043</v>
      </c>
      <c r="D20">
        <v>1457</v>
      </c>
      <c r="E20" s="2">
        <v>0.41720000000000002</v>
      </c>
      <c r="F20" s="2">
        <v>0.58279999999999998</v>
      </c>
      <c r="G20">
        <v>138</v>
      </c>
      <c r="H20">
        <v>1</v>
      </c>
      <c r="I20">
        <v>1043</v>
      </c>
      <c r="J20" s="19">
        <v>1</v>
      </c>
      <c r="K20">
        <v>29</v>
      </c>
      <c r="L20">
        <v>28.241378999999998</v>
      </c>
      <c r="M20">
        <v>135</v>
      </c>
      <c r="N20">
        <v>8</v>
      </c>
      <c r="O20">
        <v>819</v>
      </c>
      <c r="P20" s="2">
        <v>0.78523500000000002</v>
      </c>
    </row>
    <row r="21" spans="1:16" x14ac:dyDescent="0.25">
      <c r="A21" t="s">
        <v>16</v>
      </c>
      <c r="B21" s="15">
        <v>382221129</v>
      </c>
      <c r="C21">
        <v>1029</v>
      </c>
      <c r="D21">
        <v>1471</v>
      </c>
      <c r="E21" s="2">
        <v>0.41160000000000002</v>
      </c>
      <c r="F21" s="2">
        <v>0.58840000000000003</v>
      </c>
      <c r="G21">
        <v>132</v>
      </c>
      <c r="H21">
        <v>1</v>
      </c>
      <c r="I21">
        <v>1029</v>
      </c>
      <c r="J21" s="19">
        <v>1</v>
      </c>
      <c r="K21">
        <v>24</v>
      </c>
      <c r="L21">
        <v>34.25</v>
      </c>
      <c r="M21">
        <v>94</v>
      </c>
      <c r="N21">
        <v>8</v>
      </c>
      <c r="O21">
        <v>822</v>
      </c>
      <c r="P21" s="2">
        <v>0.79883400000000004</v>
      </c>
    </row>
    <row r="22" spans="1:16" x14ac:dyDescent="0.25">
      <c r="A22" t="s">
        <v>16</v>
      </c>
      <c r="B22" s="15">
        <v>163884596</v>
      </c>
      <c r="C22">
        <v>1065</v>
      </c>
      <c r="D22">
        <v>1435</v>
      </c>
      <c r="E22" s="2">
        <v>0.42599999999999999</v>
      </c>
      <c r="F22" s="2">
        <v>0.57399999999999995</v>
      </c>
      <c r="G22">
        <v>124</v>
      </c>
      <c r="H22">
        <v>1</v>
      </c>
      <c r="I22">
        <v>1065</v>
      </c>
      <c r="J22" s="19">
        <v>1</v>
      </c>
      <c r="K22">
        <v>27</v>
      </c>
      <c r="L22">
        <v>32.037036999999998</v>
      </c>
      <c r="M22">
        <v>80</v>
      </c>
      <c r="N22">
        <v>12</v>
      </c>
      <c r="O22">
        <v>865</v>
      </c>
      <c r="P22" s="2">
        <v>0.81220700000000001</v>
      </c>
    </row>
    <row r="23" spans="1:16" x14ac:dyDescent="0.25">
      <c r="A23" t="s">
        <v>16</v>
      </c>
      <c r="B23" s="15">
        <v>1639867486</v>
      </c>
      <c r="C23">
        <v>1086</v>
      </c>
      <c r="D23">
        <v>1414</v>
      </c>
      <c r="E23" s="2">
        <v>0.43440000000000001</v>
      </c>
      <c r="F23" s="2">
        <v>0.56559999999999999</v>
      </c>
      <c r="G23">
        <v>116</v>
      </c>
      <c r="H23">
        <v>1</v>
      </c>
      <c r="I23">
        <v>1086</v>
      </c>
      <c r="J23" s="19">
        <v>1</v>
      </c>
      <c r="K23">
        <v>27</v>
      </c>
      <c r="L23">
        <v>31.851852000000001</v>
      </c>
      <c r="M23">
        <v>66</v>
      </c>
      <c r="N23">
        <v>11</v>
      </c>
      <c r="O23">
        <v>860</v>
      </c>
      <c r="P23" s="2">
        <v>0.79189699999999996</v>
      </c>
    </row>
    <row r="24" spans="1:16" x14ac:dyDescent="0.25">
      <c r="A24" t="s">
        <v>16</v>
      </c>
      <c r="B24" s="15">
        <v>1497768009</v>
      </c>
      <c r="C24">
        <v>950</v>
      </c>
      <c r="D24">
        <v>1550</v>
      </c>
      <c r="E24" s="2">
        <v>0.38</v>
      </c>
      <c r="F24" s="2">
        <v>0.62</v>
      </c>
      <c r="G24">
        <v>134</v>
      </c>
      <c r="H24">
        <v>1</v>
      </c>
      <c r="I24">
        <v>950</v>
      </c>
      <c r="J24" s="19">
        <v>1</v>
      </c>
      <c r="K24">
        <v>30</v>
      </c>
      <c r="L24">
        <v>23.8</v>
      </c>
      <c r="M24">
        <v>65</v>
      </c>
      <c r="N24">
        <v>8</v>
      </c>
      <c r="O24">
        <v>714</v>
      </c>
      <c r="P24" s="2">
        <v>0.751579</v>
      </c>
    </row>
    <row r="25" spans="1:16" x14ac:dyDescent="0.25">
      <c r="A25" t="s">
        <v>16</v>
      </c>
      <c r="B25" s="15">
        <v>1767122107</v>
      </c>
      <c r="C25">
        <v>1031</v>
      </c>
      <c r="D25">
        <v>1469</v>
      </c>
      <c r="E25" s="2">
        <v>0.41239999999999999</v>
      </c>
      <c r="F25" s="2">
        <v>0.58760000000000001</v>
      </c>
      <c r="G25">
        <v>116</v>
      </c>
      <c r="H25">
        <v>1</v>
      </c>
      <c r="I25">
        <v>1031</v>
      </c>
      <c r="J25" s="19">
        <v>1</v>
      </c>
      <c r="K25">
        <v>33</v>
      </c>
      <c r="L25">
        <v>23.484848</v>
      </c>
      <c r="M25">
        <v>45</v>
      </c>
      <c r="N25">
        <v>9</v>
      </c>
      <c r="O25">
        <v>775</v>
      </c>
      <c r="P25" s="2">
        <v>0.75169699999999995</v>
      </c>
    </row>
    <row r="26" spans="1:16" x14ac:dyDescent="0.25">
      <c r="A26" t="s">
        <v>16</v>
      </c>
      <c r="B26" s="15">
        <v>864252420</v>
      </c>
      <c r="C26">
        <v>994</v>
      </c>
      <c r="D26">
        <v>1506</v>
      </c>
      <c r="E26" s="2">
        <v>0.39760000000000001</v>
      </c>
      <c r="F26" s="2">
        <v>0.60240000000000005</v>
      </c>
      <c r="G26">
        <v>122</v>
      </c>
      <c r="H26">
        <v>1</v>
      </c>
      <c r="I26">
        <v>994</v>
      </c>
      <c r="J26" s="19">
        <v>1</v>
      </c>
      <c r="K26">
        <v>32</v>
      </c>
      <c r="L26">
        <v>23.3125</v>
      </c>
      <c r="M26">
        <v>103</v>
      </c>
      <c r="N26">
        <v>8</v>
      </c>
      <c r="O26">
        <v>746</v>
      </c>
      <c r="P26" s="2">
        <v>0.75050300000000003</v>
      </c>
    </row>
    <row r="27" spans="1:16" x14ac:dyDescent="0.25">
      <c r="A27" t="s">
        <v>16</v>
      </c>
      <c r="B27" s="15">
        <v>1374104520</v>
      </c>
      <c r="C27">
        <v>1019</v>
      </c>
      <c r="D27">
        <v>1481</v>
      </c>
      <c r="E27" s="2">
        <v>0.40760000000000002</v>
      </c>
      <c r="F27" s="2">
        <v>0.59240000000000004</v>
      </c>
      <c r="G27">
        <v>119</v>
      </c>
      <c r="H27">
        <v>1</v>
      </c>
      <c r="I27">
        <v>1019</v>
      </c>
      <c r="J27" s="19">
        <v>1</v>
      </c>
      <c r="K27">
        <v>29</v>
      </c>
      <c r="L27">
        <v>27.517240999999999</v>
      </c>
      <c r="M27">
        <v>52</v>
      </c>
      <c r="N27">
        <v>11</v>
      </c>
      <c r="O27">
        <v>798</v>
      </c>
      <c r="P27" s="2">
        <v>0.78312099999999996</v>
      </c>
    </row>
    <row r="28" spans="1:16" x14ac:dyDescent="0.25">
      <c r="A28" t="s">
        <v>16</v>
      </c>
      <c r="B28" s="15">
        <v>1003463261</v>
      </c>
      <c r="C28">
        <v>968</v>
      </c>
      <c r="D28">
        <v>1532</v>
      </c>
      <c r="E28" s="2">
        <v>0.38719999999999999</v>
      </c>
      <c r="F28" s="2">
        <v>0.61280000000000001</v>
      </c>
      <c r="G28">
        <v>132</v>
      </c>
      <c r="H28">
        <v>1</v>
      </c>
      <c r="I28">
        <v>968</v>
      </c>
      <c r="J28" s="19">
        <v>1</v>
      </c>
      <c r="K28">
        <v>29</v>
      </c>
      <c r="L28">
        <v>25.793102999999999</v>
      </c>
      <c r="M28">
        <v>60</v>
      </c>
      <c r="N28">
        <v>5</v>
      </c>
      <c r="O28">
        <v>748</v>
      </c>
      <c r="P28" s="2">
        <v>0.77272700000000005</v>
      </c>
    </row>
    <row r="29" spans="1:16" x14ac:dyDescent="0.25">
      <c r="A29" t="s">
        <v>16</v>
      </c>
      <c r="B29" s="15">
        <v>199400352</v>
      </c>
      <c r="C29">
        <v>1047</v>
      </c>
      <c r="D29">
        <v>1453</v>
      </c>
      <c r="E29" s="2">
        <v>0.41880000000000001</v>
      </c>
      <c r="F29" s="2">
        <v>0.58120000000000005</v>
      </c>
      <c r="G29">
        <v>131</v>
      </c>
      <c r="H29">
        <v>1</v>
      </c>
      <c r="I29">
        <v>1047</v>
      </c>
      <c r="J29" s="19">
        <v>1</v>
      </c>
      <c r="K29">
        <v>20</v>
      </c>
      <c r="L29">
        <v>43</v>
      </c>
      <c r="M29">
        <v>92</v>
      </c>
      <c r="N29">
        <v>11</v>
      </c>
      <c r="O29">
        <v>860</v>
      </c>
      <c r="P29" s="2">
        <v>0.82139399999999996</v>
      </c>
    </row>
    <row r="30" spans="1:16" x14ac:dyDescent="0.25">
      <c r="A30" t="s">
        <v>16</v>
      </c>
      <c r="B30" s="15">
        <v>491670701</v>
      </c>
      <c r="C30">
        <v>1048</v>
      </c>
      <c r="D30">
        <v>1452</v>
      </c>
      <c r="E30" s="2">
        <v>0.41920000000000002</v>
      </c>
      <c r="F30" s="2">
        <v>0.58079999999999998</v>
      </c>
      <c r="G30">
        <v>112</v>
      </c>
      <c r="H30">
        <v>1</v>
      </c>
      <c r="I30">
        <v>1048</v>
      </c>
      <c r="J30" s="19">
        <v>1</v>
      </c>
      <c r="K30">
        <v>24</v>
      </c>
      <c r="L30">
        <v>35.625</v>
      </c>
      <c r="M30">
        <v>114</v>
      </c>
      <c r="N30">
        <v>14</v>
      </c>
      <c r="O30">
        <v>855</v>
      </c>
      <c r="P30" s="2">
        <v>0.81584000000000001</v>
      </c>
    </row>
    <row r="31" spans="1:16" x14ac:dyDescent="0.25">
      <c r="A31" t="s">
        <v>16</v>
      </c>
      <c r="B31" s="15">
        <v>1658894507</v>
      </c>
      <c r="C31">
        <v>1068</v>
      </c>
      <c r="D31">
        <v>1432</v>
      </c>
      <c r="E31" s="2">
        <v>0.42720000000000002</v>
      </c>
      <c r="F31" s="2">
        <v>0.57279999999999998</v>
      </c>
      <c r="G31">
        <v>138</v>
      </c>
      <c r="H31">
        <v>1</v>
      </c>
      <c r="I31">
        <v>1068</v>
      </c>
      <c r="J31" s="19">
        <v>1</v>
      </c>
      <c r="K31">
        <v>28</v>
      </c>
      <c r="L31">
        <v>29.857143000000001</v>
      </c>
      <c r="M31">
        <v>124</v>
      </c>
      <c r="N31">
        <v>7</v>
      </c>
      <c r="O31">
        <v>836</v>
      </c>
      <c r="P31" s="2">
        <v>0.78277200000000002</v>
      </c>
    </row>
    <row r="32" spans="1:16" x14ac:dyDescent="0.25">
      <c r="A32" t="s">
        <v>16</v>
      </c>
      <c r="B32" s="15">
        <v>488686421</v>
      </c>
      <c r="C32">
        <v>1046</v>
      </c>
      <c r="D32">
        <v>1454</v>
      </c>
      <c r="E32" s="2">
        <v>0.41839999999999999</v>
      </c>
      <c r="F32" s="2">
        <v>0.58160000000000001</v>
      </c>
      <c r="G32">
        <v>132</v>
      </c>
      <c r="H32">
        <v>1</v>
      </c>
      <c r="I32">
        <v>1046</v>
      </c>
      <c r="J32" s="19">
        <v>1</v>
      </c>
      <c r="K32">
        <v>23</v>
      </c>
      <c r="L32">
        <v>37.086956999999998</v>
      </c>
      <c r="M32">
        <v>120</v>
      </c>
      <c r="N32">
        <v>11</v>
      </c>
      <c r="O32">
        <v>853</v>
      </c>
      <c r="P32" s="2">
        <v>0.81548799999999999</v>
      </c>
    </row>
    <row r="33" spans="1:16" x14ac:dyDescent="0.25">
      <c r="A33" t="s">
        <v>16</v>
      </c>
      <c r="B33" s="15">
        <v>1744983631</v>
      </c>
      <c r="C33">
        <v>996</v>
      </c>
      <c r="D33">
        <v>1504</v>
      </c>
      <c r="E33" s="2">
        <v>0.39839999999999998</v>
      </c>
      <c r="F33" s="2">
        <v>0.60160000000000002</v>
      </c>
      <c r="G33">
        <v>130</v>
      </c>
      <c r="H33">
        <v>1</v>
      </c>
      <c r="I33">
        <v>996</v>
      </c>
      <c r="J33" s="19">
        <v>1</v>
      </c>
      <c r="K33">
        <v>24</v>
      </c>
      <c r="L33">
        <v>33.25</v>
      </c>
      <c r="M33">
        <v>120</v>
      </c>
      <c r="N33">
        <v>8</v>
      </c>
      <c r="O33">
        <v>798</v>
      </c>
      <c r="P33" s="2">
        <v>0.80120499999999995</v>
      </c>
    </row>
    <row r="34" spans="1:16" x14ac:dyDescent="0.25">
      <c r="A34" t="s">
        <v>16</v>
      </c>
      <c r="B34" s="15">
        <v>189833386</v>
      </c>
      <c r="C34">
        <v>1008</v>
      </c>
      <c r="D34">
        <v>1492</v>
      </c>
      <c r="E34" s="2">
        <v>0.4032</v>
      </c>
      <c r="F34" s="2">
        <v>0.5968</v>
      </c>
      <c r="G34">
        <v>140</v>
      </c>
      <c r="H34">
        <v>1</v>
      </c>
      <c r="I34">
        <v>1008</v>
      </c>
      <c r="J34" s="19">
        <v>1</v>
      </c>
      <c r="K34">
        <v>25</v>
      </c>
      <c r="L34">
        <v>32.04</v>
      </c>
      <c r="M34">
        <v>139</v>
      </c>
      <c r="N34">
        <v>8</v>
      </c>
      <c r="O34">
        <v>801</v>
      </c>
      <c r="P34" s="2">
        <v>0.79464299999999999</v>
      </c>
    </row>
    <row r="35" spans="1:16" x14ac:dyDescent="0.25">
      <c r="A35" t="s">
        <v>16</v>
      </c>
      <c r="B35" s="15">
        <v>997905680</v>
      </c>
      <c r="C35">
        <v>984</v>
      </c>
      <c r="D35">
        <v>1516</v>
      </c>
      <c r="E35" s="2">
        <v>0.39360000000000001</v>
      </c>
      <c r="F35" s="2">
        <v>0.60640000000000005</v>
      </c>
      <c r="G35">
        <v>130</v>
      </c>
      <c r="H35">
        <v>1</v>
      </c>
      <c r="I35">
        <v>984</v>
      </c>
      <c r="J35" s="19">
        <v>1</v>
      </c>
      <c r="K35">
        <v>22</v>
      </c>
      <c r="L35">
        <v>36.409090999999997</v>
      </c>
      <c r="M35">
        <v>99</v>
      </c>
      <c r="N35">
        <v>12</v>
      </c>
      <c r="O35">
        <v>801</v>
      </c>
      <c r="P35" s="2">
        <v>0.81402399999999997</v>
      </c>
    </row>
    <row r="36" spans="1:16" x14ac:dyDescent="0.25">
      <c r="A36" t="s">
        <v>16</v>
      </c>
      <c r="B36" s="15">
        <v>1403803098</v>
      </c>
      <c r="C36">
        <v>1051</v>
      </c>
      <c r="D36">
        <v>1449</v>
      </c>
      <c r="E36" s="2">
        <v>0.4204</v>
      </c>
      <c r="F36" s="2">
        <v>0.5796</v>
      </c>
      <c r="G36">
        <v>126</v>
      </c>
      <c r="H36">
        <v>1</v>
      </c>
      <c r="I36">
        <v>1051</v>
      </c>
      <c r="J36" s="19">
        <v>1</v>
      </c>
      <c r="K36">
        <v>29</v>
      </c>
      <c r="L36">
        <v>28.275862</v>
      </c>
      <c r="M36">
        <v>60</v>
      </c>
      <c r="N36">
        <v>11</v>
      </c>
      <c r="O36">
        <v>820</v>
      </c>
      <c r="P36" s="2">
        <v>0.78020900000000004</v>
      </c>
    </row>
    <row r="37" spans="1:16" x14ac:dyDescent="0.25">
      <c r="A37" t="s">
        <v>16</v>
      </c>
      <c r="B37" s="15">
        <v>1017910773</v>
      </c>
      <c r="C37">
        <v>1042</v>
      </c>
      <c r="D37">
        <v>1458</v>
      </c>
      <c r="E37" s="2">
        <v>0.4168</v>
      </c>
      <c r="F37" s="2">
        <v>0.58320000000000005</v>
      </c>
      <c r="G37">
        <v>113</v>
      </c>
      <c r="H37">
        <v>1</v>
      </c>
      <c r="I37">
        <v>1042</v>
      </c>
      <c r="J37" s="19">
        <v>1</v>
      </c>
      <c r="K37">
        <v>22</v>
      </c>
      <c r="L37">
        <v>38.227272999999997</v>
      </c>
      <c r="M37">
        <v>134</v>
      </c>
      <c r="N37">
        <v>11</v>
      </c>
      <c r="O37">
        <v>841</v>
      </c>
      <c r="P37" s="2">
        <v>0.80710199999999999</v>
      </c>
    </row>
    <row r="38" spans="1:16" x14ac:dyDescent="0.25">
      <c r="A38" t="s">
        <v>16</v>
      </c>
      <c r="B38" s="15">
        <v>1353973343</v>
      </c>
      <c r="C38">
        <v>1057</v>
      </c>
      <c r="D38">
        <v>1443</v>
      </c>
      <c r="E38" s="2">
        <v>0.42280000000000001</v>
      </c>
      <c r="F38" s="2">
        <v>0.57720000000000005</v>
      </c>
      <c r="G38">
        <v>133</v>
      </c>
      <c r="H38">
        <v>1</v>
      </c>
      <c r="I38">
        <v>1057</v>
      </c>
      <c r="J38" s="19">
        <v>1</v>
      </c>
      <c r="K38">
        <v>29</v>
      </c>
      <c r="L38">
        <v>28.310345000000002</v>
      </c>
      <c r="M38">
        <v>93</v>
      </c>
      <c r="N38">
        <v>5</v>
      </c>
      <c r="O38">
        <v>821</v>
      </c>
      <c r="P38" s="2">
        <v>0.77672699999999995</v>
      </c>
    </row>
    <row r="39" spans="1:16" x14ac:dyDescent="0.25">
      <c r="A39" t="s">
        <v>16</v>
      </c>
      <c r="B39" s="15">
        <v>2043270675</v>
      </c>
      <c r="C39">
        <v>1008</v>
      </c>
      <c r="D39">
        <v>1492</v>
      </c>
      <c r="E39" s="2">
        <v>0.4032</v>
      </c>
      <c r="F39" s="2">
        <v>0.5968</v>
      </c>
      <c r="G39">
        <v>116</v>
      </c>
      <c r="H39">
        <v>1</v>
      </c>
      <c r="I39">
        <v>1008</v>
      </c>
      <c r="J39" s="19">
        <v>1</v>
      </c>
      <c r="K39">
        <v>25</v>
      </c>
      <c r="L39">
        <v>31.92</v>
      </c>
      <c r="M39">
        <v>68</v>
      </c>
      <c r="N39">
        <v>9</v>
      </c>
      <c r="O39">
        <v>798</v>
      </c>
      <c r="P39" s="2">
        <v>0.79166700000000001</v>
      </c>
    </row>
    <row r="40" spans="1:16" x14ac:dyDescent="0.25">
      <c r="A40" t="s">
        <v>16</v>
      </c>
      <c r="B40" s="15">
        <v>1046280505</v>
      </c>
      <c r="C40">
        <v>1008</v>
      </c>
      <c r="D40">
        <v>1492</v>
      </c>
      <c r="E40" s="2">
        <v>0.4032</v>
      </c>
      <c r="F40" s="2">
        <v>0.5968</v>
      </c>
      <c r="G40">
        <v>122</v>
      </c>
      <c r="H40">
        <v>1</v>
      </c>
      <c r="I40">
        <v>1008</v>
      </c>
      <c r="J40" s="19">
        <v>1</v>
      </c>
      <c r="K40">
        <v>25</v>
      </c>
      <c r="L40">
        <v>31.96</v>
      </c>
      <c r="M40">
        <v>110</v>
      </c>
      <c r="N40">
        <v>12</v>
      </c>
      <c r="O40">
        <v>799</v>
      </c>
      <c r="P40" s="2">
        <v>0.792659</v>
      </c>
    </row>
    <row r="41" spans="1:16" x14ac:dyDescent="0.25">
      <c r="A41" t="s">
        <v>16</v>
      </c>
      <c r="B41" s="15">
        <v>1607862319</v>
      </c>
      <c r="C41">
        <v>1016</v>
      </c>
      <c r="D41">
        <v>1484</v>
      </c>
      <c r="E41" s="2">
        <v>0.40639999999999998</v>
      </c>
      <c r="F41" s="2">
        <v>0.59360000000000002</v>
      </c>
      <c r="G41">
        <v>136</v>
      </c>
      <c r="H41">
        <v>1</v>
      </c>
      <c r="I41">
        <v>1016</v>
      </c>
      <c r="J41" s="19">
        <v>1</v>
      </c>
      <c r="K41">
        <v>30</v>
      </c>
      <c r="L41">
        <v>25.866667</v>
      </c>
      <c r="M41">
        <v>143</v>
      </c>
      <c r="N41">
        <v>8</v>
      </c>
      <c r="O41">
        <v>776</v>
      </c>
      <c r="P41" s="2">
        <v>0.76378000000000001</v>
      </c>
    </row>
    <row r="42" spans="1:16" x14ac:dyDescent="0.25">
      <c r="A42" t="s">
        <v>16</v>
      </c>
      <c r="B42" s="15">
        <v>105208957</v>
      </c>
      <c r="C42">
        <v>1026</v>
      </c>
      <c r="D42">
        <v>1474</v>
      </c>
      <c r="E42" s="2">
        <v>0.41039999999999999</v>
      </c>
      <c r="F42" s="2">
        <v>0.58960000000000001</v>
      </c>
      <c r="G42">
        <v>129</v>
      </c>
      <c r="H42">
        <v>1</v>
      </c>
      <c r="I42">
        <v>1026</v>
      </c>
      <c r="J42" s="19">
        <v>1</v>
      </c>
      <c r="K42">
        <v>27</v>
      </c>
      <c r="L42">
        <v>30.037037000000002</v>
      </c>
      <c r="M42">
        <v>107</v>
      </c>
      <c r="N42">
        <v>8</v>
      </c>
      <c r="O42">
        <v>811</v>
      </c>
      <c r="P42" s="2">
        <v>0.79044800000000004</v>
      </c>
    </row>
    <row r="43" spans="1:16" x14ac:dyDescent="0.25">
      <c r="A43" t="s">
        <v>16</v>
      </c>
      <c r="B43" s="15">
        <v>1970066624</v>
      </c>
      <c r="C43">
        <v>1013</v>
      </c>
      <c r="D43">
        <v>1487</v>
      </c>
      <c r="E43" s="2">
        <v>0.4052</v>
      </c>
      <c r="F43" s="2">
        <v>0.5948</v>
      </c>
      <c r="G43">
        <v>125</v>
      </c>
      <c r="H43">
        <v>1</v>
      </c>
      <c r="I43">
        <v>1013</v>
      </c>
      <c r="J43" s="19">
        <v>1</v>
      </c>
      <c r="K43">
        <v>23</v>
      </c>
      <c r="L43">
        <v>35.478261000000003</v>
      </c>
      <c r="M43">
        <v>118</v>
      </c>
      <c r="N43">
        <v>14</v>
      </c>
      <c r="O43">
        <v>816</v>
      </c>
      <c r="P43" s="2">
        <v>0.80552800000000002</v>
      </c>
    </row>
    <row r="44" spans="1:16" x14ac:dyDescent="0.25">
      <c r="A44" t="s">
        <v>16</v>
      </c>
      <c r="B44" s="15">
        <v>1698075887</v>
      </c>
      <c r="C44">
        <v>1035</v>
      </c>
      <c r="D44">
        <v>1465</v>
      </c>
      <c r="E44" s="2">
        <v>0.41399999999999998</v>
      </c>
      <c r="F44" s="2">
        <v>0.58599999999999997</v>
      </c>
      <c r="G44">
        <v>134</v>
      </c>
      <c r="H44">
        <v>1</v>
      </c>
      <c r="I44">
        <v>1035</v>
      </c>
      <c r="J44" s="19">
        <v>1</v>
      </c>
      <c r="K44">
        <v>24</v>
      </c>
      <c r="L44">
        <v>34.583333000000003</v>
      </c>
      <c r="M44">
        <v>108</v>
      </c>
      <c r="N44">
        <v>12</v>
      </c>
      <c r="O44">
        <v>830</v>
      </c>
      <c r="P44" s="2">
        <v>0.80193199999999998</v>
      </c>
    </row>
    <row r="45" spans="1:16" x14ac:dyDescent="0.25">
      <c r="A45" t="s">
        <v>16</v>
      </c>
      <c r="B45" s="15">
        <v>207740860</v>
      </c>
      <c r="C45">
        <v>1045</v>
      </c>
      <c r="D45">
        <v>1455</v>
      </c>
      <c r="E45" s="2">
        <v>0.41799999999999998</v>
      </c>
      <c r="F45" s="2">
        <v>0.58199999999999996</v>
      </c>
      <c r="G45">
        <v>115</v>
      </c>
      <c r="H45">
        <v>1</v>
      </c>
      <c r="I45">
        <v>1045</v>
      </c>
      <c r="J45" s="19">
        <v>1</v>
      </c>
      <c r="K45">
        <v>22</v>
      </c>
      <c r="L45">
        <v>38.136364</v>
      </c>
      <c r="M45">
        <v>113</v>
      </c>
      <c r="N45">
        <v>14</v>
      </c>
      <c r="O45">
        <v>839</v>
      </c>
      <c r="P45" s="2">
        <v>0.802871</v>
      </c>
    </row>
    <row r="46" spans="1:16" x14ac:dyDescent="0.25">
      <c r="A46" t="s">
        <v>16</v>
      </c>
      <c r="B46" s="15">
        <v>698282411</v>
      </c>
      <c r="C46">
        <v>986</v>
      </c>
      <c r="D46">
        <v>1514</v>
      </c>
      <c r="E46" s="2">
        <v>0.39439999999999997</v>
      </c>
      <c r="F46" s="2">
        <v>0.60560000000000003</v>
      </c>
      <c r="G46">
        <v>145</v>
      </c>
      <c r="H46">
        <v>1</v>
      </c>
      <c r="I46">
        <v>986</v>
      </c>
      <c r="J46" s="19">
        <v>1</v>
      </c>
      <c r="K46">
        <v>29</v>
      </c>
      <c r="L46">
        <v>26.275862</v>
      </c>
      <c r="M46">
        <v>53</v>
      </c>
      <c r="N46">
        <v>12</v>
      </c>
      <c r="O46">
        <v>762</v>
      </c>
      <c r="P46" s="2">
        <v>0.77281900000000003</v>
      </c>
    </row>
    <row r="47" spans="1:16" x14ac:dyDescent="0.25">
      <c r="A47" t="s">
        <v>16</v>
      </c>
      <c r="B47" s="15">
        <v>1641079550</v>
      </c>
      <c r="C47">
        <v>1053</v>
      </c>
      <c r="D47">
        <v>1447</v>
      </c>
      <c r="E47" s="2">
        <v>0.42120000000000002</v>
      </c>
      <c r="F47" s="2">
        <v>0.57879999999999998</v>
      </c>
      <c r="G47">
        <v>129</v>
      </c>
      <c r="H47">
        <v>1</v>
      </c>
      <c r="I47">
        <v>1053</v>
      </c>
      <c r="J47" s="19">
        <v>1</v>
      </c>
      <c r="K47">
        <v>26</v>
      </c>
      <c r="L47">
        <v>32.153846000000001</v>
      </c>
      <c r="M47">
        <v>66</v>
      </c>
      <c r="N47">
        <v>13</v>
      </c>
      <c r="O47">
        <v>836</v>
      </c>
      <c r="P47" s="2">
        <v>0.79392200000000002</v>
      </c>
    </row>
    <row r="48" spans="1:16" x14ac:dyDescent="0.25">
      <c r="A48" t="s">
        <v>16</v>
      </c>
      <c r="B48" s="15">
        <v>1989361371</v>
      </c>
      <c r="C48">
        <v>975</v>
      </c>
      <c r="D48">
        <v>1525</v>
      </c>
      <c r="E48" s="2">
        <v>0.39</v>
      </c>
      <c r="F48" s="2">
        <v>0.61</v>
      </c>
      <c r="G48">
        <v>136</v>
      </c>
      <c r="H48">
        <v>1</v>
      </c>
      <c r="I48">
        <v>975</v>
      </c>
      <c r="J48" s="19">
        <v>1</v>
      </c>
      <c r="K48">
        <v>31</v>
      </c>
      <c r="L48">
        <v>23.645161000000002</v>
      </c>
      <c r="M48">
        <v>82</v>
      </c>
      <c r="N48">
        <v>11</v>
      </c>
      <c r="O48">
        <v>733</v>
      </c>
      <c r="P48" s="2">
        <v>0.75179499999999999</v>
      </c>
    </row>
    <row r="49" spans="1:16" x14ac:dyDescent="0.25">
      <c r="A49" t="s">
        <v>16</v>
      </c>
      <c r="B49" s="15">
        <v>218331933</v>
      </c>
      <c r="C49">
        <v>1057</v>
      </c>
      <c r="D49">
        <v>1443</v>
      </c>
      <c r="E49" s="2">
        <v>0.42280000000000001</v>
      </c>
      <c r="F49" s="2">
        <v>0.57720000000000005</v>
      </c>
      <c r="G49">
        <v>132</v>
      </c>
      <c r="H49">
        <v>1</v>
      </c>
      <c r="I49">
        <v>1057</v>
      </c>
      <c r="J49" s="19">
        <v>1</v>
      </c>
      <c r="K49">
        <v>23</v>
      </c>
      <c r="L49">
        <v>37</v>
      </c>
      <c r="M49">
        <v>239</v>
      </c>
      <c r="N49">
        <v>8</v>
      </c>
      <c r="O49">
        <v>851</v>
      </c>
      <c r="P49" s="2">
        <v>0.80510899999999996</v>
      </c>
    </row>
    <row r="50" spans="1:16" x14ac:dyDescent="0.25">
      <c r="A50" t="s">
        <v>16</v>
      </c>
      <c r="B50" s="15">
        <v>860976139</v>
      </c>
      <c r="C50">
        <v>1072</v>
      </c>
      <c r="D50">
        <v>1428</v>
      </c>
      <c r="E50" s="2">
        <v>0.42880000000000001</v>
      </c>
      <c r="F50" s="2">
        <v>0.57120000000000004</v>
      </c>
      <c r="G50">
        <v>133</v>
      </c>
      <c r="H50">
        <v>1</v>
      </c>
      <c r="I50">
        <v>1072</v>
      </c>
      <c r="J50" s="19">
        <v>1</v>
      </c>
      <c r="K50">
        <v>28</v>
      </c>
      <c r="L50">
        <v>30.285713999999999</v>
      </c>
      <c r="M50">
        <v>175</v>
      </c>
      <c r="N50">
        <v>5</v>
      </c>
      <c r="O50">
        <v>848</v>
      </c>
      <c r="P50" s="2">
        <v>0.791045</v>
      </c>
    </row>
    <row r="51" spans="1:16" x14ac:dyDescent="0.25">
      <c r="A51" t="s">
        <v>16</v>
      </c>
      <c r="B51" s="15">
        <v>810919520</v>
      </c>
      <c r="C51">
        <v>1058</v>
      </c>
      <c r="D51">
        <v>1442</v>
      </c>
      <c r="E51" s="2">
        <v>0.42320000000000002</v>
      </c>
      <c r="F51" s="2">
        <v>0.57679999999999998</v>
      </c>
      <c r="G51">
        <v>145</v>
      </c>
      <c r="H51">
        <v>1</v>
      </c>
      <c r="I51">
        <v>1058</v>
      </c>
      <c r="J51" s="19">
        <v>1</v>
      </c>
      <c r="K51">
        <v>19</v>
      </c>
      <c r="L51">
        <v>47.526316000000001</v>
      </c>
      <c r="M51">
        <v>218</v>
      </c>
      <c r="N51">
        <v>8</v>
      </c>
      <c r="O51">
        <v>903</v>
      </c>
      <c r="P51" s="2">
        <v>0.85349699999999995</v>
      </c>
    </row>
    <row r="52" spans="1:16" x14ac:dyDescent="0.25">
      <c r="A52" t="s">
        <v>17</v>
      </c>
      <c r="C52">
        <f>SUBTOTAL(101,BSP_depth10_room5_padding2[floors])</f>
        <v>1024.8599999999999</v>
      </c>
      <c r="D52">
        <f>SUBTOTAL(101,BSP_depth10_room5_padding2[walls])</f>
        <v>1475.14</v>
      </c>
      <c r="E52" s="2">
        <f>SUBTOTAL(101,BSP_depth10_room5_padding2[floor_percent])</f>
        <v>0.40994400000000009</v>
      </c>
      <c r="F52" s="2">
        <f>SUBTOTAL(101,BSP_depth10_room5_padding2[wall_percent])</f>
        <v>0.59005600000000014</v>
      </c>
      <c r="G52">
        <f>SUBTOTAL(101,BSP_depth10_room5_padding2[longest_shortest_path])</f>
        <v>129.34</v>
      </c>
      <c r="H52">
        <f>SUBTOTAL(101,BSP_depth10_room5_padding2[component_count])</f>
        <v>1</v>
      </c>
      <c r="I52">
        <f>SUBTOTAL(101,BSP_depth10_room5_padding2[max_component_size])</f>
        <v>1024.8599999999999</v>
      </c>
      <c r="J52" s="19">
        <f>SUBTOTAL(101,BSP_depth10_room5_padding2[connectivity_ratio])</f>
        <v>1</v>
      </c>
      <c r="K52">
        <f>SUBTOTAL(101,BSP_depth10_room5_padding2[room_count])</f>
        <v>26</v>
      </c>
      <c r="L52">
        <f>SUBTOTAL(101,BSP_depth10_room5_padding2[avg_room_size])</f>
        <v>31.839915939999997</v>
      </c>
      <c r="M52">
        <f>SUBTOTAL(101,BSP_depth10_room5_padding2[max_room_size])</f>
        <v>107.72</v>
      </c>
      <c r="N52">
        <f>SUBTOTAL(101,BSP_depth10_room5_padding2[min_room_size])</f>
        <v>9.92</v>
      </c>
      <c r="O52">
        <f>SUBTOTAL(101,BSP_depth10_room5_padding2[room_tiles])</f>
        <v>811.2</v>
      </c>
      <c r="P52" s="2">
        <f>SUBTOTAL(101,BSP_depth10_room5_padding2[room_ratio])</f>
        <v>0.7913038</v>
      </c>
    </row>
    <row r="53" spans="1:16" x14ac:dyDescent="0.25">
      <c r="A53" s="17" t="s">
        <v>32</v>
      </c>
      <c r="B53" s="17"/>
      <c r="C53" s="17"/>
      <c r="D53" s="17"/>
      <c r="E53" s="17"/>
    </row>
  </sheetData>
  <mergeCells count="1">
    <mergeCell ref="A53:E53"/>
  </mergeCell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6C50F-F46B-4FDA-AAC7-BFB1CF440D01}">
  <dimension ref="A1:P57"/>
  <sheetViews>
    <sheetView workbookViewId="0">
      <selection activeCell="J1" sqref="J1:J1048576"/>
    </sheetView>
  </sheetViews>
  <sheetFormatPr defaultRowHeight="15" x14ac:dyDescent="0.25"/>
  <cols>
    <col min="1" max="1" width="21.140625" bestFit="1" customWidth="1"/>
    <col min="2" max="2" width="11" style="15" bestFit="1" customWidth="1"/>
    <col min="3" max="3" width="8.5703125" bestFit="1" customWidth="1"/>
    <col min="4" max="4" width="7.85546875" bestFit="1" customWidth="1"/>
    <col min="5" max="5" width="15.5703125" bestFit="1" customWidth="1"/>
    <col min="6" max="6" width="14.7109375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19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bestFit="1" customWidth="1"/>
  </cols>
  <sheetData>
    <row r="1" spans="1:16" x14ac:dyDescent="0.25">
      <c r="A1" t="s">
        <v>0</v>
      </c>
      <c r="B1" s="1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9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5">
        <v>473604756</v>
      </c>
      <c r="C2">
        <v>977</v>
      </c>
      <c r="D2">
        <v>1523</v>
      </c>
      <c r="E2" s="1">
        <v>0.39079999999999998</v>
      </c>
      <c r="F2" s="2">
        <v>0.60919999999999996</v>
      </c>
      <c r="G2">
        <v>137</v>
      </c>
      <c r="H2">
        <v>1</v>
      </c>
      <c r="I2">
        <v>977</v>
      </c>
      <c r="J2" s="19">
        <v>1</v>
      </c>
      <c r="K2">
        <v>25</v>
      </c>
      <c r="L2" s="2">
        <v>30.08</v>
      </c>
      <c r="M2">
        <v>135</v>
      </c>
      <c r="N2">
        <v>9</v>
      </c>
      <c r="O2">
        <v>752</v>
      </c>
      <c r="P2" s="2">
        <v>0.76970300000000003</v>
      </c>
    </row>
    <row r="3" spans="1:16" x14ac:dyDescent="0.25">
      <c r="A3" t="s">
        <v>16</v>
      </c>
      <c r="B3" s="15">
        <v>136156731</v>
      </c>
      <c r="C3">
        <v>1053</v>
      </c>
      <c r="D3">
        <v>1447</v>
      </c>
      <c r="E3" s="1">
        <v>0.42120000000000002</v>
      </c>
      <c r="F3" s="1">
        <v>0.57879999999999998</v>
      </c>
      <c r="G3">
        <v>134</v>
      </c>
      <c r="H3">
        <v>1</v>
      </c>
      <c r="I3">
        <v>1053</v>
      </c>
      <c r="J3" s="19">
        <v>1</v>
      </c>
      <c r="K3">
        <v>24</v>
      </c>
      <c r="L3">
        <v>36.25</v>
      </c>
      <c r="M3">
        <v>94</v>
      </c>
      <c r="N3">
        <v>8</v>
      </c>
      <c r="O3">
        <v>870</v>
      </c>
      <c r="P3" s="2">
        <v>0.82621100000000003</v>
      </c>
    </row>
    <row r="4" spans="1:16" x14ac:dyDescent="0.25">
      <c r="A4" t="s">
        <v>16</v>
      </c>
      <c r="B4" s="15">
        <v>188118085</v>
      </c>
      <c r="C4">
        <v>1089</v>
      </c>
      <c r="D4">
        <v>1411</v>
      </c>
      <c r="E4" s="1">
        <v>0.43559999999999999</v>
      </c>
      <c r="F4" s="1">
        <v>0.56440000000000001</v>
      </c>
      <c r="G4">
        <v>125</v>
      </c>
      <c r="H4">
        <v>1</v>
      </c>
      <c r="I4">
        <v>1089</v>
      </c>
      <c r="J4" s="19">
        <v>1</v>
      </c>
      <c r="K4">
        <v>25</v>
      </c>
      <c r="L4">
        <v>35.159999999999997</v>
      </c>
      <c r="M4">
        <v>102</v>
      </c>
      <c r="N4">
        <v>12</v>
      </c>
      <c r="O4">
        <v>879</v>
      </c>
      <c r="P4" s="2">
        <v>0.80716299999999996</v>
      </c>
    </row>
    <row r="5" spans="1:16" x14ac:dyDescent="0.25">
      <c r="A5" t="s">
        <v>16</v>
      </c>
      <c r="B5" s="15">
        <v>175566207</v>
      </c>
      <c r="C5">
        <v>1003</v>
      </c>
      <c r="D5">
        <v>1497</v>
      </c>
      <c r="E5" s="1">
        <v>0.4012</v>
      </c>
      <c r="F5" s="1">
        <v>0.5988</v>
      </c>
      <c r="G5">
        <v>124</v>
      </c>
      <c r="H5">
        <v>1</v>
      </c>
      <c r="I5">
        <v>1003</v>
      </c>
      <c r="J5" s="19">
        <v>1</v>
      </c>
      <c r="K5">
        <v>27</v>
      </c>
      <c r="L5">
        <v>28.925926</v>
      </c>
      <c r="M5">
        <v>101</v>
      </c>
      <c r="N5">
        <v>12</v>
      </c>
      <c r="O5">
        <v>781</v>
      </c>
      <c r="P5" s="2">
        <v>0.77866400000000002</v>
      </c>
    </row>
    <row r="6" spans="1:16" x14ac:dyDescent="0.25">
      <c r="A6" t="s">
        <v>16</v>
      </c>
      <c r="B6" s="15">
        <v>1646540935</v>
      </c>
      <c r="C6">
        <v>1024</v>
      </c>
      <c r="D6">
        <v>1476</v>
      </c>
      <c r="E6" s="1">
        <v>0.40960000000000002</v>
      </c>
      <c r="F6" s="1">
        <v>0.59040000000000004</v>
      </c>
      <c r="G6">
        <v>122</v>
      </c>
      <c r="H6">
        <v>1</v>
      </c>
      <c r="I6">
        <v>1024</v>
      </c>
      <c r="J6" s="19">
        <v>1</v>
      </c>
      <c r="K6">
        <v>25</v>
      </c>
      <c r="L6">
        <v>32.28</v>
      </c>
      <c r="M6">
        <v>82</v>
      </c>
      <c r="N6">
        <v>8</v>
      </c>
      <c r="O6">
        <v>807</v>
      </c>
      <c r="P6" s="2">
        <v>0.78808599999999995</v>
      </c>
    </row>
    <row r="7" spans="1:16" x14ac:dyDescent="0.25">
      <c r="A7" t="s">
        <v>16</v>
      </c>
      <c r="B7" s="15">
        <v>1458454177</v>
      </c>
      <c r="C7">
        <v>1020</v>
      </c>
      <c r="D7">
        <v>1480</v>
      </c>
      <c r="E7" s="1">
        <v>0.40799999999999997</v>
      </c>
      <c r="F7" s="1">
        <v>0.59199999999999997</v>
      </c>
      <c r="G7">
        <v>138</v>
      </c>
      <c r="H7">
        <v>1</v>
      </c>
      <c r="I7">
        <v>1020</v>
      </c>
      <c r="J7" s="19">
        <v>1</v>
      </c>
      <c r="K7">
        <v>22</v>
      </c>
      <c r="L7">
        <v>37.363636</v>
      </c>
      <c r="M7">
        <v>227</v>
      </c>
      <c r="N7">
        <v>11</v>
      </c>
      <c r="O7">
        <v>822</v>
      </c>
      <c r="P7" s="2">
        <v>0.80588199999999999</v>
      </c>
    </row>
    <row r="8" spans="1:16" x14ac:dyDescent="0.25">
      <c r="A8" t="s">
        <v>16</v>
      </c>
      <c r="B8" s="15">
        <v>1066484254</v>
      </c>
      <c r="C8">
        <v>995</v>
      </c>
      <c r="D8">
        <v>1505</v>
      </c>
      <c r="E8" s="1">
        <v>0.39800000000000002</v>
      </c>
      <c r="F8" s="1">
        <v>0.60199999999999998</v>
      </c>
      <c r="G8">
        <v>139</v>
      </c>
      <c r="H8">
        <v>1</v>
      </c>
      <c r="I8">
        <v>995</v>
      </c>
      <c r="J8" s="19">
        <v>1</v>
      </c>
      <c r="K8">
        <v>25</v>
      </c>
      <c r="L8">
        <v>31.84</v>
      </c>
      <c r="M8">
        <v>127</v>
      </c>
      <c r="N8">
        <v>10</v>
      </c>
      <c r="O8">
        <v>796</v>
      </c>
      <c r="P8" s="2">
        <v>0.8</v>
      </c>
    </row>
    <row r="9" spans="1:16" x14ac:dyDescent="0.25">
      <c r="A9" t="s">
        <v>16</v>
      </c>
      <c r="B9" s="15">
        <v>1713764481</v>
      </c>
      <c r="C9">
        <v>1046</v>
      </c>
      <c r="D9">
        <v>1454</v>
      </c>
      <c r="E9" s="1">
        <v>0.41839999999999999</v>
      </c>
      <c r="F9" s="1">
        <v>0.58160000000000001</v>
      </c>
      <c r="G9">
        <v>136</v>
      </c>
      <c r="H9">
        <v>1</v>
      </c>
      <c r="I9">
        <v>1046</v>
      </c>
      <c r="J9" s="19">
        <v>1</v>
      </c>
      <c r="K9">
        <v>25</v>
      </c>
      <c r="L9">
        <v>33.36</v>
      </c>
      <c r="M9">
        <v>110</v>
      </c>
      <c r="N9">
        <v>11</v>
      </c>
      <c r="O9">
        <v>834</v>
      </c>
      <c r="P9" s="2">
        <v>0.797323</v>
      </c>
    </row>
    <row r="10" spans="1:16" x14ac:dyDescent="0.25">
      <c r="A10" t="s">
        <v>16</v>
      </c>
      <c r="B10" s="15">
        <v>1204540564</v>
      </c>
      <c r="C10">
        <v>1055</v>
      </c>
      <c r="D10">
        <v>1445</v>
      </c>
      <c r="E10" s="1">
        <v>0.42199999999999999</v>
      </c>
      <c r="F10" s="1">
        <v>0.57799999999999996</v>
      </c>
      <c r="G10">
        <v>122</v>
      </c>
      <c r="H10">
        <v>1</v>
      </c>
      <c r="I10">
        <v>1055</v>
      </c>
      <c r="J10" s="19">
        <v>1</v>
      </c>
      <c r="K10">
        <v>29</v>
      </c>
      <c r="L10">
        <v>28.310345000000002</v>
      </c>
      <c r="M10">
        <v>71</v>
      </c>
      <c r="N10">
        <v>11</v>
      </c>
      <c r="O10">
        <v>821</v>
      </c>
      <c r="P10" s="2">
        <v>0.77819899999999997</v>
      </c>
    </row>
    <row r="11" spans="1:16" x14ac:dyDescent="0.25">
      <c r="A11" t="s">
        <v>16</v>
      </c>
      <c r="B11" s="15">
        <v>2049011715</v>
      </c>
      <c r="C11">
        <v>999</v>
      </c>
      <c r="D11">
        <v>1501</v>
      </c>
      <c r="E11" s="1">
        <v>0.39960000000000001</v>
      </c>
      <c r="F11" s="1">
        <v>0.60040000000000004</v>
      </c>
      <c r="G11">
        <v>130</v>
      </c>
      <c r="H11">
        <v>1</v>
      </c>
      <c r="I11">
        <v>999</v>
      </c>
      <c r="J11" s="19">
        <v>1</v>
      </c>
      <c r="K11">
        <v>27</v>
      </c>
      <c r="L11">
        <v>28.777778000000001</v>
      </c>
      <c r="M11">
        <v>138</v>
      </c>
      <c r="N11">
        <v>8</v>
      </c>
      <c r="O11">
        <v>777</v>
      </c>
      <c r="P11" s="2">
        <v>0.77777799999999997</v>
      </c>
    </row>
    <row r="12" spans="1:16" x14ac:dyDescent="0.25">
      <c r="A12" t="s">
        <v>16</v>
      </c>
      <c r="B12" s="15">
        <v>1847849185</v>
      </c>
      <c r="C12">
        <v>1066</v>
      </c>
      <c r="D12">
        <v>1434</v>
      </c>
      <c r="E12" s="1">
        <v>0.4264</v>
      </c>
      <c r="F12" s="1">
        <v>0.5736</v>
      </c>
      <c r="G12">
        <v>107</v>
      </c>
      <c r="H12">
        <v>1</v>
      </c>
      <c r="I12">
        <v>1066</v>
      </c>
      <c r="J12" s="19">
        <v>1</v>
      </c>
      <c r="K12">
        <v>20</v>
      </c>
      <c r="L12">
        <v>44.25</v>
      </c>
      <c r="M12">
        <v>140</v>
      </c>
      <c r="N12">
        <v>9</v>
      </c>
      <c r="O12">
        <v>885</v>
      </c>
      <c r="P12" s="2">
        <v>0.830206</v>
      </c>
    </row>
    <row r="13" spans="1:16" x14ac:dyDescent="0.25">
      <c r="A13" t="s">
        <v>16</v>
      </c>
      <c r="B13" s="15">
        <v>311120895</v>
      </c>
      <c r="C13">
        <v>1057</v>
      </c>
      <c r="D13">
        <v>1443</v>
      </c>
      <c r="E13" s="1">
        <v>0.42280000000000001</v>
      </c>
      <c r="F13" s="1">
        <v>0.57720000000000005</v>
      </c>
      <c r="G13">
        <v>130</v>
      </c>
      <c r="H13">
        <v>1</v>
      </c>
      <c r="I13">
        <v>1057</v>
      </c>
      <c r="J13" s="19">
        <v>1</v>
      </c>
      <c r="K13">
        <v>27</v>
      </c>
      <c r="L13">
        <v>30.629629999999999</v>
      </c>
      <c r="M13">
        <v>83</v>
      </c>
      <c r="N13">
        <v>5</v>
      </c>
      <c r="O13">
        <v>827</v>
      </c>
      <c r="P13" s="2">
        <v>0.78240299999999996</v>
      </c>
    </row>
    <row r="14" spans="1:16" x14ac:dyDescent="0.25">
      <c r="A14" t="s">
        <v>16</v>
      </c>
      <c r="B14" s="15">
        <v>1391835906</v>
      </c>
      <c r="C14">
        <v>1014</v>
      </c>
      <c r="D14">
        <v>1486</v>
      </c>
      <c r="E14" s="1">
        <v>0.40560000000000002</v>
      </c>
      <c r="F14" s="1">
        <v>0.59440000000000004</v>
      </c>
      <c r="G14">
        <v>120</v>
      </c>
      <c r="H14">
        <v>1</v>
      </c>
      <c r="I14">
        <v>1014</v>
      </c>
      <c r="J14" s="19">
        <v>1</v>
      </c>
      <c r="K14">
        <v>26</v>
      </c>
      <c r="L14">
        <v>30.692308000000001</v>
      </c>
      <c r="M14">
        <v>120</v>
      </c>
      <c r="N14">
        <v>12</v>
      </c>
      <c r="O14">
        <v>798</v>
      </c>
      <c r="P14" s="2">
        <v>0.78698199999999996</v>
      </c>
    </row>
    <row r="15" spans="1:16" x14ac:dyDescent="0.25">
      <c r="A15" t="s">
        <v>16</v>
      </c>
      <c r="B15" s="15">
        <v>996116956</v>
      </c>
      <c r="C15">
        <v>1019</v>
      </c>
      <c r="D15">
        <v>1481</v>
      </c>
      <c r="E15" s="1">
        <v>0.40760000000000002</v>
      </c>
      <c r="F15" s="1">
        <v>0.59240000000000004</v>
      </c>
      <c r="G15">
        <v>145</v>
      </c>
      <c r="H15">
        <v>1</v>
      </c>
      <c r="I15">
        <v>1019</v>
      </c>
      <c r="J15" s="19">
        <v>1</v>
      </c>
      <c r="K15">
        <v>26</v>
      </c>
      <c r="L15">
        <v>31.307691999999999</v>
      </c>
      <c r="M15">
        <v>121</v>
      </c>
      <c r="N15">
        <v>11</v>
      </c>
      <c r="O15">
        <v>814</v>
      </c>
      <c r="P15" s="2">
        <v>0.79882200000000003</v>
      </c>
    </row>
    <row r="16" spans="1:16" x14ac:dyDescent="0.25">
      <c r="A16" t="s">
        <v>16</v>
      </c>
      <c r="B16" s="15">
        <v>1343555685</v>
      </c>
      <c r="C16">
        <v>1032</v>
      </c>
      <c r="D16">
        <v>1468</v>
      </c>
      <c r="E16" s="1">
        <v>0.4128</v>
      </c>
      <c r="F16" s="1">
        <v>0.58720000000000006</v>
      </c>
      <c r="G16">
        <v>136</v>
      </c>
      <c r="H16">
        <v>1</v>
      </c>
      <c r="I16">
        <v>1032</v>
      </c>
      <c r="J16" s="19">
        <v>1</v>
      </c>
      <c r="K16">
        <v>25</v>
      </c>
      <c r="L16">
        <v>32.92</v>
      </c>
      <c r="M16">
        <v>114</v>
      </c>
      <c r="N16">
        <v>8</v>
      </c>
      <c r="O16">
        <v>823</v>
      </c>
      <c r="P16" s="2">
        <v>0.797481</v>
      </c>
    </row>
    <row r="17" spans="1:16" x14ac:dyDescent="0.25">
      <c r="A17" t="s">
        <v>16</v>
      </c>
      <c r="B17" s="15">
        <v>2011124868</v>
      </c>
      <c r="C17">
        <v>988</v>
      </c>
      <c r="D17">
        <v>1512</v>
      </c>
      <c r="E17" s="1">
        <v>0.3952</v>
      </c>
      <c r="F17" s="1">
        <v>0.6048</v>
      </c>
      <c r="G17">
        <v>116</v>
      </c>
      <c r="H17">
        <v>1</v>
      </c>
      <c r="I17">
        <v>988</v>
      </c>
      <c r="J17" s="19">
        <v>1</v>
      </c>
      <c r="K17">
        <v>24</v>
      </c>
      <c r="L17">
        <v>32.791666999999997</v>
      </c>
      <c r="M17">
        <v>78</v>
      </c>
      <c r="N17">
        <v>8</v>
      </c>
      <c r="O17">
        <v>787</v>
      </c>
      <c r="P17" s="2">
        <v>0.79655900000000002</v>
      </c>
    </row>
    <row r="18" spans="1:16" x14ac:dyDescent="0.25">
      <c r="A18" t="s">
        <v>16</v>
      </c>
      <c r="B18" s="15">
        <v>1153618659</v>
      </c>
      <c r="C18">
        <v>1061</v>
      </c>
      <c r="D18">
        <v>1439</v>
      </c>
      <c r="E18" s="1">
        <v>0.4244</v>
      </c>
      <c r="F18" s="1">
        <v>0.5756</v>
      </c>
      <c r="G18">
        <v>120</v>
      </c>
      <c r="H18">
        <v>1</v>
      </c>
      <c r="I18">
        <v>1061</v>
      </c>
      <c r="J18" s="19">
        <v>1</v>
      </c>
      <c r="K18">
        <v>31</v>
      </c>
      <c r="L18">
        <v>26.483871000000001</v>
      </c>
      <c r="M18">
        <v>92</v>
      </c>
      <c r="N18">
        <v>8</v>
      </c>
      <c r="O18">
        <v>821</v>
      </c>
      <c r="P18" s="2">
        <v>0.77379799999999999</v>
      </c>
    </row>
    <row r="19" spans="1:16" x14ac:dyDescent="0.25">
      <c r="A19" t="s">
        <v>16</v>
      </c>
      <c r="B19" s="15">
        <v>1991842101</v>
      </c>
      <c r="C19">
        <v>1003</v>
      </c>
      <c r="D19">
        <v>1497</v>
      </c>
      <c r="E19" s="1">
        <v>0.4012</v>
      </c>
      <c r="F19" s="1">
        <v>0.5988</v>
      </c>
      <c r="G19">
        <v>125</v>
      </c>
      <c r="H19">
        <v>1</v>
      </c>
      <c r="I19">
        <v>1003</v>
      </c>
      <c r="J19" s="19">
        <v>1</v>
      </c>
      <c r="K19">
        <v>28</v>
      </c>
      <c r="L19">
        <v>27.75</v>
      </c>
      <c r="M19">
        <v>113</v>
      </c>
      <c r="N19">
        <v>8</v>
      </c>
      <c r="O19">
        <v>777</v>
      </c>
      <c r="P19" s="2">
        <v>0.77467600000000003</v>
      </c>
    </row>
    <row r="20" spans="1:16" x14ac:dyDescent="0.25">
      <c r="A20" t="s">
        <v>16</v>
      </c>
      <c r="B20" s="15">
        <v>68457498</v>
      </c>
      <c r="C20">
        <v>986</v>
      </c>
      <c r="D20">
        <v>1514</v>
      </c>
      <c r="E20" s="1">
        <v>0.39439999999999997</v>
      </c>
      <c r="F20" s="1">
        <v>0.60560000000000003</v>
      </c>
      <c r="G20">
        <v>122</v>
      </c>
      <c r="H20">
        <v>1</v>
      </c>
      <c r="I20">
        <v>986</v>
      </c>
      <c r="J20" s="19">
        <v>1</v>
      </c>
      <c r="K20">
        <v>27</v>
      </c>
      <c r="L20">
        <v>28.222221999999999</v>
      </c>
      <c r="M20">
        <v>102</v>
      </c>
      <c r="N20">
        <v>8</v>
      </c>
      <c r="O20">
        <v>762</v>
      </c>
      <c r="P20" s="2">
        <v>0.77281900000000003</v>
      </c>
    </row>
    <row r="21" spans="1:16" x14ac:dyDescent="0.25">
      <c r="A21" t="s">
        <v>16</v>
      </c>
      <c r="B21" s="15">
        <v>1565610561</v>
      </c>
      <c r="C21">
        <v>998</v>
      </c>
      <c r="D21">
        <v>1502</v>
      </c>
      <c r="E21" s="1">
        <v>0.3992</v>
      </c>
      <c r="F21" s="1">
        <v>0.6008</v>
      </c>
      <c r="G21">
        <v>122</v>
      </c>
      <c r="H21">
        <v>1</v>
      </c>
      <c r="I21">
        <v>998</v>
      </c>
      <c r="J21" s="19">
        <v>1</v>
      </c>
      <c r="K21">
        <v>30</v>
      </c>
      <c r="L21">
        <v>25.166667</v>
      </c>
      <c r="M21">
        <v>49</v>
      </c>
      <c r="N21">
        <v>8</v>
      </c>
      <c r="O21">
        <v>755</v>
      </c>
      <c r="P21" s="2">
        <v>0.75651299999999999</v>
      </c>
    </row>
    <row r="22" spans="1:16" x14ac:dyDescent="0.25">
      <c r="A22" t="s">
        <v>16</v>
      </c>
      <c r="B22" s="15">
        <v>1586387499</v>
      </c>
      <c r="C22">
        <v>1020</v>
      </c>
      <c r="D22">
        <v>1480</v>
      </c>
      <c r="E22" s="1">
        <v>0.40799999999999997</v>
      </c>
      <c r="F22" s="1">
        <v>0.59199999999999997</v>
      </c>
      <c r="G22">
        <v>140</v>
      </c>
      <c r="H22">
        <v>1</v>
      </c>
      <c r="I22">
        <v>1020</v>
      </c>
      <c r="J22" s="19">
        <v>1</v>
      </c>
      <c r="K22">
        <v>27</v>
      </c>
      <c r="L22">
        <v>29.777778000000001</v>
      </c>
      <c r="M22">
        <v>154</v>
      </c>
      <c r="N22">
        <v>8</v>
      </c>
      <c r="O22">
        <v>804</v>
      </c>
      <c r="P22" s="2">
        <v>0.78823500000000002</v>
      </c>
    </row>
    <row r="23" spans="1:16" x14ac:dyDescent="0.25">
      <c r="A23" t="s">
        <v>16</v>
      </c>
      <c r="B23" s="15">
        <v>1739515830</v>
      </c>
      <c r="C23">
        <v>1025</v>
      </c>
      <c r="D23">
        <v>1475</v>
      </c>
      <c r="E23" s="1">
        <v>0.41</v>
      </c>
      <c r="F23" s="1">
        <v>0.59</v>
      </c>
      <c r="G23">
        <v>105</v>
      </c>
      <c r="H23">
        <v>1</v>
      </c>
      <c r="I23">
        <v>1025</v>
      </c>
      <c r="J23" s="19">
        <v>1</v>
      </c>
      <c r="K23">
        <v>26</v>
      </c>
      <c r="L23">
        <v>31.192308000000001</v>
      </c>
      <c r="M23">
        <v>80</v>
      </c>
      <c r="N23">
        <v>12</v>
      </c>
      <c r="O23">
        <v>811</v>
      </c>
      <c r="P23" s="2">
        <v>0.79122000000000003</v>
      </c>
    </row>
    <row r="24" spans="1:16" x14ac:dyDescent="0.25">
      <c r="A24" t="s">
        <v>16</v>
      </c>
      <c r="B24" s="15">
        <v>437356895</v>
      </c>
      <c r="C24">
        <v>1031</v>
      </c>
      <c r="D24">
        <v>1469</v>
      </c>
      <c r="E24" s="1">
        <v>0.41239999999999999</v>
      </c>
      <c r="F24" s="1">
        <v>0.58760000000000001</v>
      </c>
      <c r="G24">
        <v>114</v>
      </c>
      <c r="H24">
        <v>1</v>
      </c>
      <c r="I24">
        <v>1031</v>
      </c>
      <c r="J24" s="19">
        <v>1</v>
      </c>
      <c r="K24">
        <v>26</v>
      </c>
      <c r="L24">
        <v>31.615385</v>
      </c>
      <c r="M24">
        <v>176</v>
      </c>
      <c r="N24">
        <v>8</v>
      </c>
      <c r="O24">
        <v>822</v>
      </c>
      <c r="P24" s="2">
        <v>0.79728399999999999</v>
      </c>
    </row>
    <row r="25" spans="1:16" x14ac:dyDescent="0.25">
      <c r="A25" t="s">
        <v>16</v>
      </c>
      <c r="B25" s="15">
        <v>605834958</v>
      </c>
      <c r="C25">
        <v>1057</v>
      </c>
      <c r="D25">
        <v>1443</v>
      </c>
      <c r="E25" s="1">
        <v>0.42280000000000001</v>
      </c>
      <c r="F25" s="1">
        <v>0.57720000000000005</v>
      </c>
      <c r="G25">
        <v>125</v>
      </c>
      <c r="H25">
        <v>1</v>
      </c>
      <c r="I25">
        <v>1057</v>
      </c>
      <c r="J25" s="19">
        <v>1</v>
      </c>
      <c r="K25">
        <v>29</v>
      </c>
      <c r="L25">
        <v>28.344828</v>
      </c>
      <c r="M25">
        <v>110</v>
      </c>
      <c r="N25">
        <v>11</v>
      </c>
      <c r="O25">
        <v>822</v>
      </c>
      <c r="P25" s="2">
        <v>0.77767299999999995</v>
      </c>
    </row>
    <row r="26" spans="1:16" x14ac:dyDescent="0.25">
      <c r="A26" t="s">
        <v>16</v>
      </c>
      <c r="B26" s="15">
        <v>177282869</v>
      </c>
      <c r="C26">
        <v>1003</v>
      </c>
      <c r="D26">
        <v>1497</v>
      </c>
      <c r="E26" s="1">
        <v>0.4012</v>
      </c>
      <c r="F26" s="1">
        <v>0.5988</v>
      </c>
      <c r="G26">
        <v>119</v>
      </c>
      <c r="H26">
        <v>1</v>
      </c>
      <c r="I26">
        <v>1003</v>
      </c>
      <c r="J26" s="19">
        <v>1</v>
      </c>
      <c r="K26">
        <v>25</v>
      </c>
      <c r="L26">
        <v>32.159999999999997</v>
      </c>
      <c r="M26">
        <v>129</v>
      </c>
      <c r="N26">
        <v>11</v>
      </c>
      <c r="O26">
        <v>804</v>
      </c>
      <c r="P26" s="2">
        <v>0.80159499999999995</v>
      </c>
    </row>
    <row r="27" spans="1:16" x14ac:dyDescent="0.25">
      <c r="A27" t="s">
        <v>16</v>
      </c>
      <c r="B27" s="15">
        <v>1476892694</v>
      </c>
      <c r="C27">
        <v>1056</v>
      </c>
      <c r="D27">
        <v>1444</v>
      </c>
      <c r="E27" s="1">
        <v>0.4224</v>
      </c>
      <c r="F27" s="1">
        <v>0.5776</v>
      </c>
      <c r="G27">
        <v>140</v>
      </c>
      <c r="H27">
        <v>1</v>
      </c>
      <c r="I27">
        <v>1056</v>
      </c>
      <c r="J27" s="19">
        <v>1</v>
      </c>
      <c r="K27">
        <v>23</v>
      </c>
      <c r="L27">
        <v>37.391303999999998</v>
      </c>
      <c r="M27">
        <v>250</v>
      </c>
      <c r="N27">
        <v>12</v>
      </c>
      <c r="O27">
        <v>860</v>
      </c>
      <c r="P27" s="2">
        <v>0.81439399999999995</v>
      </c>
    </row>
    <row r="28" spans="1:16" x14ac:dyDescent="0.25">
      <c r="A28" t="s">
        <v>16</v>
      </c>
      <c r="B28" s="15">
        <v>194444602</v>
      </c>
      <c r="C28">
        <v>1003</v>
      </c>
      <c r="D28">
        <v>1497</v>
      </c>
      <c r="E28" s="1">
        <v>0.4012</v>
      </c>
      <c r="F28" s="1">
        <v>0.5988</v>
      </c>
      <c r="G28">
        <v>116</v>
      </c>
      <c r="H28">
        <v>1</v>
      </c>
      <c r="I28">
        <v>1003</v>
      </c>
      <c r="J28" s="19">
        <v>1</v>
      </c>
      <c r="K28">
        <v>30</v>
      </c>
      <c r="L28">
        <v>25.8</v>
      </c>
      <c r="M28">
        <v>84</v>
      </c>
      <c r="N28">
        <v>5</v>
      </c>
      <c r="O28">
        <v>774</v>
      </c>
      <c r="P28" s="2">
        <v>0.77168499999999995</v>
      </c>
    </row>
    <row r="29" spans="1:16" x14ac:dyDescent="0.25">
      <c r="A29" t="s">
        <v>16</v>
      </c>
      <c r="B29" s="15">
        <v>948015597</v>
      </c>
      <c r="C29">
        <v>1014</v>
      </c>
      <c r="D29">
        <v>1486</v>
      </c>
      <c r="E29" s="1">
        <v>0.40560000000000002</v>
      </c>
      <c r="F29" s="1">
        <v>0.59440000000000004</v>
      </c>
      <c r="G29">
        <v>131</v>
      </c>
      <c r="H29">
        <v>1</v>
      </c>
      <c r="I29">
        <v>1014</v>
      </c>
      <c r="J29" s="19">
        <v>1</v>
      </c>
      <c r="K29">
        <v>26</v>
      </c>
      <c r="L29">
        <v>30.692308000000001</v>
      </c>
      <c r="M29">
        <v>94</v>
      </c>
      <c r="N29">
        <v>11</v>
      </c>
      <c r="O29">
        <v>798</v>
      </c>
      <c r="P29" s="2">
        <v>0.78698199999999996</v>
      </c>
    </row>
    <row r="30" spans="1:16" x14ac:dyDescent="0.25">
      <c r="A30" t="s">
        <v>16</v>
      </c>
      <c r="B30" s="15">
        <v>1136030054</v>
      </c>
      <c r="C30">
        <v>962</v>
      </c>
      <c r="D30">
        <v>1538</v>
      </c>
      <c r="E30" s="1">
        <v>0.38479999999999998</v>
      </c>
      <c r="F30" s="1">
        <v>0.61519999999999997</v>
      </c>
      <c r="G30">
        <v>137</v>
      </c>
      <c r="H30">
        <v>1</v>
      </c>
      <c r="I30">
        <v>962</v>
      </c>
      <c r="J30" s="19">
        <v>1</v>
      </c>
      <c r="K30">
        <v>26</v>
      </c>
      <c r="L30">
        <v>28.038461999999999</v>
      </c>
      <c r="M30">
        <v>100</v>
      </c>
      <c r="N30">
        <v>8</v>
      </c>
      <c r="O30">
        <v>729</v>
      </c>
      <c r="P30" s="2">
        <v>0.75779600000000003</v>
      </c>
    </row>
    <row r="31" spans="1:16" x14ac:dyDescent="0.25">
      <c r="A31" t="s">
        <v>16</v>
      </c>
      <c r="B31" s="15">
        <v>770337913</v>
      </c>
      <c r="C31">
        <v>1024</v>
      </c>
      <c r="D31">
        <v>1476</v>
      </c>
      <c r="E31" s="1">
        <v>0.40960000000000002</v>
      </c>
      <c r="F31" s="1">
        <v>0.59040000000000004</v>
      </c>
      <c r="G31">
        <v>145</v>
      </c>
      <c r="H31">
        <v>1</v>
      </c>
      <c r="I31">
        <v>1024</v>
      </c>
      <c r="J31" s="19">
        <v>1</v>
      </c>
      <c r="K31">
        <v>29</v>
      </c>
      <c r="L31">
        <v>27.344828</v>
      </c>
      <c r="M31">
        <v>61</v>
      </c>
      <c r="N31">
        <v>8</v>
      </c>
      <c r="O31">
        <v>793</v>
      </c>
      <c r="P31" s="2">
        <v>0.77441400000000005</v>
      </c>
    </row>
    <row r="32" spans="1:16" x14ac:dyDescent="0.25">
      <c r="A32" t="s">
        <v>16</v>
      </c>
      <c r="B32" s="15">
        <v>1635322982</v>
      </c>
      <c r="C32">
        <v>995</v>
      </c>
      <c r="D32">
        <v>1505</v>
      </c>
      <c r="E32" s="1">
        <v>0.39800000000000002</v>
      </c>
      <c r="F32" s="1">
        <v>0.60199999999999998</v>
      </c>
      <c r="G32">
        <v>113</v>
      </c>
      <c r="H32">
        <v>1</v>
      </c>
      <c r="I32">
        <v>995</v>
      </c>
      <c r="J32" s="19">
        <v>1</v>
      </c>
      <c r="K32">
        <v>24</v>
      </c>
      <c r="L32">
        <v>32.625</v>
      </c>
      <c r="M32">
        <v>94</v>
      </c>
      <c r="N32">
        <v>12</v>
      </c>
      <c r="O32">
        <v>783</v>
      </c>
      <c r="P32" s="2">
        <v>0.78693500000000005</v>
      </c>
    </row>
    <row r="33" spans="1:16" x14ac:dyDescent="0.25">
      <c r="A33" t="s">
        <v>16</v>
      </c>
      <c r="B33" s="15">
        <v>1781020422</v>
      </c>
      <c r="C33">
        <v>1026</v>
      </c>
      <c r="D33">
        <v>1474</v>
      </c>
      <c r="E33" s="1">
        <v>0.41039999999999999</v>
      </c>
      <c r="F33" s="1">
        <v>0.58960000000000001</v>
      </c>
      <c r="G33">
        <v>123</v>
      </c>
      <c r="H33">
        <v>1</v>
      </c>
      <c r="I33">
        <v>1026</v>
      </c>
      <c r="J33" s="19">
        <v>1</v>
      </c>
      <c r="K33">
        <v>28</v>
      </c>
      <c r="L33">
        <v>28.821428999999998</v>
      </c>
      <c r="M33">
        <v>108</v>
      </c>
      <c r="N33">
        <v>11</v>
      </c>
      <c r="O33">
        <v>807</v>
      </c>
      <c r="P33" s="2">
        <v>0.78654999999999997</v>
      </c>
    </row>
    <row r="34" spans="1:16" x14ac:dyDescent="0.25">
      <c r="A34" t="s">
        <v>16</v>
      </c>
      <c r="B34" s="15">
        <v>1163211216</v>
      </c>
      <c r="C34">
        <v>1040</v>
      </c>
      <c r="D34">
        <v>1460</v>
      </c>
      <c r="E34" s="1">
        <v>0.41599999999999998</v>
      </c>
      <c r="F34" s="1">
        <v>0.58399999999999996</v>
      </c>
      <c r="G34">
        <v>136</v>
      </c>
      <c r="H34">
        <v>1</v>
      </c>
      <c r="I34">
        <v>1040</v>
      </c>
      <c r="J34" s="19">
        <v>1</v>
      </c>
      <c r="K34">
        <v>22</v>
      </c>
      <c r="L34">
        <v>38.409090999999997</v>
      </c>
      <c r="M34">
        <v>141</v>
      </c>
      <c r="N34">
        <v>16</v>
      </c>
      <c r="O34">
        <v>845</v>
      </c>
      <c r="P34" s="2">
        <v>0.8125</v>
      </c>
    </row>
    <row r="35" spans="1:16" x14ac:dyDescent="0.25">
      <c r="A35" t="s">
        <v>16</v>
      </c>
      <c r="B35" s="15">
        <v>1002984639</v>
      </c>
      <c r="C35">
        <v>998</v>
      </c>
      <c r="D35">
        <v>1502</v>
      </c>
      <c r="E35" s="1">
        <v>0.3992</v>
      </c>
      <c r="F35" s="1">
        <v>0.6008</v>
      </c>
      <c r="G35">
        <v>127</v>
      </c>
      <c r="H35">
        <v>1</v>
      </c>
      <c r="I35">
        <v>998</v>
      </c>
      <c r="J35" s="19">
        <v>1</v>
      </c>
      <c r="K35">
        <v>29</v>
      </c>
      <c r="L35">
        <v>26.62069</v>
      </c>
      <c r="M35">
        <v>66</v>
      </c>
      <c r="N35">
        <v>8</v>
      </c>
      <c r="O35">
        <v>772</v>
      </c>
      <c r="P35" s="2">
        <v>0.77354699999999998</v>
      </c>
    </row>
    <row r="36" spans="1:16" x14ac:dyDescent="0.25">
      <c r="A36" t="s">
        <v>16</v>
      </c>
      <c r="B36" s="15">
        <v>112529742</v>
      </c>
      <c r="C36">
        <v>1089</v>
      </c>
      <c r="D36">
        <v>1411</v>
      </c>
      <c r="E36" s="1">
        <v>0.43559999999999999</v>
      </c>
      <c r="F36" s="1">
        <v>0.56440000000000001</v>
      </c>
      <c r="G36">
        <v>127</v>
      </c>
      <c r="H36">
        <v>1</v>
      </c>
      <c r="I36">
        <v>1089</v>
      </c>
      <c r="J36" s="19">
        <v>1</v>
      </c>
      <c r="K36">
        <v>32</v>
      </c>
      <c r="L36">
        <v>26</v>
      </c>
      <c r="M36">
        <v>65</v>
      </c>
      <c r="N36">
        <v>12</v>
      </c>
      <c r="O36">
        <v>832</v>
      </c>
      <c r="P36" s="2">
        <v>0.76400400000000002</v>
      </c>
    </row>
    <row r="37" spans="1:16" x14ac:dyDescent="0.25">
      <c r="A37" t="s">
        <v>16</v>
      </c>
      <c r="B37" s="15">
        <v>1269043634</v>
      </c>
      <c r="C37">
        <v>1003</v>
      </c>
      <c r="D37">
        <v>1497</v>
      </c>
      <c r="E37" s="1">
        <v>0.4012</v>
      </c>
      <c r="F37" s="1">
        <v>0.5988</v>
      </c>
      <c r="G37">
        <v>140</v>
      </c>
      <c r="H37">
        <v>1</v>
      </c>
      <c r="I37">
        <v>1003</v>
      </c>
      <c r="J37" s="19">
        <v>1</v>
      </c>
      <c r="K37">
        <v>26</v>
      </c>
      <c r="L37">
        <v>30.461538000000001</v>
      </c>
      <c r="M37">
        <v>121</v>
      </c>
      <c r="N37">
        <v>8</v>
      </c>
      <c r="O37">
        <v>792</v>
      </c>
      <c r="P37" s="2">
        <v>0.78963099999999997</v>
      </c>
    </row>
    <row r="38" spans="1:16" x14ac:dyDescent="0.25">
      <c r="A38" t="s">
        <v>16</v>
      </c>
      <c r="B38" s="15">
        <v>926933749</v>
      </c>
      <c r="C38">
        <v>1024</v>
      </c>
      <c r="D38">
        <v>1476</v>
      </c>
      <c r="E38" s="1">
        <v>0.40960000000000002</v>
      </c>
      <c r="F38" s="1">
        <v>0.59040000000000004</v>
      </c>
      <c r="G38">
        <v>148</v>
      </c>
      <c r="H38">
        <v>1</v>
      </c>
      <c r="I38">
        <v>1024</v>
      </c>
      <c r="J38" s="19">
        <v>1</v>
      </c>
      <c r="K38">
        <v>21</v>
      </c>
      <c r="L38">
        <v>39.285713999999999</v>
      </c>
      <c r="M38">
        <v>212</v>
      </c>
      <c r="N38">
        <v>8</v>
      </c>
      <c r="O38">
        <v>825</v>
      </c>
      <c r="P38" s="2">
        <v>0.80566400000000005</v>
      </c>
    </row>
    <row r="39" spans="1:16" x14ac:dyDescent="0.25">
      <c r="A39" t="s">
        <v>16</v>
      </c>
      <c r="B39" s="15">
        <v>2045780289</v>
      </c>
      <c r="C39">
        <v>1009</v>
      </c>
      <c r="D39">
        <v>1491</v>
      </c>
      <c r="E39" s="1">
        <v>0.40360000000000001</v>
      </c>
      <c r="F39" s="1">
        <v>0.59640000000000004</v>
      </c>
      <c r="G39">
        <v>121</v>
      </c>
      <c r="H39">
        <v>1</v>
      </c>
      <c r="I39">
        <v>1009</v>
      </c>
      <c r="J39" s="19">
        <v>1</v>
      </c>
      <c r="K39">
        <v>27</v>
      </c>
      <c r="L39">
        <v>28.740741</v>
      </c>
      <c r="M39">
        <v>99</v>
      </c>
      <c r="N39">
        <v>8</v>
      </c>
      <c r="O39">
        <v>776</v>
      </c>
      <c r="P39" s="2">
        <v>0.76907800000000004</v>
      </c>
    </row>
    <row r="40" spans="1:16" x14ac:dyDescent="0.25">
      <c r="A40" t="s">
        <v>16</v>
      </c>
      <c r="B40" s="15">
        <v>1936040264</v>
      </c>
      <c r="C40">
        <v>1021</v>
      </c>
      <c r="D40">
        <v>1479</v>
      </c>
      <c r="E40" s="1">
        <v>0.40839999999999999</v>
      </c>
      <c r="F40" s="1">
        <v>0.59160000000000001</v>
      </c>
      <c r="G40">
        <v>117</v>
      </c>
      <c r="H40">
        <v>1</v>
      </c>
      <c r="I40">
        <v>1021</v>
      </c>
      <c r="J40" s="19">
        <v>1</v>
      </c>
      <c r="K40">
        <v>25</v>
      </c>
      <c r="L40">
        <v>32.520000000000003</v>
      </c>
      <c r="M40">
        <v>161</v>
      </c>
      <c r="N40">
        <v>8</v>
      </c>
      <c r="O40">
        <v>813</v>
      </c>
      <c r="P40" s="2">
        <v>0.79627800000000004</v>
      </c>
    </row>
    <row r="41" spans="1:16" x14ac:dyDescent="0.25">
      <c r="A41" t="s">
        <v>16</v>
      </c>
      <c r="B41" s="15">
        <v>31197451</v>
      </c>
      <c r="C41">
        <v>1024</v>
      </c>
      <c r="D41">
        <v>1476</v>
      </c>
      <c r="E41" s="1">
        <v>0.40960000000000002</v>
      </c>
      <c r="F41" s="1">
        <v>0.59040000000000004</v>
      </c>
      <c r="G41">
        <v>122</v>
      </c>
      <c r="H41">
        <v>1</v>
      </c>
      <c r="I41">
        <v>1024</v>
      </c>
      <c r="J41" s="19">
        <v>1</v>
      </c>
      <c r="K41">
        <v>28</v>
      </c>
      <c r="L41">
        <v>28.464286000000001</v>
      </c>
      <c r="M41">
        <v>81</v>
      </c>
      <c r="N41">
        <v>8</v>
      </c>
      <c r="O41">
        <v>797</v>
      </c>
      <c r="P41" s="2">
        <v>0.77832000000000001</v>
      </c>
    </row>
    <row r="42" spans="1:16" x14ac:dyDescent="0.25">
      <c r="A42" t="s">
        <v>16</v>
      </c>
      <c r="B42" s="15">
        <v>61584530</v>
      </c>
      <c r="C42">
        <v>1034</v>
      </c>
      <c r="D42">
        <v>1466</v>
      </c>
      <c r="E42" s="1">
        <v>0.41360000000000002</v>
      </c>
      <c r="F42" s="1">
        <v>0.58640000000000003</v>
      </c>
      <c r="G42">
        <v>135</v>
      </c>
      <c r="H42">
        <v>1</v>
      </c>
      <c r="I42">
        <v>1034</v>
      </c>
      <c r="J42" s="19">
        <v>1</v>
      </c>
      <c r="K42">
        <v>28</v>
      </c>
      <c r="L42">
        <v>29</v>
      </c>
      <c r="M42">
        <v>100</v>
      </c>
      <c r="N42">
        <v>8</v>
      </c>
      <c r="O42">
        <v>812</v>
      </c>
      <c r="P42" s="2">
        <v>0.7853</v>
      </c>
    </row>
    <row r="43" spans="1:16" x14ac:dyDescent="0.25">
      <c r="A43" t="s">
        <v>16</v>
      </c>
      <c r="B43" s="15">
        <v>1565001862</v>
      </c>
      <c r="C43">
        <v>1063</v>
      </c>
      <c r="D43">
        <v>1437</v>
      </c>
      <c r="E43" s="1">
        <v>0.42520000000000002</v>
      </c>
      <c r="F43" s="1">
        <v>0.57479999999999998</v>
      </c>
      <c r="G43">
        <v>128</v>
      </c>
      <c r="H43">
        <v>1</v>
      </c>
      <c r="I43">
        <v>1063</v>
      </c>
      <c r="J43" s="19">
        <v>1</v>
      </c>
      <c r="K43">
        <v>20</v>
      </c>
      <c r="L43">
        <v>43.85</v>
      </c>
      <c r="M43">
        <v>201</v>
      </c>
      <c r="N43">
        <v>11</v>
      </c>
      <c r="O43">
        <v>877</v>
      </c>
      <c r="P43" s="2">
        <v>0.82502399999999998</v>
      </c>
    </row>
    <row r="44" spans="1:16" x14ac:dyDescent="0.25">
      <c r="A44" t="s">
        <v>16</v>
      </c>
      <c r="B44" s="15">
        <v>621031185</v>
      </c>
      <c r="C44">
        <v>1068</v>
      </c>
      <c r="D44">
        <v>1432</v>
      </c>
      <c r="E44" s="1">
        <v>0.42720000000000002</v>
      </c>
      <c r="F44" s="1">
        <v>0.57279999999999998</v>
      </c>
      <c r="G44">
        <v>106</v>
      </c>
      <c r="H44">
        <v>1</v>
      </c>
      <c r="I44">
        <v>1068</v>
      </c>
      <c r="J44" s="19">
        <v>1</v>
      </c>
      <c r="K44">
        <v>23</v>
      </c>
      <c r="L44">
        <v>38.043478</v>
      </c>
      <c r="M44">
        <v>105</v>
      </c>
      <c r="N44">
        <v>9</v>
      </c>
      <c r="O44">
        <v>875</v>
      </c>
      <c r="P44" s="2">
        <v>0.81928800000000002</v>
      </c>
    </row>
    <row r="45" spans="1:16" x14ac:dyDescent="0.25">
      <c r="A45" t="s">
        <v>16</v>
      </c>
      <c r="B45" s="15">
        <v>805241090</v>
      </c>
      <c r="C45">
        <v>994</v>
      </c>
      <c r="D45">
        <v>1506</v>
      </c>
      <c r="E45" s="1">
        <v>0.39760000000000001</v>
      </c>
      <c r="F45" s="1">
        <v>0.60240000000000005</v>
      </c>
      <c r="G45">
        <v>112</v>
      </c>
      <c r="H45">
        <v>1</v>
      </c>
      <c r="I45">
        <v>994</v>
      </c>
      <c r="J45" s="19">
        <v>1</v>
      </c>
      <c r="K45">
        <v>31</v>
      </c>
      <c r="L45">
        <v>24.741935000000002</v>
      </c>
      <c r="M45">
        <v>73</v>
      </c>
      <c r="N45">
        <v>5</v>
      </c>
      <c r="O45">
        <v>767</v>
      </c>
      <c r="P45" s="2">
        <v>0.77163000000000004</v>
      </c>
    </row>
    <row r="46" spans="1:16" x14ac:dyDescent="0.25">
      <c r="A46" t="s">
        <v>16</v>
      </c>
      <c r="B46" s="15">
        <v>361419615</v>
      </c>
      <c r="C46">
        <v>1068</v>
      </c>
      <c r="D46">
        <v>1432</v>
      </c>
      <c r="E46" s="1">
        <v>0.42720000000000002</v>
      </c>
      <c r="F46" s="1">
        <v>0.57279999999999998</v>
      </c>
      <c r="G46">
        <v>126</v>
      </c>
      <c r="H46">
        <v>1</v>
      </c>
      <c r="I46">
        <v>1068</v>
      </c>
      <c r="J46" s="19">
        <v>1</v>
      </c>
      <c r="K46">
        <v>24</v>
      </c>
      <c r="L46">
        <v>35.125</v>
      </c>
      <c r="M46">
        <v>94</v>
      </c>
      <c r="N46">
        <v>11</v>
      </c>
      <c r="O46">
        <v>843</v>
      </c>
      <c r="P46" s="2">
        <v>0.78932599999999997</v>
      </c>
    </row>
    <row r="47" spans="1:16" x14ac:dyDescent="0.25">
      <c r="A47" t="s">
        <v>16</v>
      </c>
      <c r="B47" s="15">
        <v>434914599</v>
      </c>
      <c r="C47">
        <v>1016</v>
      </c>
      <c r="D47">
        <v>1484</v>
      </c>
      <c r="E47" s="1">
        <v>0.40639999999999998</v>
      </c>
      <c r="F47" s="1">
        <v>0.59360000000000002</v>
      </c>
      <c r="G47">
        <v>151</v>
      </c>
      <c r="H47">
        <v>1</v>
      </c>
      <c r="I47">
        <v>1016</v>
      </c>
      <c r="J47" s="19">
        <v>1</v>
      </c>
      <c r="K47">
        <v>26</v>
      </c>
      <c r="L47">
        <v>30.807691999999999</v>
      </c>
      <c r="M47">
        <v>122</v>
      </c>
      <c r="N47">
        <v>8</v>
      </c>
      <c r="O47">
        <v>801</v>
      </c>
      <c r="P47" s="2">
        <v>0.78838600000000003</v>
      </c>
    </row>
    <row r="48" spans="1:16" x14ac:dyDescent="0.25">
      <c r="A48" t="s">
        <v>16</v>
      </c>
      <c r="B48" s="15">
        <v>577836083</v>
      </c>
      <c r="C48">
        <v>992</v>
      </c>
      <c r="D48">
        <v>1508</v>
      </c>
      <c r="E48" s="1">
        <v>0.39679999999999999</v>
      </c>
      <c r="F48" s="1">
        <v>0.60319999999999996</v>
      </c>
      <c r="G48">
        <v>132</v>
      </c>
      <c r="H48">
        <v>1</v>
      </c>
      <c r="I48">
        <v>992</v>
      </c>
      <c r="J48" s="19">
        <v>1</v>
      </c>
      <c r="K48">
        <v>29</v>
      </c>
      <c r="L48">
        <v>26.241378999999998</v>
      </c>
      <c r="M48">
        <v>72</v>
      </c>
      <c r="N48">
        <v>8</v>
      </c>
      <c r="O48">
        <v>761</v>
      </c>
      <c r="P48" s="2">
        <v>0.76713699999999996</v>
      </c>
    </row>
    <row r="49" spans="1:16" x14ac:dyDescent="0.25">
      <c r="A49" t="s">
        <v>16</v>
      </c>
      <c r="B49" s="15">
        <v>1900963250</v>
      </c>
      <c r="C49">
        <v>1040</v>
      </c>
      <c r="D49">
        <v>1460</v>
      </c>
      <c r="E49" s="1">
        <v>0.41599999999999998</v>
      </c>
      <c r="F49" s="1">
        <v>0.58399999999999996</v>
      </c>
      <c r="G49">
        <v>108</v>
      </c>
      <c r="H49">
        <v>1</v>
      </c>
      <c r="I49">
        <v>1040</v>
      </c>
      <c r="J49" s="19">
        <v>1</v>
      </c>
      <c r="K49">
        <v>24</v>
      </c>
      <c r="L49">
        <v>34.666666999999997</v>
      </c>
      <c r="M49">
        <v>110</v>
      </c>
      <c r="N49">
        <v>11</v>
      </c>
      <c r="O49">
        <v>832</v>
      </c>
      <c r="P49" s="2">
        <v>0.8</v>
      </c>
    </row>
    <row r="50" spans="1:16" x14ac:dyDescent="0.25">
      <c r="A50" t="s">
        <v>16</v>
      </c>
      <c r="B50" s="15">
        <v>1852462079</v>
      </c>
      <c r="C50">
        <v>1035</v>
      </c>
      <c r="D50">
        <v>1465</v>
      </c>
      <c r="E50" s="1">
        <v>0.41399999999999998</v>
      </c>
      <c r="F50" s="1">
        <v>0.58599999999999997</v>
      </c>
      <c r="G50">
        <v>118</v>
      </c>
      <c r="H50">
        <v>1</v>
      </c>
      <c r="I50">
        <v>1035</v>
      </c>
      <c r="J50" s="19">
        <v>1</v>
      </c>
      <c r="K50">
        <v>25</v>
      </c>
      <c r="L50">
        <v>32.64</v>
      </c>
      <c r="M50">
        <v>98</v>
      </c>
      <c r="N50">
        <v>11</v>
      </c>
      <c r="O50">
        <v>816</v>
      </c>
      <c r="P50" s="2">
        <v>0.78840600000000005</v>
      </c>
    </row>
    <row r="51" spans="1:16" x14ac:dyDescent="0.25">
      <c r="A51" t="s">
        <v>16</v>
      </c>
      <c r="B51" s="15">
        <v>237928679</v>
      </c>
      <c r="C51">
        <v>986</v>
      </c>
      <c r="D51">
        <v>1514</v>
      </c>
      <c r="E51" s="1">
        <v>0.39439999999999997</v>
      </c>
      <c r="F51" s="1">
        <v>0.60560000000000003</v>
      </c>
      <c r="G51">
        <v>118</v>
      </c>
      <c r="H51">
        <v>1</v>
      </c>
      <c r="I51">
        <v>986</v>
      </c>
      <c r="J51" s="19">
        <v>1</v>
      </c>
      <c r="K51">
        <v>32</v>
      </c>
      <c r="L51">
        <v>23.28125</v>
      </c>
      <c r="M51">
        <v>56</v>
      </c>
      <c r="N51">
        <v>11</v>
      </c>
      <c r="O51">
        <v>745</v>
      </c>
      <c r="P51" s="2">
        <v>0.75557799999999997</v>
      </c>
    </row>
    <row r="52" spans="1:16" x14ac:dyDescent="0.25">
      <c r="A52" t="s">
        <v>30</v>
      </c>
      <c r="C52">
        <f>SUBTOTAL(101,BSP_depth20_room5_padding2[floors])</f>
        <v>1024.0999999999999</v>
      </c>
      <c r="D52">
        <f>SUBTOTAL(101,BSP_depth20_room5_padding2[walls])</f>
        <v>1475.9</v>
      </c>
      <c r="E52" s="1">
        <f>SUBTOTAL(101,BSP_depth20_room5_padding2[floor_percent])</f>
        <v>0.40964</v>
      </c>
      <c r="F52" s="1">
        <f>SUBTOTAL(101,BSP_depth20_room5_padding2[wall_percent])</f>
        <v>0.59036</v>
      </c>
      <c r="G52">
        <f>SUBTOTAL(101,BSP_depth20_room5_padding2[longest_shortest_path])</f>
        <v>126.6</v>
      </c>
      <c r="H52">
        <f>SUBTOTAL(101,BSP_depth20_room5_padding2[component_count])</f>
        <v>1</v>
      </c>
      <c r="I52">
        <f>SUBTOTAL(101,BSP_depth20_room5_padding2[max_component_size])</f>
        <v>1024.0999999999999</v>
      </c>
      <c r="J52" s="19">
        <f>SUBTOTAL(101,BSP_depth20_room5_padding2[connectivity_ratio])</f>
        <v>1</v>
      </c>
      <c r="K52">
        <f>SUBTOTAL(101,BSP_depth20_room5_padding2[room_count])</f>
        <v>26.18</v>
      </c>
      <c r="L52">
        <f>SUBTOTAL(101,BSP_depth20_room5_padding2[avg_room_size])</f>
        <v>31.305296660000003</v>
      </c>
      <c r="M52">
        <f>SUBTOTAL(101,BSP_depth20_room5_padding2[max_room_size])</f>
        <v>112.32</v>
      </c>
      <c r="N52">
        <f>SUBTOTAL(101,BSP_depth20_room5_padding2[min_room_size])</f>
        <v>9.42</v>
      </c>
      <c r="O52">
        <f>SUBTOTAL(101,BSP_depth20_room5_padding2[room_tiles])</f>
        <v>807.52</v>
      </c>
      <c r="P52" s="2">
        <f>SUBTOTAL(101,BSP_depth20_room5_padding2[room_ratio])</f>
        <v>0.78826256000000006</v>
      </c>
    </row>
    <row r="53" spans="1:16" x14ac:dyDescent="0.25">
      <c r="A53" s="17" t="s">
        <v>33</v>
      </c>
      <c r="B53" s="17"/>
      <c r="C53" s="17"/>
      <c r="D53" s="17"/>
      <c r="E53" s="17"/>
    </row>
    <row r="57" spans="1:16" x14ac:dyDescent="0.25">
      <c r="G57" s="2"/>
    </row>
  </sheetData>
  <mergeCells count="1">
    <mergeCell ref="A53:E53"/>
  </mergeCell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C62CF-C857-45AB-8E51-FEA74112A03F}">
  <dimension ref="A1:P53"/>
  <sheetViews>
    <sheetView workbookViewId="0">
      <selection activeCell="J1" sqref="J1:J1048576"/>
    </sheetView>
  </sheetViews>
  <sheetFormatPr defaultRowHeight="15" x14ac:dyDescent="0.25"/>
  <cols>
    <col min="1" max="1" width="21.140625" bestFit="1" customWidth="1"/>
    <col min="2" max="2" width="11" style="15" bestFit="1" customWidth="1"/>
    <col min="3" max="3" width="8.5703125" bestFit="1" customWidth="1"/>
    <col min="4" max="4" width="7.85546875" bestFit="1" customWidth="1"/>
    <col min="5" max="5" width="15.5703125" bestFit="1" customWidth="1"/>
    <col min="6" max="6" width="14.7109375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19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bestFit="1" customWidth="1"/>
  </cols>
  <sheetData>
    <row r="1" spans="1:16" x14ac:dyDescent="0.25">
      <c r="A1" t="s">
        <v>0</v>
      </c>
      <c r="B1" s="1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9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5">
        <v>1417399752</v>
      </c>
      <c r="C2">
        <v>966</v>
      </c>
      <c r="D2">
        <v>1534</v>
      </c>
      <c r="E2" s="2">
        <v>0.38640000000000002</v>
      </c>
      <c r="F2" s="2">
        <v>0.61360000000000003</v>
      </c>
      <c r="G2">
        <v>78</v>
      </c>
      <c r="H2">
        <v>1</v>
      </c>
      <c r="I2">
        <v>966</v>
      </c>
      <c r="J2" s="19">
        <v>1</v>
      </c>
      <c r="K2">
        <v>4</v>
      </c>
      <c r="L2">
        <v>229.5</v>
      </c>
      <c r="M2">
        <v>376</v>
      </c>
      <c r="N2">
        <v>122</v>
      </c>
      <c r="O2">
        <v>918</v>
      </c>
      <c r="P2" s="2">
        <v>0.95031100000000002</v>
      </c>
    </row>
    <row r="3" spans="1:16" x14ac:dyDescent="0.25">
      <c r="A3" t="s">
        <v>16</v>
      </c>
      <c r="B3" s="15">
        <v>100615576</v>
      </c>
      <c r="C3">
        <v>1095</v>
      </c>
      <c r="D3">
        <v>1405</v>
      </c>
      <c r="E3" s="2">
        <v>0.438</v>
      </c>
      <c r="F3" s="2">
        <v>0.56200000000000006</v>
      </c>
      <c r="G3">
        <v>72</v>
      </c>
      <c r="H3">
        <v>1</v>
      </c>
      <c r="I3">
        <v>1095</v>
      </c>
      <c r="J3" s="19">
        <v>1</v>
      </c>
      <c r="K3">
        <v>4</v>
      </c>
      <c r="L3">
        <v>262.5</v>
      </c>
      <c r="M3">
        <v>571</v>
      </c>
      <c r="N3">
        <v>76</v>
      </c>
      <c r="O3">
        <v>1050</v>
      </c>
      <c r="P3" s="2">
        <v>0.95890399999999998</v>
      </c>
    </row>
    <row r="4" spans="1:16" x14ac:dyDescent="0.25">
      <c r="A4" t="s">
        <v>16</v>
      </c>
      <c r="B4" s="15">
        <v>300993710</v>
      </c>
      <c r="C4">
        <v>1060</v>
      </c>
      <c r="D4">
        <v>1440</v>
      </c>
      <c r="E4" s="2">
        <v>0.42399999999999999</v>
      </c>
      <c r="F4" s="2">
        <v>0.57599999999999996</v>
      </c>
      <c r="G4">
        <v>76</v>
      </c>
      <c r="H4">
        <v>1</v>
      </c>
      <c r="I4">
        <v>1060</v>
      </c>
      <c r="J4" s="19">
        <v>1</v>
      </c>
      <c r="K4">
        <v>4</v>
      </c>
      <c r="L4">
        <v>250.75</v>
      </c>
      <c r="M4">
        <v>476</v>
      </c>
      <c r="N4">
        <v>116</v>
      </c>
      <c r="O4">
        <v>1003</v>
      </c>
      <c r="P4" s="2">
        <v>0.94622600000000001</v>
      </c>
    </row>
    <row r="5" spans="1:16" x14ac:dyDescent="0.25">
      <c r="A5" t="s">
        <v>16</v>
      </c>
      <c r="B5" s="15">
        <v>873806690</v>
      </c>
      <c r="C5">
        <v>1154</v>
      </c>
      <c r="D5">
        <v>1346</v>
      </c>
      <c r="E5" s="2">
        <v>0.46160000000000001</v>
      </c>
      <c r="F5" s="2">
        <v>0.53839999999999999</v>
      </c>
      <c r="G5">
        <v>78</v>
      </c>
      <c r="H5">
        <v>1</v>
      </c>
      <c r="I5">
        <v>1154</v>
      </c>
      <c r="J5" s="19">
        <v>1</v>
      </c>
      <c r="K5">
        <v>4</v>
      </c>
      <c r="L5">
        <v>278</v>
      </c>
      <c r="M5">
        <v>444</v>
      </c>
      <c r="N5">
        <v>124</v>
      </c>
      <c r="O5">
        <v>1112</v>
      </c>
      <c r="P5" s="2">
        <v>0.96360500000000004</v>
      </c>
    </row>
    <row r="6" spans="1:16" x14ac:dyDescent="0.25">
      <c r="A6" t="s">
        <v>16</v>
      </c>
      <c r="B6" s="15">
        <v>367224054</v>
      </c>
      <c r="C6">
        <v>914</v>
      </c>
      <c r="D6">
        <v>1586</v>
      </c>
      <c r="E6" s="2">
        <v>0.36559999999999998</v>
      </c>
      <c r="F6" s="2">
        <v>0.63439999999999996</v>
      </c>
      <c r="G6">
        <v>45</v>
      </c>
      <c r="H6">
        <v>1</v>
      </c>
      <c r="I6">
        <v>914</v>
      </c>
      <c r="J6" s="19">
        <v>1</v>
      </c>
      <c r="K6">
        <v>2</v>
      </c>
      <c r="L6">
        <v>450</v>
      </c>
      <c r="M6">
        <v>568</v>
      </c>
      <c r="N6">
        <v>332</v>
      </c>
      <c r="O6">
        <v>900</v>
      </c>
      <c r="P6" s="2">
        <v>0.98468299999999997</v>
      </c>
    </row>
    <row r="7" spans="1:16" x14ac:dyDescent="0.25">
      <c r="A7" t="s">
        <v>16</v>
      </c>
      <c r="B7" s="15">
        <v>294213454</v>
      </c>
      <c r="C7">
        <v>1079</v>
      </c>
      <c r="D7">
        <v>1421</v>
      </c>
      <c r="E7" s="2">
        <v>0.43159999999999998</v>
      </c>
      <c r="F7" s="2">
        <v>0.56840000000000002</v>
      </c>
      <c r="G7">
        <v>77</v>
      </c>
      <c r="H7">
        <v>1</v>
      </c>
      <c r="I7">
        <v>1079</v>
      </c>
      <c r="J7" s="19">
        <v>1</v>
      </c>
      <c r="K7">
        <v>4</v>
      </c>
      <c r="L7">
        <v>259.5</v>
      </c>
      <c r="M7">
        <v>546</v>
      </c>
      <c r="N7">
        <v>113</v>
      </c>
      <c r="O7">
        <v>1038</v>
      </c>
      <c r="P7" s="2">
        <v>0.96200200000000002</v>
      </c>
    </row>
    <row r="8" spans="1:16" x14ac:dyDescent="0.25">
      <c r="A8" t="s">
        <v>16</v>
      </c>
      <c r="B8" s="15">
        <v>164150295</v>
      </c>
      <c r="C8">
        <v>750</v>
      </c>
      <c r="D8">
        <v>1750</v>
      </c>
      <c r="E8" s="2">
        <v>0.3</v>
      </c>
      <c r="F8" s="2">
        <v>0.7</v>
      </c>
      <c r="G8">
        <v>56</v>
      </c>
      <c r="H8">
        <v>1</v>
      </c>
      <c r="I8">
        <v>750</v>
      </c>
      <c r="J8" s="19">
        <v>1</v>
      </c>
      <c r="K8">
        <v>3</v>
      </c>
      <c r="L8">
        <v>234.66666699999999</v>
      </c>
      <c r="M8">
        <v>374</v>
      </c>
      <c r="N8">
        <v>150</v>
      </c>
      <c r="O8">
        <v>704</v>
      </c>
      <c r="P8" s="2">
        <v>0.93866700000000003</v>
      </c>
    </row>
    <row r="9" spans="1:16" x14ac:dyDescent="0.25">
      <c r="A9" t="s">
        <v>16</v>
      </c>
      <c r="B9" s="15">
        <v>837913136</v>
      </c>
      <c r="C9">
        <v>1166</v>
      </c>
      <c r="D9">
        <v>1334</v>
      </c>
      <c r="E9" s="2">
        <v>0.46639999999999998</v>
      </c>
      <c r="F9" s="2">
        <v>0.53359999999999996</v>
      </c>
      <c r="G9">
        <v>84</v>
      </c>
      <c r="H9">
        <v>1</v>
      </c>
      <c r="I9">
        <v>1166</v>
      </c>
      <c r="J9" s="19">
        <v>1</v>
      </c>
      <c r="K9">
        <v>4</v>
      </c>
      <c r="L9">
        <v>281.25</v>
      </c>
      <c r="M9">
        <v>516</v>
      </c>
      <c r="N9">
        <v>161</v>
      </c>
      <c r="O9">
        <v>1125</v>
      </c>
      <c r="P9" s="2">
        <v>0.96483699999999994</v>
      </c>
    </row>
    <row r="10" spans="1:16" x14ac:dyDescent="0.25">
      <c r="A10" t="s">
        <v>16</v>
      </c>
      <c r="B10" s="15">
        <v>1615155551</v>
      </c>
      <c r="C10">
        <v>1236</v>
      </c>
      <c r="D10">
        <v>1264</v>
      </c>
      <c r="E10" s="2">
        <v>0.49440000000000001</v>
      </c>
      <c r="F10" s="2">
        <v>0.50560000000000005</v>
      </c>
      <c r="G10">
        <v>81</v>
      </c>
      <c r="H10">
        <v>1</v>
      </c>
      <c r="I10">
        <v>1236</v>
      </c>
      <c r="J10" s="19">
        <v>1</v>
      </c>
      <c r="K10">
        <v>4</v>
      </c>
      <c r="L10">
        <v>298.75</v>
      </c>
      <c r="M10">
        <v>472</v>
      </c>
      <c r="N10">
        <v>74</v>
      </c>
      <c r="O10">
        <v>1195</v>
      </c>
      <c r="P10" s="2">
        <v>0.96682800000000002</v>
      </c>
    </row>
    <row r="11" spans="1:16" x14ac:dyDescent="0.25">
      <c r="A11" t="s">
        <v>16</v>
      </c>
      <c r="B11" s="15">
        <v>922136572</v>
      </c>
      <c r="C11">
        <v>997</v>
      </c>
      <c r="D11">
        <v>1503</v>
      </c>
      <c r="E11" s="2">
        <v>0.39879999999999999</v>
      </c>
      <c r="F11" s="2">
        <v>0.60119999999999996</v>
      </c>
      <c r="G11">
        <v>45</v>
      </c>
      <c r="H11">
        <v>1</v>
      </c>
      <c r="I11">
        <v>997</v>
      </c>
      <c r="J11" s="19">
        <v>1</v>
      </c>
      <c r="K11">
        <v>3</v>
      </c>
      <c r="L11">
        <v>324.66666700000002</v>
      </c>
      <c r="M11">
        <v>500</v>
      </c>
      <c r="N11">
        <v>236</v>
      </c>
      <c r="O11">
        <v>974</v>
      </c>
      <c r="P11" s="2">
        <v>0.97693099999999999</v>
      </c>
    </row>
    <row r="12" spans="1:16" x14ac:dyDescent="0.25">
      <c r="A12" t="s">
        <v>16</v>
      </c>
      <c r="B12" s="15">
        <v>248155932</v>
      </c>
      <c r="C12">
        <v>892</v>
      </c>
      <c r="D12">
        <v>1608</v>
      </c>
      <c r="E12" s="2">
        <v>0.35680000000000001</v>
      </c>
      <c r="F12" s="2">
        <v>0.64319999999999999</v>
      </c>
      <c r="G12">
        <v>56</v>
      </c>
      <c r="H12">
        <v>1</v>
      </c>
      <c r="I12">
        <v>892</v>
      </c>
      <c r="J12" s="19">
        <v>1</v>
      </c>
      <c r="K12">
        <v>3</v>
      </c>
      <c r="L12">
        <v>289.66666700000002</v>
      </c>
      <c r="M12">
        <v>436</v>
      </c>
      <c r="N12">
        <v>212</v>
      </c>
      <c r="O12">
        <v>869</v>
      </c>
      <c r="P12" s="2">
        <v>0.97421500000000005</v>
      </c>
    </row>
    <row r="13" spans="1:16" x14ac:dyDescent="0.25">
      <c r="A13" t="s">
        <v>16</v>
      </c>
      <c r="B13" s="15">
        <v>1614018668</v>
      </c>
      <c r="C13">
        <v>974</v>
      </c>
      <c r="D13">
        <v>1526</v>
      </c>
      <c r="E13" s="2">
        <v>0.3896</v>
      </c>
      <c r="F13" s="2">
        <v>0.61040000000000005</v>
      </c>
      <c r="G13">
        <v>84</v>
      </c>
      <c r="H13">
        <v>1</v>
      </c>
      <c r="I13">
        <v>974</v>
      </c>
      <c r="J13" s="19">
        <v>1</v>
      </c>
      <c r="K13">
        <v>4</v>
      </c>
      <c r="L13">
        <v>229.75</v>
      </c>
      <c r="M13">
        <v>268</v>
      </c>
      <c r="N13">
        <v>178</v>
      </c>
      <c r="O13">
        <v>919</v>
      </c>
      <c r="P13" s="2">
        <v>0.94353200000000004</v>
      </c>
    </row>
    <row r="14" spans="1:16" x14ac:dyDescent="0.25">
      <c r="A14" t="s">
        <v>16</v>
      </c>
      <c r="B14" s="15">
        <v>896509221</v>
      </c>
      <c r="C14">
        <v>841</v>
      </c>
      <c r="D14">
        <v>1659</v>
      </c>
      <c r="E14" s="2">
        <v>0.33639999999999998</v>
      </c>
      <c r="F14" s="2">
        <v>0.66359999999999997</v>
      </c>
      <c r="G14">
        <v>28</v>
      </c>
      <c r="H14">
        <v>1</v>
      </c>
      <c r="I14">
        <v>841</v>
      </c>
      <c r="J14" s="19">
        <v>1</v>
      </c>
      <c r="K14">
        <v>1</v>
      </c>
      <c r="L14">
        <v>837</v>
      </c>
      <c r="M14">
        <v>837</v>
      </c>
      <c r="N14">
        <v>837</v>
      </c>
      <c r="O14">
        <v>837</v>
      </c>
      <c r="P14" s="2">
        <v>0.99524400000000002</v>
      </c>
    </row>
    <row r="15" spans="1:16" x14ac:dyDescent="0.25">
      <c r="A15" t="s">
        <v>16</v>
      </c>
      <c r="B15" s="15">
        <v>1187783620</v>
      </c>
      <c r="C15">
        <v>927</v>
      </c>
      <c r="D15">
        <v>1573</v>
      </c>
      <c r="E15" s="2">
        <v>0.37080000000000002</v>
      </c>
      <c r="F15" s="2">
        <v>0.62919999999999998</v>
      </c>
      <c r="G15">
        <v>66</v>
      </c>
      <c r="H15">
        <v>1</v>
      </c>
      <c r="I15">
        <v>927</v>
      </c>
      <c r="J15" s="19">
        <v>1</v>
      </c>
      <c r="K15">
        <v>4</v>
      </c>
      <c r="L15">
        <v>221.75</v>
      </c>
      <c r="M15">
        <v>392</v>
      </c>
      <c r="N15">
        <v>124</v>
      </c>
      <c r="O15">
        <v>887</v>
      </c>
      <c r="P15" s="2">
        <v>0.95684999999999998</v>
      </c>
    </row>
    <row r="16" spans="1:16" x14ac:dyDescent="0.25">
      <c r="A16" t="s">
        <v>16</v>
      </c>
      <c r="B16" s="15">
        <v>410842207</v>
      </c>
      <c r="C16">
        <v>1025</v>
      </c>
      <c r="D16">
        <v>1475</v>
      </c>
      <c r="E16" s="2">
        <v>0.41</v>
      </c>
      <c r="F16" s="2">
        <v>0.59</v>
      </c>
      <c r="G16">
        <v>72</v>
      </c>
      <c r="H16">
        <v>1</v>
      </c>
      <c r="I16">
        <v>1025</v>
      </c>
      <c r="J16" s="19">
        <v>1</v>
      </c>
      <c r="K16">
        <v>3</v>
      </c>
      <c r="L16">
        <v>328.33333299999998</v>
      </c>
      <c r="M16">
        <v>525</v>
      </c>
      <c r="N16">
        <v>188</v>
      </c>
      <c r="O16">
        <v>985</v>
      </c>
      <c r="P16" s="2">
        <v>0.96097600000000005</v>
      </c>
    </row>
    <row r="17" spans="1:16" x14ac:dyDescent="0.25">
      <c r="A17" t="s">
        <v>16</v>
      </c>
      <c r="B17" s="15">
        <v>1289637675</v>
      </c>
      <c r="C17">
        <v>1111</v>
      </c>
      <c r="D17">
        <v>1389</v>
      </c>
      <c r="E17" s="2">
        <v>0.44440000000000002</v>
      </c>
      <c r="F17" s="2">
        <v>0.55559999999999998</v>
      </c>
      <c r="G17">
        <v>80</v>
      </c>
      <c r="H17">
        <v>1</v>
      </c>
      <c r="I17">
        <v>1111</v>
      </c>
      <c r="J17" s="19">
        <v>1</v>
      </c>
      <c r="K17">
        <v>4</v>
      </c>
      <c r="L17">
        <v>267</v>
      </c>
      <c r="M17">
        <v>353</v>
      </c>
      <c r="N17">
        <v>183</v>
      </c>
      <c r="O17">
        <v>1068</v>
      </c>
      <c r="P17" s="2">
        <v>0.96129600000000004</v>
      </c>
    </row>
    <row r="18" spans="1:16" x14ac:dyDescent="0.25">
      <c r="A18" t="s">
        <v>16</v>
      </c>
      <c r="B18" s="15">
        <v>839727453</v>
      </c>
      <c r="C18">
        <v>768</v>
      </c>
      <c r="D18">
        <v>1732</v>
      </c>
      <c r="E18" s="2">
        <v>0.30719999999999997</v>
      </c>
      <c r="F18" s="2">
        <v>0.69279999999999997</v>
      </c>
      <c r="G18">
        <v>54</v>
      </c>
      <c r="H18">
        <v>1</v>
      </c>
      <c r="I18">
        <v>768</v>
      </c>
      <c r="J18" s="19">
        <v>1</v>
      </c>
      <c r="K18">
        <v>3</v>
      </c>
      <c r="L18">
        <v>246.66666699999999</v>
      </c>
      <c r="M18">
        <v>296</v>
      </c>
      <c r="N18">
        <v>172</v>
      </c>
      <c r="O18">
        <v>740</v>
      </c>
      <c r="P18" s="2">
        <v>0.96354200000000001</v>
      </c>
    </row>
    <row r="19" spans="1:16" x14ac:dyDescent="0.25">
      <c r="A19" t="s">
        <v>16</v>
      </c>
      <c r="B19" s="15">
        <v>297949929</v>
      </c>
      <c r="C19">
        <v>1168</v>
      </c>
      <c r="D19">
        <v>1332</v>
      </c>
      <c r="E19" s="2">
        <v>0.4672</v>
      </c>
      <c r="F19" s="2">
        <v>0.53280000000000005</v>
      </c>
      <c r="G19">
        <v>92</v>
      </c>
      <c r="H19">
        <v>1</v>
      </c>
      <c r="I19">
        <v>1168</v>
      </c>
      <c r="J19" s="19">
        <v>1</v>
      </c>
      <c r="K19">
        <v>4</v>
      </c>
      <c r="L19">
        <v>281</v>
      </c>
      <c r="M19">
        <v>516</v>
      </c>
      <c r="N19">
        <v>136</v>
      </c>
      <c r="O19">
        <v>1124</v>
      </c>
      <c r="P19" s="2">
        <v>0.96232899999999999</v>
      </c>
    </row>
    <row r="20" spans="1:16" x14ac:dyDescent="0.25">
      <c r="A20" t="s">
        <v>16</v>
      </c>
      <c r="B20" s="15">
        <v>1495823843</v>
      </c>
      <c r="C20">
        <v>1193</v>
      </c>
      <c r="D20">
        <v>1307</v>
      </c>
      <c r="E20" s="2">
        <v>0.47720000000000001</v>
      </c>
      <c r="F20" s="2">
        <v>0.52280000000000004</v>
      </c>
      <c r="G20">
        <v>73</v>
      </c>
      <c r="H20">
        <v>1</v>
      </c>
      <c r="I20">
        <v>1193</v>
      </c>
      <c r="J20" s="19">
        <v>1</v>
      </c>
      <c r="K20">
        <v>4</v>
      </c>
      <c r="L20">
        <v>288</v>
      </c>
      <c r="M20">
        <v>521</v>
      </c>
      <c r="N20">
        <v>126</v>
      </c>
      <c r="O20">
        <v>1152</v>
      </c>
      <c r="P20" s="2">
        <v>0.96563299999999996</v>
      </c>
    </row>
    <row r="21" spans="1:16" x14ac:dyDescent="0.25">
      <c r="A21" t="s">
        <v>16</v>
      </c>
      <c r="B21" s="15">
        <v>1176404547</v>
      </c>
      <c r="C21">
        <v>824</v>
      </c>
      <c r="D21">
        <v>1676</v>
      </c>
      <c r="E21" s="2">
        <v>0.3296</v>
      </c>
      <c r="F21" s="2">
        <v>0.6704</v>
      </c>
      <c r="G21">
        <v>74</v>
      </c>
      <c r="H21">
        <v>1</v>
      </c>
      <c r="I21">
        <v>824</v>
      </c>
      <c r="J21" s="19">
        <v>1</v>
      </c>
      <c r="K21">
        <v>3</v>
      </c>
      <c r="L21">
        <v>262.66666700000002</v>
      </c>
      <c r="M21">
        <v>496</v>
      </c>
      <c r="N21">
        <v>80</v>
      </c>
      <c r="O21">
        <v>788</v>
      </c>
      <c r="P21" s="2">
        <v>0.95631100000000002</v>
      </c>
    </row>
    <row r="22" spans="1:16" x14ac:dyDescent="0.25">
      <c r="A22" t="s">
        <v>16</v>
      </c>
      <c r="B22" s="15">
        <v>1983526456</v>
      </c>
      <c r="C22">
        <v>947</v>
      </c>
      <c r="D22">
        <v>1553</v>
      </c>
      <c r="E22" s="2">
        <v>0.37880000000000003</v>
      </c>
      <c r="F22" s="2">
        <v>0.62119999999999997</v>
      </c>
      <c r="G22">
        <v>83</v>
      </c>
      <c r="H22">
        <v>1</v>
      </c>
      <c r="I22">
        <v>947</v>
      </c>
      <c r="J22" s="19">
        <v>1</v>
      </c>
      <c r="K22">
        <v>4</v>
      </c>
      <c r="L22">
        <v>225.5</v>
      </c>
      <c r="M22">
        <v>414</v>
      </c>
      <c r="N22">
        <v>112</v>
      </c>
      <c r="O22">
        <v>902</v>
      </c>
      <c r="P22" s="2">
        <v>0.95248200000000005</v>
      </c>
    </row>
    <row r="23" spans="1:16" x14ac:dyDescent="0.25">
      <c r="A23" t="s">
        <v>16</v>
      </c>
      <c r="B23" s="15">
        <v>795780546</v>
      </c>
      <c r="C23">
        <v>948</v>
      </c>
      <c r="D23">
        <v>1552</v>
      </c>
      <c r="E23" s="2">
        <v>0.37919999999999998</v>
      </c>
      <c r="F23" s="2">
        <v>0.62080000000000002</v>
      </c>
      <c r="G23">
        <v>78</v>
      </c>
      <c r="H23">
        <v>1</v>
      </c>
      <c r="I23">
        <v>948</v>
      </c>
      <c r="J23" s="19">
        <v>1</v>
      </c>
      <c r="K23">
        <v>4</v>
      </c>
      <c r="L23">
        <v>226</v>
      </c>
      <c r="M23">
        <v>319</v>
      </c>
      <c r="N23">
        <v>136</v>
      </c>
      <c r="O23">
        <v>904</v>
      </c>
      <c r="P23" s="2">
        <v>0.95358600000000004</v>
      </c>
    </row>
    <row r="24" spans="1:16" x14ac:dyDescent="0.25">
      <c r="A24" t="s">
        <v>16</v>
      </c>
      <c r="B24" s="15">
        <v>886069473</v>
      </c>
      <c r="C24">
        <v>1085</v>
      </c>
      <c r="D24">
        <v>1415</v>
      </c>
      <c r="E24" s="2">
        <v>0.434</v>
      </c>
      <c r="F24" s="2">
        <v>0.56599999999999995</v>
      </c>
      <c r="G24">
        <v>74</v>
      </c>
      <c r="H24">
        <v>1</v>
      </c>
      <c r="I24">
        <v>1085</v>
      </c>
      <c r="J24" s="19">
        <v>1</v>
      </c>
      <c r="K24">
        <v>4</v>
      </c>
      <c r="L24">
        <v>260.5</v>
      </c>
      <c r="M24">
        <v>404</v>
      </c>
      <c r="N24">
        <v>178</v>
      </c>
      <c r="O24">
        <v>1042</v>
      </c>
      <c r="P24" s="2">
        <v>0.96036900000000003</v>
      </c>
    </row>
    <row r="25" spans="1:16" x14ac:dyDescent="0.25">
      <c r="A25" t="s">
        <v>16</v>
      </c>
      <c r="B25" s="15">
        <v>853971396</v>
      </c>
      <c r="C25">
        <v>1004</v>
      </c>
      <c r="D25">
        <v>1496</v>
      </c>
      <c r="E25" s="2">
        <v>0.40160000000000001</v>
      </c>
      <c r="F25" s="2">
        <v>0.59840000000000004</v>
      </c>
      <c r="G25">
        <v>68</v>
      </c>
      <c r="H25">
        <v>1</v>
      </c>
      <c r="I25">
        <v>1004</v>
      </c>
      <c r="J25" s="19">
        <v>1</v>
      </c>
      <c r="K25">
        <v>4</v>
      </c>
      <c r="L25">
        <v>243.5</v>
      </c>
      <c r="M25">
        <v>392</v>
      </c>
      <c r="N25">
        <v>126</v>
      </c>
      <c r="O25">
        <v>974</v>
      </c>
      <c r="P25" s="2">
        <v>0.97011999999999998</v>
      </c>
    </row>
    <row r="26" spans="1:16" x14ac:dyDescent="0.25">
      <c r="A26" t="s">
        <v>16</v>
      </c>
      <c r="B26" s="15">
        <v>1904388448</v>
      </c>
      <c r="C26">
        <v>1087</v>
      </c>
      <c r="D26">
        <v>1413</v>
      </c>
      <c r="E26" s="2">
        <v>0.43480000000000002</v>
      </c>
      <c r="F26" s="2">
        <v>0.56520000000000004</v>
      </c>
      <c r="G26">
        <v>63</v>
      </c>
      <c r="H26">
        <v>1</v>
      </c>
      <c r="I26">
        <v>1087</v>
      </c>
      <c r="J26" s="19">
        <v>1</v>
      </c>
      <c r="K26">
        <v>3</v>
      </c>
      <c r="L26">
        <v>353.66666700000002</v>
      </c>
      <c r="M26">
        <v>509</v>
      </c>
      <c r="N26">
        <v>156</v>
      </c>
      <c r="O26">
        <v>1061</v>
      </c>
      <c r="P26" s="2">
        <v>0.97608099999999998</v>
      </c>
    </row>
    <row r="27" spans="1:16" x14ac:dyDescent="0.25">
      <c r="A27" t="s">
        <v>16</v>
      </c>
      <c r="B27" s="15">
        <v>1948694960</v>
      </c>
      <c r="C27">
        <v>949</v>
      </c>
      <c r="D27">
        <v>1551</v>
      </c>
      <c r="E27" s="2">
        <v>0.37959999999999999</v>
      </c>
      <c r="F27" s="2">
        <v>0.62039999999999995</v>
      </c>
      <c r="G27">
        <v>44</v>
      </c>
      <c r="H27">
        <v>1</v>
      </c>
      <c r="I27">
        <v>949</v>
      </c>
      <c r="J27" s="19">
        <v>1</v>
      </c>
      <c r="K27">
        <v>2</v>
      </c>
      <c r="L27">
        <v>466</v>
      </c>
      <c r="M27">
        <v>656</v>
      </c>
      <c r="N27">
        <v>276</v>
      </c>
      <c r="O27">
        <v>932</v>
      </c>
      <c r="P27" s="2">
        <v>0.98208600000000001</v>
      </c>
    </row>
    <row r="28" spans="1:16" x14ac:dyDescent="0.25">
      <c r="A28" t="s">
        <v>16</v>
      </c>
      <c r="B28" s="15">
        <v>838327345</v>
      </c>
      <c r="C28">
        <v>1031</v>
      </c>
      <c r="D28">
        <v>1469</v>
      </c>
      <c r="E28" s="2">
        <v>0.41239999999999999</v>
      </c>
      <c r="F28" s="2">
        <v>0.58760000000000001</v>
      </c>
      <c r="G28">
        <v>65</v>
      </c>
      <c r="H28">
        <v>1</v>
      </c>
      <c r="I28">
        <v>1031</v>
      </c>
      <c r="J28" s="19">
        <v>1</v>
      </c>
      <c r="K28">
        <v>4</v>
      </c>
      <c r="L28">
        <v>247.5</v>
      </c>
      <c r="M28">
        <v>370</v>
      </c>
      <c r="N28">
        <v>139</v>
      </c>
      <c r="O28">
        <v>990</v>
      </c>
      <c r="P28" s="2">
        <v>0.960233</v>
      </c>
    </row>
    <row r="29" spans="1:16" x14ac:dyDescent="0.25">
      <c r="A29" t="s">
        <v>16</v>
      </c>
      <c r="B29" s="15">
        <v>1421298288</v>
      </c>
      <c r="C29">
        <v>981</v>
      </c>
      <c r="D29">
        <v>1519</v>
      </c>
      <c r="E29" s="2">
        <v>0.39240000000000003</v>
      </c>
      <c r="F29" s="2">
        <v>0.60760000000000003</v>
      </c>
      <c r="G29">
        <v>77</v>
      </c>
      <c r="H29">
        <v>1</v>
      </c>
      <c r="I29">
        <v>981</v>
      </c>
      <c r="J29" s="19">
        <v>1</v>
      </c>
      <c r="K29">
        <v>4</v>
      </c>
      <c r="L29">
        <v>234</v>
      </c>
      <c r="M29">
        <v>412</v>
      </c>
      <c r="N29">
        <v>104</v>
      </c>
      <c r="O29">
        <v>936</v>
      </c>
      <c r="P29" s="2">
        <v>0.95412799999999998</v>
      </c>
    </row>
    <row r="30" spans="1:16" x14ac:dyDescent="0.25">
      <c r="A30" t="s">
        <v>16</v>
      </c>
      <c r="B30" s="15">
        <v>1031543566</v>
      </c>
      <c r="C30">
        <v>1139</v>
      </c>
      <c r="D30">
        <v>1361</v>
      </c>
      <c r="E30" s="2">
        <v>0.4556</v>
      </c>
      <c r="F30" s="2">
        <v>0.5444</v>
      </c>
      <c r="G30">
        <v>75</v>
      </c>
      <c r="H30">
        <v>1</v>
      </c>
      <c r="I30">
        <v>1139</v>
      </c>
      <c r="J30" s="19">
        <v>1</v>
      </c>
      <c r="K30">
        <v>4</v>
      </c>
      <c r="L30">
        <v>272</v>
      </c>
      <c r="M30">
        <v>416</v>
      </c>
      <c r="N30">
        <v>162</v>
      </c>
      <c r="O30">
        <v>1088</v>
      </c>
      <c r="P30" s="2">
        <v>0.95522399999999996</v>
      </c>
    </row>
    <row r="31" spans="1:16" x14ac:dyDescent="0.25">
      <c r="A31" t="s">
        <v>16</v>
      </c>
      <c r="B31" s="15">
        <v>1410075778</v>
      </c>
      <c r="C31">
        <v>871</v>
      </c>
      <c r="D31">
        <v>1629</v>
      </c>
      <c r="E31" s="2">
        <v>0.34839999999999999</v>
      </c>
      <c r="F31" s="2">
        <v>0.65159999999999996</v>
      </c>
      <c r="G31">
        <v>46</v>
      </c>
      <c r="H31">
        <v>1</v>
      </c>
      <c r="I31">
        <v>871</v>
      </c>
      <c r="J31" s="19">
        <v>1</v>
      </c>
      <c r="K31">
        <v>2</v>
      </c>
      <c r="L31">
        <v>425</v>
      </c>
      <c r="M31">
        <v>518</v>
      </c>
      <c r="N31">
        <v>332</v>
      </c>
      <c r="O31">
        <v>850</v>
      </c>
      <c r="P31" s="2">
        <v>0.97589000000000004</v>
      </c>
    </row>
    <row r="32" spans="1:16" x14ac:dyDescent="0.25">
      <c r="A32" t="s">
        <v>16</v>
      </c>
      <c r="B32" s="15">
        <v>1042360333</v>
      </c>
      <c r="C32">
        <v>970</v>
      </c>
      <c r="D32">
        <v>1530</v>
      </c>
      <c r="E32" s="2">
        <v>0.38800000000000001</v>
      </c>
      <c r="F32" s="2">
        <v>0.61199999999999999</v>
      </c>
      <c r="G32">
        <v>82</v>
      </c>
      <c r="H32">
        <v>1</v>
      </c>
      <c r="I32">
        <v>970</v>
      </c>
      <c r="J32" s="19">
        <v>1</v>
      </c>
      <c r="K32">
        <v>4</v>
      </c>
      <c r="L32">
        <v>228.25</v>
      </c>
      <c r="M32">
        <v>319</v>
      </c>
      <c r="N32">
        <v>140</v>
      </c>
      <c r="O32">
        <v>913</v>
      </c>
      <c r="P32" s="2">
        <v>0.94123699999999999</v>
      </c>
    </row>
    <row r="33" spans="1:16" x14ac:dyDescent="0.25">
      <c r="A33" t="s">
        <v>16</v>
      </c>
      <c r="B33" s="15">
        <v>1084716411</v>
      </c>
      <c r="C33">
        <v>1030</v>
      </c>
      <c r="D33">
        <v>1470</v>
      </c>
      <c r="E33" s="2">
        <v>0.41199999999999998</v>
      </c>
      <c r="F33" s="2">
        <v>0.58799999999999997</v>
      </c>
      <c r="G33">
        <v>83</v>
      </c>
      <c r="H33">
        <v>1</v>
      </c>
      <c r="I33">
        <v>1030</v>
      </c>
      <c r="J33" s="19">
        <v>1</v>
      </c>
      <c r="K33">
        <v>4</v>
      </c>
      <c r="L33">
        <v>244.5</v>
      </c>
      <c r="M33">
        <v>416</v>
      </c>
      <c r="N33">
        <v>90</v>
      </c>
      <c r="O33">
        <v>978</v>
      </c>
      <c r="P33" s="2">
        <v>0.949515</v>
      </c>
    </row>
    <row r="34" spans="1:16" x14ac:dyDescent="0.25">
      <c r="A34" t="s">
        <v>16</v>
      </c>
      <c r="B34" s="15">
        <v>207626202</v>
      </c>
      <c r="C34">
        <v>1117</v>
      </c>
      <c r="D34">
        <v>1383</v>
      </c>
      <c r="E34" s="2">
        <v>0.44679999999999997</v>
      </c>
      <c r="F34" s="2">
        <v>0.55320000000000003</v>
      </c>
      <c r="G34">
        <v>75</v>
      </c>
      <c r="H34">
        <v>1</v>
      </c>
      <c r="I34">
        <v>1117</v>
      </c>
      <c r="J34" s="19">
        <v>1</v>
      </c>
      <c r="K34">
        <v>4</v>
      </c>
      <c r="L34">
        <v>269.25</v>
      </c>
      <c r="M34">
        <v>509</v>
      </c>
      <c r="N34">
        <v>156</v>
      </c>
      <c r="O34">
        <v>1077</v>
      </c>
      <c r="P34" s="2">
        <v>0.96418999999999999</v>
      </c>
    </row>
    <row r="35" spans="1:16" x14ac:dyDescent="0.25">
      <c r="A35" t="s">
        <v>16</v>
      </c>
      <c r="B35" s="15">
        <v>1550619818</v>
      </c>
      <c r="C35">
        <v>759</v>
      </c>
      <c r="D35">
        <v>1741</v>
      </c>
      <c r="E35" s="2">
        <v>0.30359999999999998</v>
      </c>
      <c r="F35" s="2">
        <v>0.69640000000000002</v>
      </c>
      <c r="G35">
        <v>70</v>
      </c>
      <c r="H35">
        <v>1</v>
      </c>
      <c r="I35">
        <v>759</v>
      </c>
      <c r="J35" s="19">
        <v>1</v>
      </c>
      <c r="K35">
        <v>4</v>
      </c>
      <c r="L35">
        <v>180.5</v>
      </c>
      <c r="M35">
        <v>320</v>
      </c>
      <c r="N35">
        <v>113</v>
      </c>
      <c r="O35">
        <v>722</v>
      </c>
      <c r="P35" s="2">
        <v>0.95125199999999999</v>
      </c>
    </row>
    <row r="36" spans="1:16" x14ac:dyDescent="0.25">
      <c r="A36" t="s">
        <v>16</v>
      </c>
      <c r="B36" s="15">
        <v>70038748</v>
      </c>
      <c r="C36">
        <v>951</v>
      </c>
      <c r="D36">
        <v>1549</v>
      </c>
      <c r="E36" s="2">
        <v>0.38040000000000002</v>
      </c>
      <c r="F36" s="2">
        <v>0.61960000000000004</v>
      </c>
      <c r="G36">
        <v>50</v>
      </c>
      <c r="H36">
        <v>1</v>
      </c>
      <c r="I36">
        <v>951</v>
      </c>
      <c r="J36" s="19">
        <v>1</v>
      </c>
      <c r="K36">
        <v>3</v>
      </c>
      <c r="L36">
        <v>309</v>
      </c>
      <c r="M36">
        <v>464</v>
      </c>
      <c r="N36">
        <v>116</v>
      </c>
      <c r="O36">
        <v>927</v>
      </c>
      <c r="P36" s="2">
        <v>0.97476300000000005</v>
      </c>
    </row>
    <row r="37" spans="1:16" x14ac:dyDescent="0.25">
      <c r="A37" t="s">
        <v>16</v>
      </c>
      <c r="B37" s="15">
        <v>1433733934</v>
      </c>
      <c r="C37">
        <v>1146</v>
      </c>
      <c r="D37">
        <v>1354</v>
      </c>
      <c r="E37" s="2">
        <v>0.45839999999999997</v>
      </c>
      <c r="F37" s="2">
        <v>0.54159999999999997</v>
      </c>
      <c r="G37">
        <v>63</v>
      </c>
      <c r="H37">
        <v>1</v>
      </c>
      <c r="I37">
        <v>1146</v>
      </c>
      <c r="J37" s="19">
        <v>1</v>
      </c>
      <c r="K37">
        <v>4</v>
      </c>
      <c r="L37">
        <v>275.5</v>
      </c>
      <c r="M37">
        <v>644</v>
      </c>
      <c r="N37">
        <v>92</v>
      </c>
      <c r="O37">
        <v>1102</v>
      </c>
      <c r="P37" s="2">
        <v>0.96160599999999996</v>
      </c>
    </row>
    <row r="38" spans="1:16" x14ac:dyDescent="0.25">
      <c r="A38" t="s">
        <v>16</v>
      </c>
      <c r="B38" s="15">
        <v>601376920</v>
      </c>
      <c r="C38">
        <v>959</v>
      </c>
      <c r="D38">
        <v>1541</v>
      </c>
      <c r="E38" s="2">
        <v>0.3836</v>
      </c>
      <c r="F38" s="2">
        <v>0.61639999999999995</v>
      </c>
      <c r="G38">
        <v>78</v>
      </c>
      <c r="H38">
        <v>1</v>
      </c>
      <c r="I38">
        <v>959</v>
      </c>
      <c r="J38" s="19">
        <v>1</v>
      </c>
      <c r="K38">
        <v>4</v>
      </c>
      <c r="L38">
        <v>231.5</v>
      </c>
      <c r="M38">
        <v>396</v>
      </c>
      <c r="N38">
        <v>96</v>
      </c>
      <c r="O38">
        <v>926</v>
      </c>
      <c r="P38" s="2">
        <v>0.96558900000000003</v>
      </c>
    </row>
    <row r="39" spans="1:16" x14ac:dyDescent="0.25">
      <c r="A39" t="s">
        <v>16</v>
      </c>
      <c r="B39" s="15">
        <v>1652238620</v>
      </c>
      <c r="C39">
        <v>969</v>
      </c>
      <c r="D39">
        <v>1531</v>
      </c>
      <c r="E39" s="2">
        <v>0.3876</v>
      </c>
      <c r="F39" s="2">
        <v>0.61240000000000006</v>
      </c>
      <c r="G39">
        <v>78</v>
      </c>
      <c r="H39">
        <v>1</v>
      </c>
      <c r="I39">
        <v>969</v>
      </c>
      <c r="J39" s="19">
        <v>1</v>
      </c>
      <c r="K39">
        <v>4</v>
      </c>
      <c r="L39">
        <v>230</v>
      </c>
      <c r="M39">
        <v>248</v>
      </c>
      <c r="N39">
        <v>188</v>
      </c>
      <c r="O39">
        <v>920</v>
      </c>
      <c r="P39" s="2">
        <v>0.94943200000000005</v>
      </c>
    </row>
    <row r="40" spans="1:16" x14ac:dyDescent="0.25">
      <c r="A40" t="s">
        <v>16</v>
      </c>
      <c r="B40" s="15">
        <v>1998175233</v>
      </c>
      <c r="C40">
        <v>1062</v>
      </c>
      <c r="D40">
        <v>1438</v>
      </c>
      <c r="E40" s="2">
        <v>0.42480000000000001</v>
      </c>
      <c r="F40" s="2">
        <v>0.57520000000000004</v>
      </c>
      <c r="G40">
        <v>67</v>
      </c>
      <c r="H40">
        <v>1</v>
      </c>
      <c r="I40">
        <v>1062</v>
      </c>
      <c r="J40" s="19">
        <v>1</v>
      </c>
      <c r="K40">
        <v>4</v>
      </c>
      <c r="L40">
        <v>256</v>
      </c>
      <c r="M40">
        <v>456</v>
      </c>
      <c r="N40">
        <v>139</v>
      </c>
      <c r="O40">
        <v>1024</v>
      </c>
      <c r="P40" s="2">
        <v>0.96421800000000002</v>
      </c>
    </row>
    <row r="41" spans="1:16" x14ac:dyDescent="0.25">
      <c r="A41" t="s">
        <v>16</v>
      </c>
      <c r="B41" s="15">
        <v>185788832</v>
      </c>
      <c r="C41">
        <v>1086</v>
      </c>
      <c r="D41">
        <v>1414</v>
      </c>
      <c r="E41" s="2">
        <v>0.43440000000000001</v>
      </c>
      <c r="F41" s="2">
        <v>0.56559999999999999</v>
      </c>
      <c r="G41">
        <v>75</v>
      </c>
      <c r="H41">
        <v>1</v>
      </c>
      <c r="I41">
        <v>1086</v>
      </c>
      <c r="J41" s="19">
        <v>1</v>
      </c>
      <c r="K41">
        <v>4</v>
      </c>
      <c r="L41">
        <v>262</v>
      </c>
      <c r="M41">
        <v>384</v>
      </c>
      <c r="N41">
        <v>136</v>
      </c>
      <c r="O41">
        <v>1048</v>
      </c>
      <c r="P41" s="2">
        <v>0.96500900000000001</v>
      </c>
    </row>
    <row r="42" spans="1:16" x14ac:dyDescent="0.25">
      <c r="A42" t="s">
        <v>16</v>
      </c>
      <c r="B42" s="15">
        <v>1177113582</v>
      </c>
      <c r="C42">
        <v>928</v>
      </c>
      <c r="D42">
        <v>1572</v>
      </c>
      <c r="E42" s="2">
        <v>0.37119999999999997</v>
      </c>
      <c r="F42" s="2">
        <v>0.62880000000000003</v>
      </c>
      <c r="G42">
        <v>77</v>
      </c>
      <c r="H42">
        <v>1</v>
      </c>
      <c r="I42">
        <v>928</v>
      </c>
      <c r="J42" s="19">
        <v>1</v>
      </c>
      <c r="K42">
        <v>4</v>
      </c>
      <c r="L42">
        <v>221.5</v>
      </c>
      <c r="M42">
        <v>336</v>
      </c>
      <c r="N42">
        <v>116</v>
      </c>
      <c r="O42">
        <v>886</v>
      </c>
      <c r="P42" s="2">
        <v>0.95474099999999995</v>
      </c>
    </row>
    <row r="43" spans="1:16" x14ac:dyDescent="0.25">
      <c r="A43" t="s">
        <v>16</v>
      </c>
      <c r="B43" s="15">
        <v>975800357</v>
      </c>
      <c r="C43">
        <v>1084</v>
      </c>
      <c r="D43">
        <v>1416</v>
      </c>
      <c r="E43" s="2">
        <v>0.43359999999999999</v>
      </c>
      <c r="F43" s="2">
        <v>0.56640000000000001</v>
      </c>
      <c r="G43">
        <v>84</v>
      </c>
      <c r="H43">
        <v>1</v>
      </c>
      <c r="I43">
        <v>1084</v>
      </c>
      <c r="J43" s="19">
        <v>1</v>
      </c>
      <c r="K43">
        <v>4</v>
      </c>
      <c r="L43">
        <v>259.25</v>
      </c>
      <c r="M43">
        <v>346</v>
      </c>
      <c r="N43">
        <v>158</v>
      </c>
      <c r="O43">
        <v>1037</v>
      </c>
      <c r="P43" s="2">
        <v>0.95664199999999999</v>
      </c>
    </row>
    <row r="44" spans="1:16" x14ac:dyDescent="0.25">
      <c r="A44" t="s">
        <v>16</v>
      </c>
      <c r="B44" s="15">
        <v>1163599626</v>
      </c>
      <c r="C44">
        <v>990</v>
      </c>
      <c r="D44">
        <v>1510</v>
      </c>
      <c r="E44" s="2">
        <v>0.39600000000000002</v>
      </c>
      <c r="F44" s="2">
        <v>0.60399999999999998</v>
      </c>
      <c r="G44">
        <v>84</v>
      </c>
      <c r="H44">
        <v>1</v>
      </c>
      <c r="I44">
        <v>990</v>
      </c>
      <c r="J44" s="19">
        <v>1</v>
      </c>
      <c r="K44">
        <v>3</v>
      </c>
      <c r="L44">
        <v>317</v>
      </c>
      <c r="M44">
        <v>635</v>
      </c>
      <c r="N44">
        <v>60</v>
      </c>
      <c r="O44">
        <v>951</v>
      </c>
      <c r="P44" s="2">
        <v>0.96060599999999996</v>
      </c>
    </row>
    <row r="45" spans="1:16" x14ac:dyDescent="0.25">
      <c r="A45" t="s">
        <v>16</v>
      </c>
      <c r="B45" s="15">
        <v>1396721545</v>
      </c>
      <c r="C45">
        <v>1045</v>
      </c>
      <c r="D45">
        <v>1455</v>
      </c>
      <c r="E45" s="2">
        <v>0.41799999999999998</v>
      </c>
      <c r="F45" s="2">
        <v>0.58199999999999996</v>
      </c>
      <c r="G45">
        <v>74</v>
      </c>
      <c r="H45">
        <v>1</v>
      </c>
      <c r="I45">
        <v>1045</v>
      </c>
      <c r="J45" s="19">
        <v>1</v>
      </c>
      <c r="K45">
        <v>4</v>
      </c>
      <c r="L45">
        <v>250.75</v>
      </c>
      <c r="M45">
        <v>476</v>
      </c>
      <c r="N45">
        <v>66</v>
      </c>
      <c r="O45">
        <v>1003</v>
      </c>
      <c r="P45" s="2">
        <v>0.95980900000000002</v>
      </c>
    </row>
    <row r="46" spans="1:16" x14ac:dyDescent="0.25">
      <c r="A46" t="s">
        <v>16</v>
      </c>
      <c r="B46" s="15">
        <v>1113411641</v>
      </c>
      <c r="C46">
        <v>955</v>
      </c>
      <c r="D46">
        <v>1545</v>
      </c>
      <c r="E46" s="2">
        <v>0.38200000000000001</v>
      </c>
      <c r="F46" s="2">
        <v>0.61799999999999999</v>
      </c>
      <c r="G46">
        <v>87</v>
      </c>
      <c r="H46">
        <v>1</v>
      </c>
      <c r="I46">
        <v>955</v>
      </c>
      <c r="J46" s="19">
        <v>1</v>
      </c>
      <c r="K46">
        <v>4</v>
      </c>
      <c r="L46">
        <v>226</v>
      </c>
      <c r="M46">
        <v>521</v>
      </c>
      <c r="N46">
        <v>59</v>
      </c>
      <c r="O46">
        <v>904</v>
      </c>
      <c r="P46" s="2">
        <v>0.94659700000000002</v>
      </c>
    </row>
    <row r="47" spans="1:16" x14ac:dyDescent="0.25">
      <c r="A47" t="s">
        <v>16</v>
      </c>
      <c r="B47" s="15">
        <v>237225804</v>
      </c>
      <c r="C47">
        <v>820</v>
      </c>
      <c r="D47">
        <v>1680</v>
      </c>
      <c r="E47" s="2">
        <v>0.32800000000000001</v>
      </c>
      <c r="F47" s="2">
        <v>0.67200000000000004</v>
      </c>
      <c r="G47">
        <v>43</v>
      </c>
      <c r="H47">
        <v>1</v>
      </c>
      <c r="I47">
        <v>820</v>
      </c>
      <c r="J47" s="19">
        <v>1</v>
      </c>
      <c r="K47">
        <v>2</v>
      </c>
      <c r="L47">
        <v>401</v>
      </c>
      <c r="M47">
        <v>456</v>
      </c>
      <c r="N47">
        <v>346</v>
      </c>
      <c r="O47">
        <v>802</v>
      </c>
      <c r="P47" s="2">
        <v>0.97804899999999995</v>
      </c>
    </row>
    <row r="48" spans="1:16" x14ac:dyDescent="0.25">
      <c r="A48" t="s">
        <v>16</v>
      </c>
      <c r="B48" s="15">
        <v>1106788731</v>
      </c>
      <c r="C48">
        <v>906</v>
      </c>
      <c r="D48">
        <v>1594</v>
      </c>
      <c r="E48" s="2">
        <v>0.3624</v>
      </c>
      <c r="F48" s="2">
        <v>0.63759999999999994</v>
      </c>
      <c r="G48">
        <v>80</v>
      </c>
      <c r="H48">
        <v>1</v>
      </c>
      <c r="I48">
        <v>906</v>
      </c>
      <c r="J48" s="19">
        <v>1</v>
      </c>
      <c r="K48">
        <v>4</v>
      </c>
      <c r="L48">
        <v>216.5</v>
      </c>
      <c r="M48">
        <v>311</v>
      </c>
      <c r="N48">
        <v>116</v>
      </c>
      <c r="O48">
        <v>866</v>
      </c>
      <c r="P48" s="2">
        <v>0.95584999999999998</v>
      </c>
    </row>
    <row r="49" spans="1:16" x14ac:dyDescent="0.25">
      <c r="A49" t="s">
        <v>16</v>
      </c>
      <c r="B49" s="15">
        <v>361702427</v>
      </c>
      <c r="C49">
        <v>894</v>
      </c>
      <c r="D49">
        <v>1606</v>
      </c>
      <c r="E49" s="2">
        <v>0.35759999999999997</v>
      </c>
      <c r="F49" s="2">
        <v>0.64239999999999997</v>
      </c>
      <c r="G49">
        <v>58</v>
      </c>
      <c r="H49">
        <v>1</v>
      </c>
      <c r="I49">
        <v>894</v>
      </c>
      <c r="J49" s="19">
        <v>1</v>
      </c>
      <c r="K49">
        <v>3</v>
      </c>
      <c r="L49">
        <v>287</v>
      </c>
      <c r="M49">
        <v>428</v>
      </c>
      <c r="N49">
        <v>165</v>
      </c>
      <c r="O49">
        <v>861</v>
      </c>
      <c r="P49" s="2">
        <v>0.96308700000000003</v>
      </c>
    </row>
    <row r="50" spans="1:16" x14ac:dyDescent="0.25">
      <c r="A50" t="s">
        <v>16</v>
      </c>
      <c r="B50" s="15">
        <v>1691822269</v>
      </c>
      <c r="C50">
        <v>946</v>
      </c>
      <c r="D50">
        <v>1554</v>
      </c>
      <c r="E50" s="2">
        <v>0.37840000000000001</v>
      </c>
      <c r="F50" s="2">
        <v>0.62160000000000004</v>
      </c>
      <c r="G50">
        <v>86</v>
      </c>
      <c r="H50">
        <v>1</v>
      </c>
      <c r="I50">
        <v>946</v>
      </c>
      <c r="J50" s="19">
        <v>1</v>
      </c>
      <c r="K50">
        <v>4</v>
      </c>
      <c r="L50">
        <v>226</v>
      </c>
      <c r="M50">
        <v>482</v>
      </c>
      <c r="N50">
        <v>86</v>
      </c>
      <c r="O50">
        <v>904</v>
      </c>
      <c r="P50" s="2">
        <v>0.95560299999999998</v>
      </c>
    </row>
    <row r="51" spans="1:16" x14ac:dyDescent="0.25">
      <c r="A51" t="s">
        <v>16</v>
      </c>
      <c r="B51" s="15">
        <v>984143808</v>
      </c>
      <c r="C51">
        <v>803</v>
      </c>
      <c r="D51">
        <v>1697</v>
      </c>
      <c r="E51" s="2">
        <v>0.32119999999999999</v>
      </c>
      <c r="F51" s="2">
        <v>0.67879999999999996</v>
      </c>
      <c r="G51">
        <v>56</v>
      </c>
      <c r="H51">
        <v>1</v>
      </c>
      <c r="I51">
        <v>803</v>
      </c>
      <c r="J51" s="19">
        <v>1</v>
      </c>
      <c r="K51">
        <v>2</v>
      </c>
      <c r="L51">
        <v>390.5</v>
      </c>
      <c r="M51">
        <v>524</v>
      </c>
      <c r="N51">
        <v>257</v>
      </c>
      <c r="O51">
        <v>781</v>
      </c>
      <c r="P51" s="2">
        <v>0.972603</v>
      </c>
    </row>
    <row r="52" spans="1:16" x14ac:dyDescent="0.25">
      <c r="A52" t="s">
        <v>30</v>
      </c>
      <c r="C52">
        <f>SUBTOTAL(101,BSP_depth2_room10_padding2[floors])</f>
        <v>992.04</v>
      </c>
      <c r="D52">
        <f>SUBTOTAL(101,BSP_depth2_room10_padding2[walls])</f>
        <v>1507.96</v>
      </c>
      <c r="E52" s="3">
        <f>SUBTOTAL(101,BSP_depth2_room10_padding2[floor_percent])</f>
        <v>0.39681600000000006</v>
      </c>
      <c r="F52" s="3">
        <f>SUBTOTAL(101,BSP_depth2_room10_padding2[wall_percent])</f>
        <v>0.60318399999999983</v>
      </c>
      <c r="G52">
        <f>SUBTOTAL(101,BSP_depth2_room10_padding2[longest_shortest_path])</f>
        <v>69.88</v>
      </c>
      <c r="H52">
        <f>SUBTOTAL(101,BSP_depth2_room10_padding2[component_count])</f>
        <v>1</v>
      </c>
      <c r="I52">
        <f>SUBTOTAL(101,BSP_depth2_room10_padding2[max_component_size])</f>
        <v>992.04</v>
      </c>
      <c r="J52" s="19">
        <f>SUBTOTAL(101,BSP_depth2_room10_padding2[connectivity_ratio])</f>
        <v>1</v>
      </c>
      <c r="K52">
        <f>SUBTOTAL(101,BSP_depth2_room10_padding2[room_count])</f>
        <v>3.54</v>
      </c>
      <c r="L52">
        <f>SUBTOTAL(101,BSP_depth2_room10_padding2[avg_room_size])</f>
        <v>287.14166670000003</v>
      </c>
      <c r="M52">
        <f>SUBTOTAL(101,BSP_depth2_room10_padding2[max_room_size])</f>
        <v>451.28</v>
      </c>
      <c r="N52">
        <f>SUBTOTAL(101,BSP_depth2_room10_padding2[min_room_size])</f>
        <v>163.12</v>
      </c>
      <c r="O52">
        <f>SUBTOTAL(101,BSP_depth2_room10_padding2[room_tiles])</f>
        <v>953.98</v>
      </c>
      <c r="P52" s="3">
        <f>SUBTOTAL(101,BSP_depth2_room10_padding2[room_ratio])</f>
        <v>0.96167038000000038</v>
      </c>
    </row>
    <row r="53" spans="1:16" x14ac:dyDescent="0.25">
      <c r="A53" s="17" t="s">
        <v>34</v>
      </c>
      <c r="B53" s="17"/>
      <c r="C53" s="17"/>
      <c r="D53" s="17"/>
      <c r="E53" s="17"/>
    </row>
  </sheetData>
  <mergeCells count="1">
    <mergeCell ref="A53:E53"/>
  </mergeCells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85AC-D6F3-40E5-AD13-2E821CEC6028}">
  <dimension ref="A1:P53"/>
  <sheetViews>
    <sheetView workbookViewId="0">
      <selection activeCell="J1" sqref="J1:J1048576"/>
    </sheetView>
  </sheetViews>
  <sheetFormatPr defaultRowHeight="15" x14ac:dyDescent="0.25"/>
  <cols>
    <col min="1" max="1" width="21.140625" bestFit="1" customWidth="1"/>
    <col min="2" max="2" width="11" bestFit="1" customWidth="1"/>
    <col min="3" max="3" width="8.5703125" bestFit="1" customWidth="1"/>
    <col min="4" max="4" width="7.85546875" bestFit="1" customWidth="1"/>
    <col min="5" max="5" width="15.5703125" bestFit="1" customWidth="1"/>
    <col min="6" max="6" width="14.7109375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19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9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5">
        <v>1619311741</v>
      </c>
      <c r="C2">
        <v>817</v>
      </c>
      <c r="D2">
        <v>1683</v>
      </c>
      <c r="E2" s="2">
        <v>0.32679999999999998</v>
      </c>
      <c r="F2" s="2">
        <v>0.67320000000000002</v>
      </c>
      <c r="G2">
        <v>99</v>
      </c>
      <c r="H2">
        <v>1</v>
      </c>
      <c r="I2">
        <v>817</v>
      </c>
      <c r="J2" s="19">
        <v>1</v>
      </c>
      <c r="K2">
        <v>6</v>
      </c>
      <c r="L2">
        <v>122</v>
      </c>
      <c r="M2">
        <v>178</v>
      </c>
      <c r="N2">
        <v>52</v>
      </c>
      <c r="O2">
        <v>732</v>
      </c>
      <c r="P2" s="2">
        <v>0.89596100000000001</v>
      </c>
    </row>
    <row r="3" spans="1:16" x14ac:dyDescent="0.25">
      <c r="A3" t="s">
        <v>16</v>
      </c>
      <c r="B3" s="15">
        <v>1873324486</v>
      </c>
      <c r="C3">
        <v>760</v>
      </c>
      <c r="D3">
        <v>1740</v>
      </c>
      <c r="E3" s="2">
        <v>0.30399999999999999</v>
      </c>
      <c r="F3" s="2">
        <v>0.69599999999999995</v>
      </c>
      <c r="G3">
        <v>86</v>
      </c>
      <c r="H3">
        <v>1</v>
      </c>
      <c r="I3">
        <v>760</v>
      </c>
      <c r="J3" s="19">
        <v>1</v>
      </c>
      <c r="K3">
        <v>6</v>
      </c>
      <c r="L3">
        <v>116.166667</v>
      </c>
      <c r="M3">
        <v>191</v>
      </c>
      <c r="N3">
        <v>66</v>
      </c>
      <c r="O3">
        <v>697</v>
      </c>
      <c r="P3" s="2">
        <v>0.91710499999999995</v>
      </c>
    </row>
    <row r="4" spans="1:16" x14ac:dyDescent="0.25">
      <c r="A4" t="s">
        <v>16</v>
      </c>
      <c r="B4" s="15">
        <v>1530387047</v>
      </c>
      <c r="C4">
        <v>785</v>
      </c>
      <c r="D4">
        <v>1715</v>
      </c>
      <c r="E4" s="2">
        <v>0.314</v>
      </c>
      <c r="F4" s="2">
        <v>0.68600000000000005</v>
      </c>
      <c r="G4">
        <v>97</v>
      </c>
      <c r="H4">
        <v>1</v>
      </c>
      <c r="I4">
        <v>785</v>
      </c>
      <c r="J4" s="19">
        <v>1</v>
      </c>
      <c r="K4">
        <v>7</v>
      </c>
      <c r="L4">
        <v>100.42857100000001</v>
      </c>
      <c r="M4">
        <v>146</v>
      </c>
      <c r="N4">
        <v>76</v>
      </c>
      <c r="O4">
        <v>703</v>
      </c>
      <c r="P4" s="2">
        <v>0.89554100000000003</v>
      </c>
    </row>
    <row r="5" spans="1:16" x14ac:dyDescent="0.25">
      <c r="A5" t="s">
        <v>16</v>
      </c>
      <c r="B5" s="15">
        <v>1809169483</v>
      </c>
      <c r="C5">
        <v>778</v>
      </c>
      <c r="D5">
        <v>1722</v>
      </c>
      <c r="E5" s="2">
        <v>0.31119999999999998</v>
      </c>
      <c r="F5" s="2">
        <v>0.68879999999999997</v>
      </c>
      <c r="G5">
        <v>87</v>
      </c>
      <c r="H5">
        <v>1</v>
      </c>
      <c r="I5">
        <v>778</v>
      </c>
      <c r="J5" s="19">
        <v>1</v>
      </c>
      <c r="K5">
        <v>7</v>
      </c>
      <c r="L5">
        <v>102.42857100000001</v>
      </c>
      <c r="M5">
        <v>139</v>
      </c>
      <c r="N5">
        <v>66</v>
      </c>
      <c r="O5">
        <v>717</v>
      </c>
      <c r="P5" s="2">
        <v>0.92159400000000002</v>
      </c>
    </row>
    <row r="6" spans="1:16" x14ac:dyDescent="0.25">
      <c r="A6" t="s">
        <v>16</v>
      </c>
      <c r="B6" s="15">
        <v>712072349</v>
      </c>
      <c r="C6">
        <v>984</v>
      </c>
      <c r="D6">
        <v>1516</v>
      </c>
      <c r="E6" s="2">
        <v>0.39360000000000001</v>
      </c>
      <c r="F6" s="2">
        <v>0.60640000000000005</v>
      </c>
      <c r="G6">
        <v>93</v>
      </c>
      <c r="H6">
        <v>1</v>
      </c>
      <c r="I6">
        <v>984</v>
      </c>
      <c r="J6" s="19">
        <v>1</v>
      </c>
      <c r="K6">
        <v>9</v>
      </c>
      <c r="L6">
        <v>97.888889000000006</v>
      </c>
      <c r="M6">
        <v>176</v>
      </c>
      <c r="N6">
        <v>55</v>
      </c>
      <c r="O6">
        <v>881</v>
      </c>
      <c r="P6" s="2">
        <v>0.89532500000000004</v>
      </c>
    </row>
    <row r="7" spans="1:16" x14ac:dyDescent="0.25">
      <c r="A7" t="s">
        <v>16</v>
      </c>
      <c r="B7" s="15">
        <v>1809942699</v>
      </c>
      <c r="C7">
        <v>1169</v>
      </c>
      <c r="D7">
        <v>1331</v>
      </c>
      <c r="E7" s="2">
        <v>0.46760000000000002</v>
      </c>
      <c r="F7" s="2">
        <v>0.53239999999999998</v>
      </c>
      <c r="G7">
        <v>96</v>
      </c>
      <c r="H7">
        <v>1</v>
      </c>
      <c r="I7">
        <v>1169</v>
      </c>
      <c r="J7" s="19">
        <v>1</v>
      </c>
      <c r="K7">
        <v>8</v>
      </c>
      <c r="L7">
        <v>136.375</v>
      </c>
      <c r="M7">
        <v>266</v>
      </c>
      <c r="N7">
        <v>56</v>
      </c>
      <c r="O7">
        <v>1091</v>
      </c>
      <c r="P7" s="2">
        <v>0.93327599999999999</v>
      </c>
    </row>
    <row r="8" spans="1:16" x14ac:dyDescent="0.25">
      <c r="A8" t="s">
        <v>16</v>
      </c>
      <c r="B8" s="15">
        <v>1699967065</v>
      </c>
      <c r="C8">
        <v>206</v>
      </c>
      <c r="D8">
        <v>2294</v>
      </c>
      <c r="E8" s="2">
        <v>8.2400000000000001E-2</v>
      </c>
      <c r="F8" s="2">
        <v>0.91759999999999997</v>
      </c>
      <c r="G8">
        <v>41</v>
      </c>
      <c r="H8">
        <v>1</v>
      </c>
      <c r="I8">
        <v>206</v>
      </c>
      <c r="J8" s="19">
        <v>1</v>
      </c>
      <c r="K8">
        <v>2</v>
      </c>
      <c r="L8">
        <v>90.5</v>
      </c>
      <c r="M8">
        <v>108</v>
      </c>
      <c r="N8">
        <v>73</v>
      </c>
      <c r="O8">
        <v>181</v>
      </c>
      <c r="P8" s="2">
        <v>0.87864100000000001</v>
      </c>
    </row>
    <row r="9" spans="1:16" x14ac:dyDescent="0.25">
      <c r="A9" t="s">
        <v>16</v>
      </c>
      <c r="B9" s="15">
        <v>25553837</v>
      </c>
      <c r="C9">
        <v>730</v>
      </c>
      <c r="D9">
        <v>1770</v>
      </c>
      <c r="E9" s="2">
        <v>0.29199999999999998</v>
      </c>
      <c r="F9" s="2">
        <v>0.70799999999999996</v>
      </c>
      <c r="G9">
        <v>72</v>
      </c>
      <c r="H9">
        <v>1</v>
      </c>
      <c r="I9">
        <v>730</v>
      </c>
      <c r="J9" s="19">
        <v>1</v>
      </c>
      <c r="K9">
        <v>6</v>
      </c>
      <c r="L9">
        <v>111</v>
      </c>
      <c r="M9">
        <v>200</v>
      </c>
      <c r="N9">
        <v>56</v>
      </c>
      <c r="O9">
        <v>666</v>
      </c>
      <c r="P9" s="2">
        <v>0.91232899999999995</v>
      </c>
    </row>
    <row r="10" spans="1:16" x14ac:dyDescent="0.25">
      <c r="A10" t="s">
        <v>16</v>
      </c>
      <c r="B10" s="15">
        <v>638304034</v>
      </c>
      <c r="C10">
        <v>945</v>
      </c>
      <c r="D10">
        <v>1555</v>
      </c>
      <c r="E10" s="2">
        <v>0.378</v>
      </c>
      <c r="F10" s="2">
        <v>0.622</v>
      </c>
      <c r="G10">
        <v>100</v>
      </c>
      <c r="H10">
        <v>1</v>
      </c>
      <c r="I10">
        <v>945</v>
      </c>
      <c r="J10" s="19">
        <v>1</v>
      </c>
      <c r="K10">
        <v>8</v>
      </c>
      <c r="L10">
        <v>106</v>
      </c>
      <c r="M10">
        <v>165</v>
      </c>
      <c r="N10">
        <v>60</v>
      </c>
      <c r="O10">
        <v>848</v>
      </c>
      <c r="P10" s="2">
        <v>0.89735399999999998</v>
      </c>
    </row>
    <row r="11" spans="1:16" x14ac:dyDescent="0.25">
      <c r="A11" t="s">
        <v>16</v>
      </c>
      <c r="B11" s="15">
        <v>640870232</v>
      </c>
      <c r="C11">
        <v>735</v>
      </c>
      <c r="D11">
        <v>1765</v>
      </c>
      <c r="E11" s="2">
        <v>0.29399999999999998</v>
      </c>
      <c r="F11" s="2">
        <v>0.70599999999999996</v>
      </c>
      <c r="G11">
        <v>103</v>
      </c>
      <c r="H11">
        <v>1</v>
      </c>
      <c r="I11">
        <v>735</v>
      </c>
      <c r="J11" s="19">
        <v>1</v>
      </c>
      <c r="K11">
        <v>6</v>
      </c>
      <c r="L11">
        <v>109.166667</v>
      </c>
      <c r="M11">
        <v>165</v>
      </c>
      <c r="N11">
        <v>68</v>
      </c>
      <c r="O11">
        <v>655</v>
      </c>
      <c r="P11" s="2">
        <v>0.89115599999999995</v>
      </c>
    </row>
    <row r="12" spans="1:16" x14ac:dyDescent="0.25">
      <c r="A12" t="s">
        <v>16</v>
      </c>
      <c r="B12" s="15">
        <v>913515135</v>
      </c>
      <c r="C12">
        <v>967</v>
      </c>
      <c r="D12">
        <v>1533</v>
      </c>
      <c r="E12" s="2">
        <v>0.38679999999999998</v>
      </c>
      <c r="F12" s="2">
        <v>0.61319999999999997</v>
      </c>
      <c r="G12">
        <v>74</v>
      </c>
      <c r="H12">
        <v>1</v>
      </c>
      <c r="I12">
        <v>967</v>
      </c>
      <c r="J12" s="19">
        <v>1</v>
      </c>
      <c r="K12">
        <v>6</v>
      </c>
      <c r="L12">
        <v>149.83333300000001</v>
      </c>
      <c r="M12">
        <v>266</v>
      </c>
      <c r="N12">
        <v>87</v>
      </c>
      <c r="O12">
        <v>899</v>
      </c>
      <c r="P12" s="2">
        <v>0.92967900000000003</v>
      </c>
    </row>
    <row r="13" spans="1:16" x14ac:dyDescent="0.25">
      <c r="A13" t="s">
        <v>16</v>
      </c>
      <c r="B13" s="15">
        <v>607101569</v>
      </c>
      <c r="C13">
        <v>921</v>
      </c>
      <c r="D13">
        <v>1579</v>
      </c>
      <c r="E13" s="2">
        <v>0.36840000000000001</v>
      </c>
      <c r="F13" s="2">
        <v>0.63160000000000005</v>
      </c>
      <c r="G13">
        <v>91</v>
      </c>
      <c r="H13">
        <v>1</v>
      </c>
      <c r="I13">
        <v>921</v>
      </c>
      <c r="J13" s="19">
        <v>1</v>
      </c>
      <c r="K13">
        <v>9</v>
      </c>
      <c r="L13">
        <v>92.888889000000006</v>
      </c>
      <c r="M13">
        <v>128</v>
      </c>
      <c r="N13">
        <v>52</v>
      </c>
      <c r="O13">
        <v>836</v>
      </c>
      <c r="P13" s="2">
        <v>0.90770899999999999</v>
      </c>
    </row>
    <row r="14" spans="1:16" x14ac:dyDescent="0.25">
      <c r="A14" t="s">
        <v>16</v>
      </c>
      <c r="B14" s="15">
        <v>399879833</v>
      </c>
      <c r="C14">
        <v>603</v>
      </c>
      <c r="D14">
        <v>1897</v>
      </c>
      <c r="E14" s="2">
        <v>0.2412</v>
      </c>
      <c r="F14" s="2">
        <v>0.75880000000000003</v>
      </c>
      <c r="G14">
        <v>91</v>
      </c>
      <c r="H14">
        <v>1</v>
      </c>
      <c r="I14">
        <v>603</v>
      </c>
      <c r="J14" s="19">
        <v>1</v>
      </c>
      <c r="K14">
        <v>4</v>
      </c>
      <c r="L14">
        <v>130.75</v>
      </c>
      <c r="M14">
        <v>161</v>
      </c>
      <c r="N14">
        <v>86</v>
      </c>
      <c r="O14">
        <v>523</v>
      </c>
      <c r="P14" s="2">
        <v>0.86733000000000005</v>
      </c>
    </row>
    <row r="15" spans="1:16" x14ac:dyDescent="0.25">
      <c r="A15" t="s">
        <v>16</v>
      </c>
      <c r="B15" s="15">
        <v>1458299074</v>
      </c>
      <c r="C15">
        <v>386</v>
      </c>
      <c r="D15">
        <v>2114</v>
      </c>
      <c r="E15" s="2">
        <v>0.15440000000000001</v>
      </c>
      <c r="F15" s="2">
        <v>0.84560000000000002</v>
      </c>
      <c r="G15">
        <v>94</v>
      </c>
      <c r="H15">
        <v>1</v>
      </c>
      <c r="I15">
        <v>386</v>
      </c>
      <c r="J15" s="19">
        <v>1</v>
      </c>
      <c r="K15">
        <v>4</v>
      </c>
      <c r="L15">
        <v>76.5</v>
      </c>
      <c r="M15">
        <v>84</v>
      </c>
      <c r="N15">
        <v>68</v>
      </c>
      <c r="O15">
        <v>306</v>
      </c>
      <c r="P15" s="2">
        <v>0.79274599999999995</v>
      </c>
    </row>
    <row r="16" spans="1:16" x14ac:dyDescent="0.25">
      <c r="A16" t="s">
        <v>16</v>
      </c>
      <c r="B16" s="15">
        <v>1272701805</v>
      </c>
      <c r="C16">
        <v>798</v>
      </c>
      <c r="D16">
        <v>1702</v>
      </c>
      <c r="E16" s="2">
        <v>0.31919999999999998</v>
      </c>
      <c r="F16" s="2">
        <v>0.68079999999999996</v>
      </c>
      <c r="G16">
        <v>65</v>
      </c>
      <c r="H16">
        <v>1</v>
      </c>
      <c r="I16">
        <v>798</v>
      </c>
      <c r="J16" s="19">
        <v>1</v>
      </c>
      <c r="K16">
        <v>6</v>
      </c>
      <c r="L16">
        <v>122.5</v>
      </c>
      <c r="M16">
        <v>176</v>
      </c>
      <c r="N16">
        <v>59</v>
      </c>
      <c r="O16">
        <v>735</v>
      </c>
      <c r="P16" s="2">
        <v>0.92105300000000001</v>
      </c>
    </row>
    <row r="17" spans="1:16" x14ac:dyDescent="0.25">
      <c r="A17" t="s">
        <v>16</v>
      </c>
      <c r="B17" s="15">
        <v>2016706746</v>
      </c>
      <c r="C17">
        <v>913</v>
      </c>
      <c r="D17">
        <v>1587</v>
      </c>
      <c r="E17" s="2">
        <v>0.36520000000000002</v>
      </c>
      <c r="F17" s="2">
        <v>0.63480000000000003</v>
      </c>
      <c r="G17">
        <v>114</v>
      </c>
      <c r="H17">
        <v>1</v>
      </c>
      <c r="I17">
        <v>913</v>
      </c>
      <c r="J17" s="19">
        <v>1</v>
      </c>
      <c r="K17">
        <v>8</v>
      </c>
      <c r="L17">
        <v>100.5</v>
      </c>
      <c r="M17">
        <v>204</v>
      </c>
      <c r="N17">
        <v>45</v>
      </c>
      <c r="O17">
        <v>804</v>
      </c>
      <c r="P17" s="2">
        <v>0.88061299999999998</v>
      </c>
    </row>
    <row r="18" spans="1:16" x14ac:dyDescent="0.25">
      <c r="A18" t="s">
        <v>16</v>
      </c>
      <c r="B18" s="15">
        <v>1787606481</v>
      </c>
      <c r="C18">
        <v>455</v>
      </c>
      <c r="D18">
        <v>2045</v>
      </c>
      <c r="E18" s="2">
        <v>0.182</v>
      </c>
      <c r="F18" s="2">
        <v>0.81799999999999995</v>
      </c>
      <c r="G18">
        <v>63</v>
      </c>
      <c r="H18">
        <v>1</v>
      </c>
      <c r="I18">
        <v>455</v>
      </c>
      <c r="J18" s="19">
        <v>1</v>
      </c>
      <c r="K18">
        <v>5</v>
      </c>
      <c r="L18">
        <v>77.599999999999994</v>
      </c>
      <c r="M18">
        <v>100</v>
      </c>
      <c r="N18">
        <v>38</v>
      </c>
      <c r="O18">
        <v>388</v>
      </c>
      <c r="P18" s="2">
        <v>0.85274700000000003</v>
      </c>
    </row>
    <row r="19" spans="1:16" x14ac:dyDescent="0.25">
      <c r="A19" t="s">
        <v>16</v>
      </c>
      <c r="B19" s="15">
        <v>251237206</v>
      </c>
      <c r="C19">
        <v>1097</v>
      </c>
      <c r="D19">
        <v>1403</v>
      </c>
      <c r="E19" s="2">
        <v>0.43880000000000002</v>
      </c>
      <c r="F19" s="2">
        <v>0.56120000000000003</v>
      </c>
      <c r="G19">
        <v>109</v>
      </c>
      <c r="H19">
        <v>1</v>
      </c>
      <c r="I19">
        <v>1097</v>
      </c>
      <c r="J19" s="19">
        <v>1</v>
      </c>
      <c r="K19">
        <v>9</v>
      </c>
      <c r="L19">
        <v>110.555556</v>
      </c>
      <c r="M19">
        <v>165</v>
      </c>
      <c r="N19">
        <v>76</v>
      </c>
      <c r="O19">
        <v>995</v>
      </c>
      <c r="P19" s="2">
        <v>0.90701900000000002</v>
      </c>
    </row>
    <row r="20" spans="1:16" x14ac:dyDescent="0.25">
      <c r="A20" t="s">
        <v>16</v>
      </c>
      <c r="B20" s="15">
        <v>1072231538</v>
      </c>
      <c r="C20">
        <v>430</v>
      </c>
      <c r="D20">
        <v>2070</v>
      </c>
      <c r="E20" s="2">
        <v>0.17199999999999999</v>
      </c>
      <c r="F20" s="2">
        <v>0.82799999999999996</v>
      </c>
      <c r="G20">
        <v>78</v>
      </c>
      <c r="H20">
        <v>1</v>
      </c>
      <c r="I20">
        <v>430</v>
      </c>
      <c r="J20" s="19">
        <v>1</v>
      </c>
      <c r="K20">
        <v>5</v>
      </c>
      <c r="L20">
        <v>73.8</v>
      </c>
      <c r="M20">
        <v>104</v>
      </c>
      <c r="N20">
        <v>52</v>
      </c>
      <c r="O20">
        <v>369</v>
      </c>
      <c r="P20" s="2">
        <v>0.85814000000000001</v>
      </c>
    </row>
    <row r="21" spans="1:16" x14ac:dyDescent="0.25">
      <c r="A21" t="s">
        <v>16</v>
      </c>
      <c r="B21" s="15">
        <v>902692487</v>
      </c>
      <c r="C21">
        <v>735</v>
      </c>
      <c r="D21">
        <v>1765</v>
      </c>
      <c r="E21" s="2">
        <v>0.29399999999999998</v>
      </c>
      <c r="F21" s="2">
        <v>0.70599999999999996</v>
      </c>
      <c r="G21">
        <v>73</v>
      </c>
      <c r="H21">
        <v>1</v>
      </c>
      <c r="I21">
        <v>735</v>
      </c>
      <c r="J21" s="19">
        <v>1</v>
      </c>
      <c r="K21">
        <v>7</v>
      </c>
      <c r="L21">
        <v>94.571428999999995</v>
      </c>
      <c r="M21">
        <v>116</v>
      </c>
      <c r="N21">
        <v>66</v>
      </c>
      <c r="O21">
        <v>662</v>
      </c>
      <c r="P21" s="2">
        <v>0.90068000000000004</v>
      </c>
    </row>
    <row r="22" spans="1:16" x14ac:dyDescent="0.25">
      <c r="A22" t="s">
        <v>16</v>
      </c>
      <c r="B22" s="15">
        <v>31183583</v>
      </c>
      <c r="C22">
        <v>956</v>
      </c>
      <c r="D22">
        <v>1544</v>
      </c>
      <c r="E22" s="2">
        <v>0.38240000000000002</v>
      </c>
      <c r="F22" s="2">
        <v>0.61760000000000004</v>
      </c>
      <c r="G22">
        <v>106</v>
      </c>
      <c r="H22">
        <v>1</v>
      </c>
      <c r="I22">
        <v>956</v>
      </c>
      <c r="J22" s="19">
        <v>1</v>
      </c>
      <c r="K22">
        <v>8</v>
      </c>
      <c r="L22">
        <v>108.875</v>
      </c>
      <c r="M22">
        <v>211</v>
      </c>
      <c r="N22">
        <v>56</v>
      </c>
      <c r="O22">
        <v>871</v>
      </c>
      <c r="P22" s="2">
        <v>0.91108800000000001</v>
      </c>
    </row>
    <row r="23" spans="1:16" x14ac:dyDescent="0.25">
      <c r="A23" t="s">
        <v>16</v>
      </c>
      <c r="B23" s="15">
        <v>1427326537</v>
      </c>
      <c r="C23">
        <v>973</v>
      </c>
      <c r="D23">
        <v>1527</v>
      </c>
      <c r="E23" s="2">
        <v>0.38919999999999999</v>
      </c>
      <c r="F23" s="2">
        <v>0.61080000000000001</v>
      </c>
      <c r="G23">
        <v>97</v>
      </c>
      <c r="H23">
        <v>1</v>
      </c>
      <c r="I23">
        <v>973</v>
      </c>
      <c r="J23" s="19">
        <v>1</v>
      </c>
      <c r="K23">
        <v>8</v>
      </c>
      <c r="L23">
        <v>109.75</v>
      </c>
      <c r="M23">
        <v>178</v>
      </c>
      <c r="N23">
        <v>76</v>
      </c>
      <c r="O23">
        <v>878</v>
      </c>
      <c r="P23" s="2">
        <v>0.90236400000000005</v>
      </c>
    </row>
    <row r="24" spans="1:16" x14ac:dyDescent="0.25">
      <c r="A24" t="s">
        <v>16</v>
      </c>
      <c r="B24" s="15">
        <v>443499070</v>
      </c>
      <c r="C24">
        <v>618</v>
      </c>
      <c r="D24">
        <v>1882</v>
      </c>
      <c r="E24" s="2">
        <v>0.2472</v>
      </c>
      <c r="F24" s="2">
        <v>0.75280000000000002</v>
      </c>
      <c r="G24">
        <v>52</v>
      </c>
      <c r="H24">
        <v>1</v>
      </c>
      <c r="I24">
        <v>618</v>
      </c>
      <c r="J24" s="19">
        <v>1</v>
      </c>
      <c r="K24">
        <v>5</v>
      </c>
      <c r="L24">
        <v>113.8</v>
      </c>
      <c r="M24">
        <v>150</v>
      </c>
      <c r="N24">
        <v>68</v>
      </c>
      <c r="O24">
        <v>569</v>
      </c>
      <c r="P24" s="2">
        <v>0.92071199999999997</v>
      </c>
    </row>
    <row r="25" spans="1:16" x14ac:dyDescent="0.25">
      <c r="A25" t="s">
        <v>16</v>
      </c>
      <c r="B25" s="15">
        <v>718372936</v>
      </c>
      <c r="C25">
        <v>937</v>
      </c>
      <c r="D25">
        <v>1563</v>
      </c>
      <c r="E25" s="2">
        <v>0.37480000000000002</v>
      </c>
      <c r="F25" s="2">
        <v>0.62519999999999998</v>
      </c>
      <c r="G25">
        <v>102</v>
      </c>
      <c r="H25">
        <v>1</v>
      </c>
      <c r="I25">
        <v>937</v>
      </c>
      <c r="J25" s="19">
        <v>1</v>
      </c>
      <c r="K25">
        <v>7</v>
      </c>
      <c r="L25">
        <v>122.14285700000001</v>
      </c>
      <c r="M25">
        <v>191</v>
      </c>
      <c r="N25">
        <v>59</v>
      </c>
      <c r="O25">
        <v>855</v>
      </c>
      <c r="P25" s="2">
        <v>0.91248700000000005</v>
      </c>
    </row>
    <row r="26" spans="1:16" x14ac:dyDescent="0.25">
      <c r="A26" t="s">
        <v>16</v>
      </c>
      <c r="B26" s="15">
        <v>551855464</v>
      </c>
      <c r="C26">
        <v>741</v>
      </c>
      <c r="D26">
        <v>1759</v>
      </c>
      <c r="E26" s="2">
        <v>0.2964</v>
      </c>
      <c r="F26" s="2">
        <v>0.7036</v>
      </c>
      <c r="G26">
        <v>71</v>
      </c>
      <c r="H26">
        <v>1</v>
      </c>
      <c r="I26">
        <v>741</v>
      </c>
      <c r="J26" s="19">
        <v>1</v>
      </c>
      <c r="K26">
        <v>5</v>
      </c>
      <c r="L26">
        <v>138.6</v>
      </c>
      <c r="M26">
        <v>220</v>
      </c>
      <c r="N26">
        <v>92</v>
      </c>
      <c r="O26">
        <v>693</v>
      </c>
      <c r="P26" s="2">
        <v>0.93522300000000003</v>
      </c>
    </row>
    <row r="27" spans="1:16" x14ac:dyDescent="0.25">
      <c r="A27" t="s">
        <v>16</v>
      </c>
      <c r="B27" s="15">
        <v>641670751</v>
      </c>
      <c r="C27">
        <v>843</v>
      </c>
      <c r="D27">
        <v>1657</v>
      </c>
      <c r="E27" s="2">
        <v>0.3372</v>
      </c>
      <c r="F27" s="2">
        <v>0.66279999999999994</v>
      </c>
      <c r="G27">
        <v>81</v>
      </c>
      <c r="H27">
        <v>1</v>
      </c>
      <c r="I27">
        <v>843</v>
      </c>
      <c r="J27" s="19">
        <v>1</v>
      </c>
      <c r="K27">
        <v>6</v>
      </c>
      <c r="L27">
        <v>130.16666699999999</v>
      </c>
      <c r="M27">
        <v>234</v>
      </c>
      <c r="N27">
        <v>96</v>
      </c>
      <c r="O27">
        <v>781</v>
      </c>
      <c r="P27" s="2">
        <v>0.92645299999999997</v>
      </c>
    </row>
    <row r="28" spans="1:16" x14ac:dyDescent="0.25">
      <c r="A28" t="s">
        <v>16</v>
      </c>
      <c r="B28" s="15">
        <v>84760706</v>
      </c>
      <c r="C28">
        <v>909</v>
      </c>
      <c r="D28">
        <v>1591</v>
      </c>
      <c r="E28" s="2">
        <v>0.36359999999999998</v>
      </c>
      <c r="F28" s="2">
        <v>0.63639999999999997</v>
      </c>
      <c r="G28">
        <v>73</v>
      </c>
      <c r="H28">
        <v>1</v>
      </c>
      <c r="I28">
        <v>909</v>
      </c>
      <c r="J28" s="19">
        <v>1</v>
      </c>
      <c r="K28">
        <v>6</v>
      </c>
      <c r="L28">
        <v>141</v>
      </c>
      <c r="M28">
        <v>217</v>
      </c>
      <c r="N28">
        <v>104</v>
      </c>
      <c r="O28">
        <v>846</v>
      </c>
      <c r="P28" s="2">
        <v>0.93069299999999999</v>
      </c>
    </row>
    <row r="29" spans="1:16" x14ac:dyDescent="0.25">
      <c r="A29" t="s">
        <v>16</v>
      </c>
      <c r="B29" s="15">
        <v>1195808496</v>
      </c>
      <c r="C29">
        <v>689</v>
      </c>
      <c r="D29">
        <v>1811</v>
      </c>
      <c r="E29" s="2">
        <v>0.27560000000000001</v>
      </c>
      <c r="F29" s="2">
        <v>0.72440000000000004</v>
      </c>
      <c r="G29">
        <v>86</v>
      </c>
      <c r="H29">
        <v>1</v>
      </c>
      <c r="I29">
        <v>689</v>
      </c>
      <c r="J29" s="19">
        <v>1</v>
      </c>
      <c r="K29">
        <v>6</v>
      </c>
      <c r="L29">
        <v>103.666667</v>
      </c>
      <c r="M29">
        <v>151</v>
      </c>
      <c r="N29">
        <v>59</v>
      </c>
      <c r="O29">
        <v>622</v>
      </c>
      <c r="P29" s="2">
        <v>0.90275799999999995</v>
      </c>
    </row>
    <row r="30" spans="1:16" x14ac:dyDescent="0.25">
      <c r="A30" t="s">
        <v>16</v>
      </c>
      <c r="B30" s="15">
        <v>449971619</v>
      </c>
      <c r="C30">
        <v>1031</v>
      </c>
      <c r="D30">
        <v>1469</v>
      </c>
      <c r="E30" s="2">
        <v>0.41239999999999999</v>
      </c>
      <c r="F30" s="2">
        <v>0.58760000000000001</v>
      </c>
      <c r="G30">
        <v>99</v>
      </c>
      <c r="H30">
        <v>1</v>
      </c>
      <c r="I30">
        <v>1031</v>
      </c>
      <c r="J30" s="19">
        <v>1</v>
      </c>
      <c r="K30">
        <v>8</v>
      </c>
      <c r="L30">
        <v>119</v>
      </c>
      <c r="M30">
        <v>220</v>
      </c>
      <c r="N30">
        <v>73</v>
      </c>
      <c r="O30">
        <v>952</v>
      </c>
      <c r="P30" s="2">
        <v>0.92337499999999995</v>
      </c>
    </row>
    <row r="31" spans="1:16" x14ac:dyDescent="0.25">
      <c r="A31" t="s">
        <v>16</v>
      </c>
      <c r="B31" s="15">
        <v>1568331295</v>
      </c>
      <c r="C31">
        <v>916</v>
      </c>
      <c r="D31">
        <v>1584</v>
      </c>
      <c r="E31" s="2">
        <v>0.3664</v>
      </c>
      <c r="F31" s="2">
        <v>0.63360000000000005</v>
      </c>
      <c r="G31">
        <v>92</v>
      </c>
      <c r="H31">
        <v>1</v>
      </c>
      <c r="I31">
        <v>916</v>
      </c>
      <c r="J31" s="19">
        <v>1</v>
      </c>
      <c r="K31">
        <v>7</v>
      </c>
      <c r="L31">
        <v>122.85714299999999</v>
      </c>
      <c r="M31">
        <v>178</v>
      </c>
      <c r="N31">
        <v>86</v>
      </c>
      <c r="O31">
        <v>860</v>
      </c>
      <c r="P31" s="2">
        <v>0.93886499999999995</v>
      </c>
    </row>
    <row r="32" spans="1:16" x14ac:dyDescent="0.25">
      <c r="A32" t="s">
        <v>16</v>
      </c>
      <c r="B32" s="15">
        <v>1395695524</v>
      </c>
      <c r="C32">
        <v>1030</v>
      </c>
      <c r="D32">
        <v>1470</v>
      </c>
      <c r="E32" s="2">
        <v>0.41199999999999998</v>
      </c>
      <c r="F32" s="2">
        <v>0.58799999999999997</v>
      </c>
      <c r="G32">
        <v>108</v>
      </c>
      <c r="H32">
        <v>1</v>
      </c>
      <c r="I32">
        <v>1030</v>
      </c>
      <c r="J32" s="19">
        <v>1</v>
      </c>
      <c r="K32">
        <v>9</v>
      </c>
      <c r="L32">
        <v>104</v>
      </c>
      <c r="M32">
        <v>152</v>
      </c>
      <c r="N32">
        <v>76</v>
      </c>
      <c r="O32">
        <v>936</v>
      </c>
      <c r="P32" s="2">
        <v>0.90873800000000005</v>
      </c>
    </row>
    <row r="33" spans="1:16" x14ac:dyDescent="0.25">
      <c r="A33" t="s">
        <v>16</v>
      </c>
      <c r="B33" s="15">
        <v>11511123</v>
      </c>
      <c r="C33">
        <v>757</v>
      </c>
      <c r="D33">
        <v>1743</v>
      </c>
      <c r="E33" s="2">
        <v>0.30280000000000001</v>
      </c>
      <c r="F33" s="2">
        <v>0.69720000000000004</v>
      </c>
      <c r="G33">
        <v>82</v>
      </c>
      <c r="H33">
        <v>1</v>
      </c>
      <c r="I33">
        <v>757</v>
      </c>
      <c r="J33" s="19">
        <v>1</v>
      </c>
      <c r="K33">
        <v>7</v>
      </c>
      <c r="L33">
        <v>98.428571000000005</v>
      </c>
      <c r="M33">
        <v>146</v>
      </c>
      <c r="N33">
        <v>52</v>
      </c>
      <c r="O33">
        <v>689</v>
      </c>
      <c r="P33" s="2">
        <v>0.91017199999999998</v>
      </c>
    </row>
    <row r="34" spans="1:16" x14ac:dyDescent="0.25">
      <c r="A34" t="s">
        <v>16</v>
      </c>
      <c r="B34" s="15">
        <v>874811744</v>
      </c>
      <c r="C34">
        <v>731</v>
      </c>
      <c r="D34">
        <v>1769</v>
      </c>
      <c r="E34" s="2">
        <v>0.29239999999999999</v>
      </c>
      <c r="F34" s="2">
        <v>0.70760000000000001</v>
      </c>
      <c r="G34">
        <v>84</v>
      </c>
      <c r="H34">
        <v>1</v>
      </c>
      <c r="I34">
        <v>731</v>
      </c>
      <c r="J34" s="19">
        <v>1</v>
      </c>
      <c r="K34">
        <v>5</v>
      </c>
      <c r="L34">
        <v>132</v>
      </c>
      <c r="M34">
        <v>188</v>
      </c>
      <c r="N34">
        <v>95</v>
      </c>
      <c r="O34">
        <v>660</v>
      </c>
      <c r="P34" s="2">
        <v>0.90287300000000004</v>
      </c>
    </row>
    <row r="35" spans="1:16" x14ac:dyDescent="0.25">
      <c r="A35" t="s">
        <v>16</v>
      </c>
      <c r="B35" s="15">
        <v>937383738</v>
      </c>
      <c r="C35">
        <v>807</v>
      </c>
      <c r="D35">
        <v>1693</v>
      </c>
      <c r="E35" s="2">
        <v>0.32279999999999998</v>
      </c>
      <c r="F35" s="2">
        <v>0.67720000000000002</v>
      </c>
      <c r="G35">
        <v>72</v>
      </c>
      <c r="H35">
        <v>1</v>
      </c>
      <c r="I35">
        <v>807</v>
      </c>
      <c r="J35" s="19">
        <v>1</v>
      </c>
      <c r="K35">
        <v>7</v>
      </c>
      <c r="L35">
        <v>101.285714</v>
      </c>
      <c r="M35">
        <v>164</v>
      </c>
      <c r="N35">
        <v>68</v>
      </c>
      <c r="O35">
        <v>709</v>
      </c>
      <c r="P35" s="2">
        <v>0.87856299999999998</v>
      </c>
    </row>
    <row r="36" spans="1:16" x14ac:dyDescent="0.25">
      <c r="A36" t="s">
        <v>16</v>
      </c>
      <c r="B36" s="15">
        <v>1043031166</v>
      </c>
      <c r="C36">
        <v>785</v>
      </c>
      <c r="D36">
        <v>1715</v>
      </c>
      <c r="E36" s="2">
        <v>0.314</v>
      </c>
      <c r="F36" s="2">
        <v>0.68600000000000005</v>
      </c>
      <c r="G36">
        <v>83</v>
      </c>
      <c r="H36">
        <v>1</v>
      </c>
      <c r="I36">
        <v>785</v>
      </c>
      <c r="J36" s="19">
        <v>1</v>
      </c>
      <c r="K36">
        <v>6</v>
      </c>
      <c r="L36">
        <v>119.166667</v>
      </c>
      <c r="M36">
        <v>200</v>
      </c>
      <c r="N36">
        <v>60</v>
      </c>
      <c r="O36">
        <v>715</v>
      </c>
      <c r="P36" s="2">
        <v>0.91082799999999997</v>
      </c>
    </row>
    <row r="37" spans="1:16" x14ac:dyDescent="0.25">
      <c r="A37" t="s">
        <v>16</v>
      </c>
      <c r="B37" s="15">
        <v>849821354</v>
      </c>
      <c r="C37">
        <v>911</v>
      </c>
      <c r="D37">
        <v>1589</v>
      </c>
      <c r="E37" s="2">
        <v>0.3644</v>
      </c>
      <c r="F37" s="2">
        <v>0.63560000000000005</v>
      </c>
      <c r="G37">
        <v>108</v>
      </c>
      <c r="H37">
        <v>1</v>
      </c>
      <c r="I37">
        <v>911</v>
      </c>
      <c r="J37" s="19">
        <v>1</v>
      </c>
      <c r="K37">
        <v>9</v>
      </c>
      <c r="L37">
        <v>90.222222000000002</v>
      </c>
      <c r="M37">
        <v>140</v>
      </c>
      <c r="N37">
        <v>63</v>
      </c>
      <c r="O37">
        <v>812</v>
      </c>
      <c r="P37" s="2">
        <v>0.89132800000000001</v>
      </c>
    </row>
    <row r="38" spans="1:16" x14ac:dyDescent="0.25">
      <c r="A38" t="s">
        <v>16</v>
      </c>
      <c r="B38" s="15">
        <v>320448727</v>
      </c>
      <c r="C38">
        <v>821</v>
      </c>
      <c r="D38">
        <v>1679</v>
      </c>
      <c r="E38" s="2">
        <v>0.32840000000000003</v>
      </c>
      <c r="F38" s="2">
        <v>0.67159999999999997</v>
      </c>
      <c r="G38">
        <v>103</v>
      </c>
      <c r="H38">
        <v>1</v>
      </c>
      <c r="I38">
        <v>821</v>
      </c>
      <c r="J38" s="19">
        <v>1</v>
      </c>
      <c r="K38">
        <v>7</v>
      </c>
      <c r="L38">
        <v>101.714286</v>
      </c>
      <c r="M38">
        <v>191</v>
      </c>
      <c r="N38">
        <v>44</v>
      </c>
      <c r="O38">
        <v>712</v>
      </c>
      <c r="P38" s="2">
        <v>0.86723499999999998</v>
      </c>
    </row>
    <row r="39" spans="1:16" x14ac:dyDescent="0.25">
      <c r="A39" t="s">
        <v>16</v>
      </c>
      <c r="B39" s="15">
        <v>1113345432</v>
      </c>
      <c r="C39">
        <v>931</v>
      </c>
      <c r="D39">
        <v>1569</v>
      </c>
      <c r="E39" s="2">
        <v>0.37240000000000001</v>
      </c>
      <c r="F39" s="2">
        <v>0.62760000000000005</v>
      </c>
      <c r="G39">
        <v>79</v>
      </c>
      <c r="H39">
        <v>1</v>
      </c>
      <c r="I39">
        <v>931</v>
      </c>
      <c r="J39" s="19">
        <v>1</v>
      </c>
      <c r="K39">
        <v>7</v>
      </c>
      <c r="L39">
        <v>123.42857100000001</v>
      </c>
      <c r="M39">
        <v>200</v>
      </c>
      <c r="N39">
        <v>73</v>
      </c>
      <c r="O39">
        <v>864</v>
      </c>
      <c r="P39" s="2">
        <v>0.92803400000000003</v>
      </c>
    </row>
    <row r="40" spans="1:16" x14ac:dyDescent="0.25">
      <c r="A40" t="s">
        <v>16</v>
      </c>
      <c r="B40" s="15">
        <v>1334043415</v>
      </c>
      <c r="C40">
        <v>879</v>
      </c>
      <c r="D40">
        <v>1621</v>
      </c>
      <c r="E40" s="2">
        <v>0.35160000000000002</v>
      </c>
      <c r="F40" s="2">
        <v>0.64839999999999998</v>
      </c>
      <c r="G40">
        <v>113</v>
      </c>
      <c r="H40">
        <v>1</v>
      </c>
      <c r="I40">
        <v>879</v>
      </c>
      <c r="J40" s="19">
        <v>1</v>
      </c>
      <c r="K40">
        <v>8</v>
      </c>
      <c r="L40">
        <v>98.625</v>
      </c>
      <c r="M40">
        <v>178</v>
      </c>
      <c r="N40">
        <v>66</v>
      </c>
      <c r="O40">
        <v>789</v>
      </c>
      <c r="P40" s="2">
        <v>0.89761100000000005</v>
      </c>
    </row>
    <row r="41" spans="1:16" x14ac:dyDescent="0.25">
      <c r="A41" t="s">
        <v>16</v>
      </c>
      <c r="B41" s="15">
        <v>85486058</v>
      </c>
      <c r="C41">
        <v>959</v>
      </c>
      <c r="D41">
        <v>1541</v>
      </c>
      <c r="E41" s="2">
        <v>0.3836</v>
      </c>
      <c r="F41" s="2">
        <v>0.61639999999999995</v>
      </c>
      <c r="G41">
        <v>68</v>
      </c>
      <c r="H41">
        <v>1</v>
      </c>
      <c r="I41">
        <v>959</v>
      </c>
      <c r="J41" s="19">
        <v>1</v>
      </c>
      <c r="K41">
        <v>7</v>
      </c>
      <c r="L41">
        <v>125.714286</v>
      </c>
      <c r="M41">
        <v>178</v>
      </c>
      <c r="N41">
        <v>76</v>
      </c>
      <c r="O41">
        <v>880</v>
      </c>
      <c r="P41" s="2">
        <v>0.91762299999999997</v>
      </c>
    </row>
    <row r="42" spans="1:16" x14ac:dyDescent="0.25">
      <c r="A42" t="s">
        <v>16</v>
      </c>
      <c r="B42" s="15">
        <v>1584081319</v>
      </c>
      <c r="C42">
        <v>249</v>
      </c>
      <c r="D42">
        <v>2251</v>
      </c>
      <c r="E42" s="2">
        <v>9.9599999999999994E-2</v>
      </c>
      <c r="F42" s="2">
        <v>0.90039999999999998</v>
      </c>
      <c r="G42">
        <v>60</v>
      </c>
      <c r="H42">
        <v>1</v>
      </c>
      <c r="I42">
        <v>249</v>
      </c>
      <c r="J42" s="19">
        <v>1</v>
      </c>
      <c r="K42">
        <v>3</v>
      </c>
      <c r="L42">
        <v>65.666667000000004</v>
      </c>
      <c r="M42">
        <v>84</v>
      </c>
      <c r="N42">
        <v>45</v>
      </c>
      <c r="O42">
        <v>197</v>
      </c>
      <c r="P42" s="2">
        <v>0.79116500000000001</v>
      </c>
    </row>
    <row r="43" spans="1:16" x14ac:dyDescent="0.25">
      <c r="A43" t="s">
        <v>16</v>
      </c>
      <c r="B43" s="15">
        <v>1763242185</v>
      </c>
      <c r="C43">
        <v>777</v>
      </c>
      <c r="D43">
        <v>1723</v>
      </c>
      <c r="E43" s="2">
        <v>0.31080000000000002</v>
      </c>
      <c r="F43" s="2">
        <v>0.68920000000000003</v>
      </c>
      <c r="G43">
        <v>78</v>
      </c>
      <c r="H43">
        <v>1</v>
      </c>
      <c r="I43">
        <v>777</v>
      </c>
      <c r="J43" s="19">
        <v>1</v>
      </c>
      <c r="K43">
        <v>6</v>
      </c>
      <c r="L43">
        <v>117.166667</v>
      </c>
      <c r="M43">
        <v>172</v>
      </c>
      <c r="N43">
        <v>60</v>
      </c>
      <c r="O43">
        <v>703</v>
      </c>
      <c r="P43" s="2">
        <v>0.90476199999999996</v>
      </c>
    </row>
    <row r="44" spans="1:16" x14ac:dyDescent="0.25">
      <c r="A44" t="s">
        <v>16</v>
      </c>
      <c r="B44" s="15">
        <v>494259690</v>
      </c>
      <c r="C44">
        <v>684</v>
      </c>
      <c r="D44">
        <v>1816</v>
      </c>
      <c r="E44" s="2">
        <v>0.27360000000000001</v>
      </c>
      <c r="F44" s="2">
        <v>0.72640000000000005</v>
      </c>
      <c r="G44">
        <v>97</v>
      </c>
      <c r="H44">
        <v>1</v>
      </c>
      <c r="I44">
        <v>684</v>
      </c>
      <c r="J44" s="19">
        <v>1</v>
      </c>
      <c r="K44">
        <v>5</v>
      </c>
      <c r="L44">
        <v>121</v>
      </c>
      <c r="M44">
        <v>200</v>
      </c>
      <c r="N44">
        <v>74</v>
      </c>
      <c r="O44">
        <v>605</v>
      </c>
      <c r="P44" s="2">
        <v>0.88450300000000004</v>
      </c>
    </row>
    <row r="45" spans="1:16" x14ac:dyDescent="0.25">
      <c r="A45" t="s">
        <v>16</v>
      </c>
      <c r="B45" s="15">
        <v>722244643</v>
      </c>
      <c r="C45">
        <v>751</v>
      </c>
      <c r="D45">
        <v>1749</v>
      </c>
      <c r="E45" s="2">
        <v>0.3004</v>
      </c>
      <c r="F45" s="2">
        <v>0.6996</v>
      </c>
      <c r="G45">
        <v>93</v>
      </c>
      <c r="H45">
        <v>1</v>
      </c>
      <c r="I45">
        <v>751</v>
      </c>
      <c r="J45" s="19">
        <v>1</v>
      </c>
      <c r="K45">
        <v>7</v>
      </c>
      <c r="L45">
        <v>91.857142999999994</v>
      </c>
      <c r="M45">
        <v>139</v>
      </c>
      <c r="N45">
        <v>56</v>
      </c>
      <c r="O45">
        <v>643</v>
      </c>
      <c r="P45" s="2">
        <v>0.85619199999999995</v>
      </c>
    </row>
    <row r="46" spans="1:16" x14ac:dyDescent="0.25">
      <c r="A46" t="s">
        <v>16</v>
      </c>
      <c r="B46" s="15">
        <v>1050682425</v>
      </c>
      <c r="C46">
        <v>824</v>
      </c>
      <c r="D46">
        <v>1676</v>
      </c>
      <c r="E46" s="2">
        <v>0.3296</v>
      </c>
      <c r="F46" s="2">
        <v>0.6704</v>
      </c>
      <c r="G46">
        <v>102</v>
      </c>
      <c r="H46">
        <v>1</v>
      </c>
      <c r="I46">
        <v>824</v>
      </c>
      <c r="J46" s="19">
        <v>1</v>
      </c>
      <c r="K46">
        <v>7</v>
      </c>
      <c r="L46">
        <v>105.42857100000001</v>
      </c>
      <c r="M46">
        <v>191</v>
      </c>
      <c r="N46">
        <v>76</v>
      </c>
      <c r="O46">
        <v>738</v>
      </c>
      <c r="P46" s="2">
        <v>0.89563099999999995</v>
      </c>
    </row>
    <row r="47" spans="1:16" x14ac:dyDescent="0.25">
      <c r="A47" t="s">
        <v>16</v>
      </c>
      <c r="B47" s="15">
        <v>119461134</v>
      </c>
      <c r="C47">
        <v>983</v>
      </c>
      <c r="D47">
        <v>1517</v>
      </c>
      <c r="E47" s="2">
        <v>0.39319999999999999</v>
      </c>
      <c r="F47" s="2">
        <v>0.60680000000000001</v>
      </c>
      <c r="G47">
        <v>102</v>
      </c>
      <c r="H47">
        <v>1</v>
      </c>
      <c r="I47">
        <v>983</v>
      </c>
      <c r="J47" s="19">
        <v>1</v>
      </c>
      <c r="K47">
        <v>6</v>
      </c>
      <c r="L47">
        <v>150.83333300000001</v>
      </c>
      <c r="M47">
        <v>316</v>
      </c>
      <c r="N47">
        <v>38</v>
      </c>
      <c r="O47">
        <v>905</v>
      </c>
      <c r="P47" s="2">
        <v>0.920651</v>
      </c>
    </row>
    <row r="48" spans="1:16" x14ac:dyDescent="0.25">
      <c r="A48" t="s">
        <v>16</v>
      </c>
      <c r="B48" s="15">
        <v>1432538676</v>
      </c>
      <c r="C48">
        <v>945</v>
      </c>
      <c r="D48">
        <v>1555</v>
      </c>
      <c r="E48" s="2">
        <v>0.378</v>
      </c>
      <c r="F48" s="2">
        <v>0.622</v>
      </c>
      <c r="G48">
        <v>101</v>
      </c>
      <c r="H48">
        <v>1</v>
      </c>
      <c r="I48">
        <v>945</v>
      </c>
      <c r="J48" s="19">
        <v>1</v>
      </c>
      <c r="K48">
        <v>8</v>
      </c>
      <c r="L48">
        <v>107.5</v>
      </c>
      <c r="M48">
        <v>206</v>
      </c>
      <c r="N48">
        <v>45</v>
      </c>
      <c r="O48">
        <v>860</v>
      </c>
      <c r="P48" s="2">
        <v>0.910053</v>
      </c>
    </row>
    <row r="49" spans="1:16" x14ac:dyDescent="0.25">
      <c r="A49" t="s">
        <v>16</v>
      </c>
      <c r="B49" s="15">
        <v>260081307</v>
      </c>
      <c r="C49">
        <v>980</v>
      </c>
      <c r="D49">
        <v>1520</v>
      </c>
      <c r="E49" s="2">
        <v>0.39200000000000002</v>
      </c>
      <c r="F49" s="2">
        <v>0.60799999999999998</v>
      </c>
      <c r="G49">
        <v>104</v>
      </c>
      <c r="H49">
        <v>1</v>
      </c>
      <c r="I49">
        <v>980</v>
      </c>
      <c r="J49" s="19">
        <v>1</v>
      </c>
      <c r="K49">
        <v>9</v>
      </c>
      <c r="L49">
        <v>99.555555999999996</v>
      </c>
      <c r="M49">
        <v>131</v>
      </c>
      <c r="N49">
        <v>69</v>
      </c>
      <c r="O49">
        <v>896</v>
      </c>
      <c r="P49" s="2">
        <v>0.91428600000000004</v>
      </c>
    </row>
    <row r="50" spans="1:16" x14ac:dyDescent="0.25">
      <c r="A50" t="s">
        <v>16</v>
      </c>
      <c r="B50" s="15">
        <v>486779193</v>
      </c>
      <c r="C50">
        <v>916</v>
      </c>
      <c r="D50">
        <v>1584</v>
      </c>
      <c r="E50" s="2">
        <v>0.3664</v>
      </c>
      <c r="F50" s="2">
        <v>0.63360000000000005</v>
      </c>
      <c r="G50">
        <v>109</v>
      </c>
      <c r="H50">
        <v>1</v>
      </c>
      <c r="I50">
        <v>916</v>
      </c>
      <c r="J50" s="19">
        <v>1</v>
      </c>
      <c r="K50">
        <v>8</v>
      </c>
      <c r="L50">
        <v>104.25</v>
      </c>
      <c r="M50">
        <v>152</v>
      </c>
      <c r="N50">
        <v>56</v>
      </c>
      <c r="O50">
        <v>834</v>
      </c>
      <c r="P50" s="2">
        <v>0.91047999999999996</v>
      </c>
    </row>
    <row r="51" spans="1:16" x14ac:dyDescent="0.25">
      <c r="A51" t="s">
        <v>16</v>
      </c>
      <c r="B51" s="15">
        <v>1337623001</v>
      </c>
      <c r="C51">
        <v>910</v>
      </c>
      <c r="D51">
        <v>1590</v>
      </c>
      <c r="E51" s="2">
        <v>0.36399999999999999</v>
      </c>
      <c r="F51" s="2">
        <v>0.63600000000000001</v>
      </c>
      <c r="G51">
        <v>96</v>
      </c>
      <c r="H51">
        <v>1</v>
      </c>
      <c r="I51">
        <v>910</v>
      </c>
      <c r="J51" s="19">
        <v>1</v>
      </c>
      <c r="K51">
        <v>9</v>
      </c>
      <c r="L51">
        <v>90.777777999999998</v>
      </c>
      <c r="M51">
        <v>140</v>
      </c>
      <c r="N51">
        <v>52</v>
      </c>
      <c r="O51">
        <v>817</v>
      </c>
      <c r="P51" s="2">
        <v>0.89780199999999999</v>
      </c>
    </row>
    <row r="52" spans="1:16" x14ac:dyDescent="0.25">
      <c r="A52" t="s">
        <v>30</v>
      </c>
      <c r="C52">
        <f>SUBTOTAL(101,BSP_depth10_room10_padding2[floors])</f>
        <v>809.14</v>
      </c>
      <c r="D52">
        <f>SUBTOTAL(101,BSP_depth10_room10_padding2[walls])</f>
        <v>1690.86</v>
      </c>
      <c r="E52" s="2">
        <f>SUBTOTAL(101,BSP_depth10_room10_padding2[floor_percent])</f>
        <v>0.323656</v>
      </c>
      <c r="F52" s="2">
        <f>SUBTOTAL(101,BSP_depth10_room10_padding2[wall_percent])</f>
        <v>0.67634399999999995</v>
      </c>
      <c r="G52">
        <f>SUBTOTAL(101,BSP_depth10_room10_padding2[longest_shortest_path])</f>
        <v>88.54</v>
      </c>
      <c r="H52">
        <f>SUBTOTAL(101,BSP_depth10_room10_padding2[component_count])</f>
        <v>1</v>
      </c>
      <c r="I52">
        <f>SUBTOTAL(101,BSP_depth10_room10_padding2[max_component_size])</f>
        <v>809.14</v>
      </c>
      <c r="J52" s="19">
        <f>SUBTOTAL(101,BSP_depth10_room10_padding2[connectivity_ratio])</f>
        <v>1</v>
      </c>
      <c r="K52">
        <f>SUBTOTAL(101,BSP_depth10_room10_padding2[room_count])</f>
        <v>6.68</v>
      </c>
      <c r="L52">
        <f>SUBTOTAL(101,BSP_depth10_room10_padding2[avg_room_size])</f>
        <v>109.59865876000002</v>
      </c>
      <c r="M52">
        <f>SUBTOTAL(101,BSP_depth10_room10_padding2[max_room_size])</f>
        <v>173.12</v>
      </c>
      <c r="N52">
        <f>SUBTOTAL(101,BSP_depth10_room10_padding2[min_room_size])</f>
        <v>65.400000000000006</v>
      </c>
      <c r="O52">
        <f>SUBTOTAL(101,BSP_depth10_room10_padding2[room_tiles])</f>
        <v>731.58</v>
      </c>
      <c r="P52" s="2">
        <f>SUBTOTAL(101,BSP_depth10_room10_padding2[room_ratio])</f>
        <v>0.89917091999999965</v>
      </c>
    </row>
    <row r="53" spans="1:16" x14ac:dyDescent="0.25">
      <c r="A53" s="17" t="s">
        <v>35</v>
      </c>
      <c r="B53" s="17"/>
      <c r="C53" s="17"/>
      <c r="D53" s="17"/>
      <c r="E53" s="17"/>
    </row>
  </sheetData>
  <mergeCells count="1">
    <mergeCell ref="A53:E53"/>
  </mergeCells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CFAA9-98CC-48D8-B5F1-9E1552E1F182}">
  <dimension ref="A1:P53"/>
  <sheetViews>
    <sheetView tabSelected="1" workbookViewId="0">
      <selection activeCell="J1" sqref="J1:J1048576"/>
    </sheetView>
  </sheetViews>
  <sheetFormatPr defaultRowHeight="15" x14ac:dyDescent="0.25"/>
  <cols>
    <col min="1" max="1" width="21.140625" bestFit="1" customWidth="1"/>
    <col min="2" max="2" width="11" bestFit="1" customWidth="1"/>
    <col min="3" max="3" width="8.5703125" bestFit="1" customWidth="1"/>
    <col min="4" max="4" width="7.85546875" bestFit="1" customWidth="1"/>
    <col min="5" max="5" width="15.5703125" bestFit="1" customWidth="1"/>
    <col min="6" max="6" width="14.7109375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19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9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5">
        <v>1095672987</v>
      </c>
      <c r="C2">
        <v>841</v>
      </c>
      <c r="D2">
        <v>1659</v>
      </c>
      <c r="E2" s="2">
        <v>0.33639999999999998</v>
      </c>
      <c r="F2" s="2">
        <v>0.66359999999999997</v>
      </c>
      <c r="G2">
        <v>105</v>
      </c>
      <c r="H2">
        <v>1</v>
      </c>
      <c r="I2">
        <v>841</v>
      </c>
      <c r="J2" s="19">
        <v>1</v>
      </c>
      <c r="K2">
        <v>7</v>
      </c>
      <c r="L2">
        <v>106.14285700000001</v>
      </c>
      <c r="M2">
        <v>149</v>
      </c>
      <c r="N2">
        <v>77</v>
      </c>
      <c r="O2">
        <v>743</v>
      </c>
      <c r="P2" s="2">
        <v>0.88347200000000004</v>
      </c>
    </row>
    <row r="3" spans="1:16" x14ac:dyDescent="0.25">
      <c r="A3" t="s">
        <v>16</v>
      </c>
      <c r="B3" s="15">
        <v>1589416586</v>
      </c>
      <c r="C3">
        <v>918</v>
      </c>
      <c r="D3">
        <v>1582</v>
      </c>
      <c r="E3" s="2">
        <v>0.36720000000000003</v>
      </c>
      <c r="F3" s="2">
        <v>0.63280000000000003</v>
      </c>
      <c r="G3">
        <v>122</v>
      </c>
      <c r="H3">
        <v>1</v>
      </c>
      <c r="I3">
        <v>918</v>
      </c>
      <c r="J3" s="19">
        <v>1</v>
      </c>
      <c r="K3">
        <v>8</v>
      </c>
      <c r="L3">
        <v>102.125</v>
      </c>
      <c r="M3">
        <v>154</v>
      </c>
      <c r="N3">
        <v>76</v>
      </c>
      <c r="O3">
        <v>817</v>
      </c>
      <c r="P3" s="2">
        <v>0.88997800000000005</v>
      </c>
    </row>
    <row r="4" spans="1:16" x14ac:dyDescent="0.25">
      <c r="A4" t="s">
        <v>16</v>
      </c>
      <c r="B4" s="15">
        <v>498074319</v>
      </c>
      <c r="C4">
        <v>328</v>
      </c>
      <c r="D4">
        <v>2172</v>
      </c>
      <c r="E4" s="2">
        <v>0.13120000000000001</v>
      </c>
      <c r="F4" s="2">
        <v>0.86880000000000002</v>
      </c>
      <c r="G4">
        <v>90</v>
      </c>
      <c r="H4">
        <v>1</v>
      </c>
      <c r="I4">
        <v>328</v>
      </c>
      <c r="J4" s="19">
        <v>1</v>
      </c>
      <c r="K4">
        <v>4</v>
      </c>
      <c r="L4">
        <v>61.25</v>
      </c>
      <c r="M4">
        <v>68</v>
      </c>
      <c r="N4">
        <v>50</v>
      </c>
      <c r="O4">
        <v>245</v>
      </c>
      <c r="P4" s="2">
        <v>0.74695100000000003</v>
      </c>
    </row>
    <row r="5" spans="1:16" x14ac:dyDescent="0.25">
      <c r="A5" t="s">
        <v>16</v>
      </c>
      <c r="B5" s="15">
        <v>281908990</v>
      </c>
      <c r="C5">
        <v>974</v>
      </c>
      <c r="D5">
        <v>1526</v>
      </c>
      <c r="E5" s="2">
        <v>0.3896</v>
      </c>
      <c r="F5" s="2">
        <v>0.61040000000000005</v>
      </c>
      <c r="G5">
        <v>95</v>
      </c>
      <c r="H5">
        <v>1</v>
      </c>
      <c r="I5">
        <v>974</v>
      </c>
      <c r="J5" s="19">
        <v>1</v>
      </c>
      <c r="K5">
        <v>8</v>
      </c>
      <c r="L5">
        <v>110.625</v>
      </c>
      <c r="M5">
        <v>192</v>
      </c>
      <c r="N5">
        <v>68</v>
      </c>
      <c r="O5">
        <v>885</v>
      </c>
      <c r="P5" s="2">
        <v>0.90862399999999999</v>
      </c>
    </row>
    <row r="6" spans="1:16" x14ac:dyDescent="0.25">
      <c r="A6" t="s">
        <v>16</v>
      </c>
      <c r="B6" s="15">
        <v>849562264</v>
      </c>
      <c r="C6">
        <v>477</v>
      </c>
      <c r="D6">
        <v>2023</v>
      </c>
      <c r="E6" s="2">
        <v>0.1908</v>
      </c>
      <c r="F6" s="2">
        <v>0.80920000000000003</v>
      </c>
      <c r="G6">
        <v>59</v>
      </c>
      <c r="H6">
        <v>1</v>
      </c>
      <c r="I6">
        <v>477</v>
      </c>
      <c r="J6" s="19">
        <v>1</v>
      </c>
      <c r="K6">
        <v>3</v>
      </c>
      <c r="L6">
        <v>150</v>
      </c>
      <c r="M6">
        <v>301</v>
      </c>
      <c r="N6">
        <v>73</v>
      </c>
      <c r="O6">
        <v>450</v>
      </c>
      <c r="P6" s="2">
        <v>0.94339600000000001</v>
      </c>
    </row>
    <row r="7" spans="1:16" x14ac:dyDescent="0.25">
      <c r="A7" t="s">
        <v>16</v>
      </c>
      <c r="B7" s="15">
        <v>1663377535</v>
      </c>
      <c r="C7">
        <v>274</v>
      </c>
      <c r="D7">
        <v>2226</v>
      </c>
      <c r="E7" s="2">
        <v>0.1096</v>
      </c>
      <c r="F7" s="2">
        <v>0.89039999999999997</v>
      </c>
      <c r="G7">
        <v>35</v>
      </c>
      <c r="H7">
        <v>1</v>
      </c>
      <c r="I7">
        <v>274</v>
      </c>
      <c r="J7" s="19">
        <v>1</v>
      </c>
      <c r="K7">
        <v>3</v>
      </c>
      <c r="L7">
        <v>83.333332999999996</v>
      </c>
      <c r="M7">
        <v>92</v>
      </c>
      <c r="N7">
        <v>72</v>
      </c>
      <c r="O7">
        <v>250</v>
      </c>
      <c r="P7" s="2">
        <v>0.91240900000000003</v>
      </c>
    </row>
    <row r="8" spans="1:16" x14ac:dyDescent="0.25">
      <c r="A8" t="s">
        <v>16</v>
      </c>
      <c r="B8" s="15">
        <v>1675047814</v>
      </c>
      <c r="C8">
        <v>680</v>
      </c>
      <c r="D8">
        <v>1820</v>
      </c>
      <c r="E8" s="2">
        <v>0.27200000000000002</v>
      </c>
      <c r="F8" s="2">
        <v>0.72799999999999998</v>
      </c>
      <c r="G8">
        <v>114</v>
      </c>
      <c r="H8">
        <v>1</v>
      </c>
      <c r="I8">
        <v>680</v>
      </c>
      <c r="J8" s="19">
        <v>1</v>
      </c>
      <c r="K8">
        <v>5</v>
      </c>
      <c r="L8">
        <v>116.2</v>
      </c>
      <c r="M8">
        <v>172</v>
      </c>
      <c r="N8">
        <v>92</v>
      </c>
      <c r="O8">
        <v>581</v>
      </c>
      <c r="P8" s="2">
        <v>0.85441199999999995</v>
      </c>
    </row>
    <row r="9" spans="1:16" x14ac:dyDescent="0.25">
      <c r="A9" t="s">
        <v>16</v>
      </c>
      <c r="B9" s="15">
        <v>1694941115</v>
      </c>
      <c r="C9">
        <v>1030</v>
      </c>
      <c r="D9">
        <v>1470</v>
      </c>
      <c r="E9" s="2">
        <v>0.41199999999999998</v>
      </c>
      <c r="F9" s="2">
        <v>0.58799999999999997</v>
      </c>
      <c r="G9">
        <v>86</v>
      </c>
      <c r="H9">
        <v>1</v>
      </c>
      <c r="I9">
        <v>1030</v>
      </c>
      <c r="J9" s="19">
        <v>1</v>
      </c>
      <c r="K9">
        <v>9</v>
      </c>
      <c r="L9">
        <v>106.333333</v>
      </c>
      <c r="M9">
        <v>176</v>
      </c>
      <c r="N9">
        <v>59</v>
      </c>
      <c r="O9">
        <v>957</v>
      </c>
      <c r="P9" s="2">
        <v>0.92912600000000001</v>
      </c>
    </row>
    <row r="10" spans="1:16" x14ac:dyDescent="0.25">
      <c r="A10" t="s">
        <v>16</v>
      </c>
      <c r="B10" s="15">
        <v>1870777246</v>
      </c>
      <c r="C10">
        <v>852</v>
      </c>
      <c r="D10">
        <v>1648</v>
      </c>
      <c r="E10" s="2">
        <v>0.34079999999999999</v>
      </c>
      <c r="F10" s="2">
        <v>0.65920000000000001</v>
      </c>
      <c r="G10">
        <v>100</v>
      </c>
      <c r="H10">
        <v>1</v>
      </c>
      <c r="I10">
        <v>852</v>
      </c>
      <c r="J10" s="19">
        <v>1</v>
      </c>
      <c r="K10">
        <v>6</v>
      </c>
      <c r="L10">
        <v>131.5</v>
      </c>
      <c r="M10">
        <v>292</v>
      </c>
      <c r="N10">
        <v>52</v>
      </c>
      <c r="O10">
        <v>789</v>
      </c>
      <c r="P10" s="2">
        <v>0.92605599999999999</v>
      </c>
    </row>
    <row r="11" spans="1:16" x14ac:dyDescent="0.25">
      <c r="A11" t="s">
        <v>16</v>
      </c>
      <c r="B11" s="15">
        <v>1465828366</v>
      </c>
      <c r="C11">
        <v>800</v>
      </c>
      <c r="D11">
        <v>1700</v>
      </c>
      <c r="E11" s="2">
        <v>0.32</v>
      </c>
      <c r="F11" s="2">
        <v>0.68</v>
      </c>
      <c r="G11">
        <v>87</v>
      </c>
      <c r="H11">
        <v>1</v>
      </c>
      <c r="I11">
        <v>800</v>
      </c>
      <c r="J11" s="19">
        <v>1</v>
      </c>
      <c r="K11">
        <v>5</v>
      </c>
      <c r="L11">
        <v>149</v>
      </c>
      <c r="M11">
        <v>319</v>
      </c>
      <c r="N11">
        <v>68</v>
      </c>
      <c r="O11">
        <v>745</v>
      </c>
      <c r="P11" s="2">
        <v>0.93125000000000002</v>
      </c>
    </row>
    <row r="12" spans="1:16" x14ac:dyDescent="0.25">
      <c r="A12" t="s">
        <v>16</v>
      </c>
      <c r="B12" s="15">
        <v>338988792</v>
      </c>
      <c r="C12">
        <v>1039</v>
      </c>
      <c r="D12">
        <v>1461</v>
      </c>
      <c r="E12" s="2">
        <v>0.41560000000000002</v>
      </c>
      <c r="F12" s="2">
        <v>0.58440000000000003</v>
      </c>
      <c r="G12">
        <v>101</v>
      </c>
      <c r="H12">
        <v>1</v>
      </c>
      <c r="I12">
        <v>1039</v>
      </c>
      <c r="J12" s="19">
        <v>1</v>
      </c>
      <c r="K12">
        <v>7</v>
      </c>
      <c r="L12">
        <v>138.14285699999999</v>
      </c>
      <c r="M12">
        <v>234</v>
      </c>
      <c r="N12">
        <v>66</v>
      </c>
      <c r="O12">
        <v>967</v>
      </c>
      <c r="P12" s="2">
        <v>0.93070299999999995</v>
      </c>
    </row>
    <row r="13" spans="1:16" x14ac:dyDescent="0.25">
      <c r="A13" t="s">
        <v>16</v>
      </c>
      <c r="B13" s="15">
        <v>806345797</v>
      </c>
      <c r="C13">
        <v>1137</v>
      </c>
      <c r="D13">
        <v>1363</v>
      </c>
      <c r="E13" s="2">
        <v>0.45479999999999998</v>
      </c>
      <c r="F13" s="2">
        <v>0.54520000000000002</v>
      </c>
      <c r="G13">
        <v>98</v>
      </c>
      <c r="H13">
        <v>1</v>
      </c>
      <c r="I13">
        <v>1137</v>
      </c>
      <c r="J13" s="19">
        <v>1</v>
      </c>
      <c r="K13">
        <v>8</v>
      </c>
      <c r="L13">
        <v>132.125</v>
      </c>
      <c r="M13">
        <v>284</v>
      </c>
      <c r="N13">
        <v>60</v>
      </c>
      <c r="O13">
        <v>1057</v>
      </c>
      <c r="P13" s="2">
        <v>0.92963899999999999</v>
      </c>
    </row>
    <row r="14" spans="1:16" x14ac:dyDescent="0.25">
      <c r="A14" t="s">
        <v>16</v>
      </c>
      <c r="B14" s="15">
        <v>710998658</v>
      </c>
      <c r="C14">
        <v>536</v>
      </c>
      <c r="D14">
        <v>1964</v>
      </c>
      <c r="E14" s="2">
        <v>0.21440000000000001</v>
      </c>
      <c r="F14" s="2">
        <v>0.78559999999999997</v>
      </c>
      <c r="G14">
        <v>83</v>
      </c>
      <c r="H14">
        <v>1</v>
      </c>
      <c r="I14">
        <v>536</v>
      </c>
      <c r="J14" s="19">
        <v>1</v>
      </c>
      <c r="K14">
        <v>5</v>
      </c>
      <c r="L14">
        <v>95</v>
      </c>
      <c r="M14">
        <v>145</v>
      </c>
      <c r="N14">
        <v>60</v>
      </c>
      <c r="O14">
        <v>475</v>
      </c>
      <c r="P14" s="2">
        <v>0.88619400000000004</v>
      </c>
    </row>
    <row r="15" spans="1:16" x14ac:dyDescent="0.25">
      <c r="A15" t="s">
        <v>16</v>
      </c>
      <c r="B15" s="15">
        <v>1580216520</v>
      </c>
      <c r="C15">
        <v>765</v>
      </c>
      <c r="D15">
        <v>1735</v>
      </c>
      <c r="E15" s="2">
        <v>0.30599999999999999</v>
      </c>
      <c r="F15" s="2">
        <v>0.69399999999999995</v>
      </c>
      <c r="G15">
        <v>88</v>
      </c>
      <c r="H15">
        <v>1</v>
      </c>
      <c r="I15">
        <v>765</v>
      </c>
      <c r="J15" s="19">
        <v>1</v>
      </c>
      <c r="K15">
        <v>6</v>
      </c>
      <c r="L15">
        <v>114.666667</v>
      </c>
      <c r="M15">
        <v>166</v>
      </c>
      <c r="N15">
        <v>45</v>
      </c>
      <c r="O15">
        <v>688</v>
      </c>
      <c r="P15" s="2">
        <v>0.89934599999999998</v>
      </c>
    </row>
    <row r="16" spans="1:16" x14ac:dyDescent="0.25">
      <c r="A16" t="s">
        <v>16</v>
      </c>
      <c r="B16" s="15">
        <v>341755275</v>
      </c>
      <c r="C16">
        <v>930</v>
      </c>
      <c r="D16">
        <v>1570</v>
      </c>
      <c r="E16" s="2">
        <v>0.372</v>
      </c>
      <c r="F16" s="2">
        <v>0.628</v>
      </c>
      <c r="G16">
        <v>76</v>
      </c>
      <c r="H16">
        <v>1</v>
      </c>
      <c r="I16">
        <v>930</v>
      </c>
      <c r="J16" s="19">
        <v>1</v>
      </c>
      <c r="K16">
        <v>7</v>
      </c>
      <c r="L16">
        <v>123.285714</v>
      </c>
      <c r="M16">
        <v>242</v>
      </c>
      <c r="N16">
        <v>77</v>
      </c>
      <c r="O16">
        <v>863</v>
      </c>
      <c r="P16" s="2">
        <v>0.92795700000000003</v>
      </c>
    </row>
    <row r="17" spans="1:16" x14ac:dyDescent="0.25">
      <c r="A17" t="s">
        <v>16</v>
      </c>
      <c r="B17" s="15">
        <v>1023878156</v>
      </c>
      <c r="C17">
        <v>557</v>
      </c>
      <c r="D17">
        <v>1943</v>
      </c>
      <c r="E17" s="2">
        <v>0.2228</v>
      </c>
      <c r="F17" s="2">
        <v>0.7772</v>
      </c>
      <c r="G17">
        <v>62</v>
      </c>
      <c r="H17">
        <v>1</v>
      </c>
      <c r="I17">
        <v>557</v>
      </c>
      <c r="J17" s="19">
        <v>1</v>
      </c>
      <c r="K17">
        <v>5</v>
      </c>
      <c r="L17">
        <v>103.2</v>
      </c>
      <c r="M17">
        <v>150</v>
      </c>
      <c r="N17">
        <v>68</v>
      </c>
      <c r="O17">
        <v>516</v>
      </c>
      <c r="P17" s="2">
        <v>0.92639099999999996</v>
      </c>
    </row>
    <row r="18" spans="1:16" x14ac:dyDescent="0.25">
      <c r="A18" t="s">
        <v>16</v>
      </c>
      <c r="B18" s="15">
        <v>786206756</v>
      </c>
      <c r="C18">
        <v>678</v>
      </c>
      <c r="D18">
        <v>1822</v>
      </c>
      <c r="E18" s="2">
        <v>0.2712</v>
      </c>
      <c r="F18" s="2">
        <v>0.7288</v>
      </c>
      <c r="G18">
        <v>60</v>
      </c>
      <c r="H18">
        <v>1</v>
      </c>
      <c r="I18">
        <v>678</v>
      </c>
      <c r="J18" s="19">
        <v>1</v>
      </c>
      <c r="K18">
        <v>5</v>
      </c>
      <c r="L18">
        <v>127.2</v>
      </c>
      <c r="M18">
        <v>192</v>
      </c>
      <c r="N18">
        <v>68</v>
      </c>
      <c r="O18">
        <v>636</v>
      </c>
      <c r="P18" s="2">
        <v>0.93805300000000003</v>
      </c>
    </row>
    <row r="19" spans="1:16" x14ac:dyDescent="0.25">
      <c r="A19" t="s">
        <v>16</v>
      </c>
      <c r="B19" s="15">
        <v>1365719940</v>
      </c>
      <c r="C19">
        <v>816</v>
      </c>
      <c r="D19">
        <v>1684</v>
      </c>
      <c r="E19" s="2">
        <v>0.32640000000000002</v>
      </c>
      <c r="F19" s="2">
        <v>0.67359999999999998</v>
      </c>
      <c r="G19">
        <v>97</v>
      </c>
      <c r="H19">
        <v>1</v>
      </c>
      <c r="I19">
        <v>816</v>
      </c>
      <c r="J19" s="19">
        <v>1</v>
      </c>
      <c r="K19">
        <v>6</v>
      </c>
      <c r="L19">
        <v>124.666667</v>
      </c>
      <c r="M19">
        <v>165</v>
      </c>
      <c r="N19">
        <v>80</v>
      </c>
      <c r="O19">
        <v>748</v>
      </c>
      <c r="P19" s="2">
        <v>0.91666700000000001</v>
      </c>
    </row>
    <row r="20" spans="1:16" x14ac:dyDescent="0.25">
      <c r="A20" t="s">
        <v>16</v>
      </c>
      <c r="B20" s="15">
        <v>1297838561</v>
      </c>
      <c r="C20">
        <v>518</v>
      </c>
      <c r="D20">
        <v>1982</v>
      </c>
      <c r="E20" s="2">
        <v>0.2072</v>
      </c>
      <c r="F20" s="2">
        <v>0.79279999999999995</v>
      </c>
      <c r="G20">
        <v>71</v>
      </c>
      <c r="H20">
        <v>1</v>
      </c>
      <c r="I20">
        <v>518</v>
      </c>
      <c r="J20" s="19">
        <v>1</v>
      </c>
      <c r="K20">
        <v>3</v>
      </c>
      <c r="L20">
        <v>157.66666699999999</v>
      </c>
      <c r="M20">
        <v>253</v>
      </c>
      <c r="N20">
        <v>104</v>
      </c>
      <c r="O20">
        <v>473</v>
      </c>
      <c r="P20" s="2">
        <v>0.91312700000000002</v>
      </c>
    </row>
    <row r="21" spans="1:16" x14ac:dyDescent="0.25">
      <c r="A21" t="s">
        <v>16</v>
      </c>
      <c r="B21" s="15">
        <v>1227964810</v>
      </c>
      <c r="C21">
        <v>896</v>
      </c>
      <c r="D21">
        <v>1604</v>
      </c>
      <c r="E21" s="2">
        <v>0.3584</v>
      </c>
      <c r="F21" s="2">
        <v>0.64159999999999995</v>
      </c>
      <c r="G21">
        <v>104</v>
      </c>
      <c r="H21">
        <v>1</v>
      </c>
      <c r="I21">
        <v>896</v>
      </c>
      <c r="J21" s="19">
        <v>1</v>
      </c>
      <c r="K21">
        <v>8</v>
      </c>
      <c r="L21">
        <v>97.625</v>
      </c>
      <c r="M21">
        <v>156</v>
      </c>
      <c r="N21">
        <v>68</v>
      </c>
      <c r="O21">
        <v>781</v>
      </c>
      <c r="P21" s="2">
        <v>0.87165199999999998</v>
      </c>
    </row>
    <row r="22" spans="1:16" x14ac:dyDescent="0.25">
      <c r="A22" t="s">
        <v>16</v>
      </c>
      <c r="B22" s="15">
        <v>613771815</v>
      </c>
      <c r="C22">
        <v>557</v>
      </c>
      <c r="D22">
        <v>1943</v>
      </c>
      <c r="E22" s="2">
        <v>0.2228</v>
      </c>
      <c r="F22" s="2">
        <v>0.7772</v>
      </c>
      <c r="G22">
        <v>74</v>
      </c>
      <c r="H22">
        <v>1</v>
      </c>
      <c r="I22">
        <v>557</v>
      </c>
      <c r="J22" s="19">
        <v>1</v>
      </c>
      <c r="K22">
        <v>5</v>
      </c>
      <c r="L22">
        <v>99</v>
      </c>
      <c r="M22">
        <v>150</v>
      </c>
      <c r="N22">
        <v>66</v>
      </c>
      <c r="O22">
        <v>495</v>
      </c>
      <c r="P22" s="2">
        <v>0.88868899999999995</v>
      </c>
    </row>
    <row r="23" spans="1:16" x14ac:dyDescent="0.25">
      <c r="A23" t="s">
        <v>16</v>
      </c>
      <c r="B23" s="15">
        <v>771615321</v>
      </c>
      <c r="C23">
        <v>753</v>
      </c>
      <c r="D23">
        <v>1747</v>
      </c>
      <c r="E23" s="2">
        <v>0.30120000000000002</v>
      </c>
      <c r="F23" s="2">
        <v>0.69879999999999998</v>
      </c>
      <c r="G23">
        <v>100</v>
      </c>
      <c r="H23">
        <v>1</v>
      </c>
      <c r="I23">
        <v>753</v>
      </c>
      <c r="J23" s="19">
        <v>1</v>
      </c>
      <c r="K23">
        <v>7</v>
      </c>
      <c r="L23">
        <v>95.285713999999999</v>
      </c>
      <c r="M23">
        <v>152</v>
      </c>
      <c r="N23">
        <v>60</v>
      </c>
      <c r="O23">
        <v>667</v>
      </c>
      <c r="P23" s="2">
        <v>0.88578999999999997</v>
      </c>
    </row>
    <row r="24" spans="1:16" x14ac:dyDescent="0.25">
      <c r="A24" t="s">
        <v>16</v>
      </c>
      <c r="B24" s="15">
        <v>793451463</v>
      </c>
      <c r="C24">
        <v>1046</v>
      </c>
      <c r="D24">
        <v>1454</v>
      </c>
      <c r="E24" s="2">
        <v>0.41839999999999999</v>
      </c>
      <c r="F24" s="2">
        <v>0.58160000000000001</v>
      </c>
      <c r="G24">
        <v>106</v>
      </c>
      <c r="H24">
        <v>1</v>
      </c>
      <c r="I24">
        <v>1046</v>
      </c>
      <c r="J24" s="19">
        <v>1</v>
      </c>
      <c r="K24">
        <v>9</v>
      </c>
      <c r="L24">
        <v>106.777778</v>
      </c>
      <c r="M24">
        <v>139</v>
      </c>
      <c r="N24">
        <v>59</v>
      </c>
      <c r="O24">
        <v>961</v>
      </c>
      <c r="P24" s="2">
        <v>0.91873800000000005</v>
      </c>
    </row>
    <row r="25" spans="1:16" x14ac:dyDescent="0.25">
      <c r="A25" t="s">
        <v>16</v>
      </c>
      <c r="B25" s="15">
        <v>3161837</v>
      </c>
      <c r="C25">
        <v>1055</v>
      </c>
      <c r="D25">
        <v>1445</v>
      </c>
      <c r="E25" s="2">
        <v>0.42199999999999999</v>
      </c>
      <c r="F25" s="2">
        <v>0.57799999999999996</v>
      </c>
      <c r="G25">
        <v>94</v>
      </c>
      <c r="H25">
        <v>1</v>
      </c>
      <c r="I25">
        <v>1055</v>
      </c>
      <c r="J25" s="19">
        <v>1</v>
      </c>
      <c r="K25">
        <v>8</v>
      </c>
      <c r="L25">
        <v>120.75</v>
      </c>
      <c r="M25">
        <v>176</v>
      </c>
      <c r="N25">
        <v>66</v>
      </c>
      <c r="O25">
        <v>966</v>
      </c>
      <c r="P25" s="2">
        <v>0.91564000000000001</v>
      </c>
    </row>
    <row r="26" spans="1:16" x14ac:dyDescent="0.25">
      <c r="A26" t="s">
        <v>16</v>
      </c>
      <c r="B26" s="15">
        <v>1674466994</v>
      </c>
      <c r="C26">
        <v>491</v>
      </c>
      <c r="D26">
        <v>2009</v>
      </c>
      <c r="E26" s="2">
        <v>0.19639999999999999</v>
      </c>
      <c r="F26" s="2">
        <v>0.80359999999999998</v>
      </c>
      <c r="G26">
        <v>72</v>
      </c>
      <c r="H26">
        <v>1</v>
      </c>
      <c r="I26">
        <v>491</v>
      </c>
      <c r="J26" s="19">
        <v>1</v>
      </c>
      <c r="K26">
        <v>4</v>
      </c>
      <c r="L26">
        <v>106.75</v>
      </c>
      <c r="M26">
        <v>214</v>
      </c>
      <c r="N26">
        <v>45</v>
      </c>
      <c r="O26">
        <v>427</v>
      </c>
      <c r="P26" s="2">
        <v>0.86965400000000004</v>
      </c>
    </row>
    <row r="27" spans="1:16" x14ac:dyDescent="0.25">
      <c r="A27" t="s">
        <v>16</v>
      </c>
      <c r="B27" s="15">
        <v>1439455891</v>
      </c>
      <c r="C27">
        <v>1115</v>
      </c>
      <c r="D27">
        <v>1385</v>
      </c>
      <c r="E27" s="2">
        <v>0.44600000000000001</v>
      </c>
      <c r="F27" s="2">
        <v>0.55400000000000005</v>
      </c>
      <c r="G27">
        <v>94</v>
      </c>
      <c r="H27">
        <v>1</v>
      </c>
      <c r="I27">
        <v>1115</v>
      </c>
      <c r="J27" s="19">
        <v>1</v>
      </c>
      <c r="K27">
        <v>9</v>
      </c>
      <c r="L27">
        <v>115.11111099999999</v>
      </c>
      <c r="M27">
        <v>220</v>
      </c>
      <c r="N27">
        <v>52</v>
      </c>
      <c r="O27">
        <v>1036</v>
      </c>
      <c r="P27" s="2">
        <v>0.92914799999999997</v>
      </c>
    </row>
    <row r="28" spans="1:16" x14ac:dyDescent="0.25">
      <c r="A28" t="s">
        <v>16</v>
      </c>
      <c r="B28" s="15">
        <v>961564307</v>
      </c>
      <c r="C28">
        <v>904</v>
      </c>
      <c r="D28">
        <v>1596</v>
      </c>
      <c r="E28" s="2">
        <v>0.36159999999999998</v>
      </c>
      <c r="F28" s="2">
        <v>0.63839999999999997</v>
      </c>
      <c r="G28">
        <v>98</v>
      </c>
      <c r="H28">
        <v>1</v>
      </c>
      <c r="I28">
        <v>904</v>
      </c>
      <c r="J28" s="19">
        <v>1</v>
      </c>
      <c r="K28">
        <v>8</v>
      </c>
      <c r="L28">
        <v>103</v>
      </c>
      <c r="M28">
        <v>128</v>
      </c>
      <c r="N28">
        <v>52</v>
      </c>
      <c r="O28">
        <v>824</v>
      </c>
      <c r="P28" s="2">
        <v>0.91150399999999998</v>
      </c>
    </row>
    <row r="29" spans="1:16" x14ac:dyDescent="0.25">
      <c r="A29" t="s">
        <v>16</v>
      </c>
      <c r="B29" s="15">
        <v>670217234</v>
      </c>
      <c r="C29">
        <v>929</v>
      </c>
      <c r="D29">
        <v>1571</v>
      </c>
      <c r="E29" s="2">
        <v>0.37159999999999999</v>
      </c>
      <c r="F29" s="2">
        <v>0.62839999999999996</v>
      </c>
      <c r="G29">
        <v>98</v>
      </c>
      <c r="H29">
        <v>1</v>
      </c>
      <c r="I29">
        <v>929</v>
      </c>
      <c r="J29" s="19">
        <v>1</v>
      </c>
      <c r="K29">
        <v>7</v>
      </c>
      <c r="L29">
        <v>120.42857100000001</v>
      </c>
      <c r="M29">
        <v>167</v>
      </c>
      <c r="N29">
        <v>86</v>
      </c>
      <c r="O29">
        <v>843</v>
      </c>
      <c r="P29" s="2">
        <v>0.90742699999999998</v>
      </c>
    </row>
    <row r="30" spans="1:16" x14ac:dyDescent="0.25">
      <c r="A30" t="s">
        <v>16</v>
      </c>
      <c r="B30" s="15">
        <v>761578558</v>
      </c>
      <c r="C30">
        <v>876</v>
      </c>
      <c r="D30">
        <v>1624</v>
      </c>
      <c r="E30" s="2">
        <v>0.35039999999999999</v>
      </c>
      <c r="F30" s="2">
        <v>0.64959999999999996</v>
      </c>
      <c r="G30">
        <v>67</v>
      </c>
      <c r="H30">
        <v>1</v>
      </c>
      <c r="I30">
        <v>876</v>
      </c>
      <c r="J30" s="19">
        <v>1</v>
      </c>
      <c r="K30">
        <v>7</v>
      </c>
      <c r="L30">
        <v>114.57142899999999</v>
      </c>
      <c r="M30">
        <v>152</v>
      </c>
      <c r="N30">
        <v>76</v>
      </c>
      <c r="O30">
        <v>802</v>
      </c>
      <c r="P30" s="2">
        <v>0.91552500000000003</v>
      </c>
    </row>
    <row r="31" spans="1:16" x14ac:dyDescent="0.25">
      <c r="A31" t="s">
        <v>16</v>
      </c>
      <c r="B31" s="15">
        <v>926547084</v>
      </c>
      <c r="C31">
        <v>393</v>
      </c>
      <c r="D31">
        <v>2107</v>
      </c>
      <c r="E31" s="2">
        <v>0.15720000000000001</v>
      </c>
      <c r="F31" s="2">
        <v>0.84279999999999999</v>
      </c>
      <c r="G31">
        <v>52</v>
      </c>
      <c r="H31">
        <v>1</v>
      </c>
      <c r="I31">
        <v>393</v>
      </c>
      <c r="J31" s="19">
        <v>1</v>
      </c>
      <c r="K31">
        <v>3</v>
      </c>
      <c r="L31">
        <v>118</v>
      </c>
      <c r="M31">
        <v>236</v>
      </c>
      <c r="N31">
        <v>52</v>
      </c>
      <c r="O31">
        <v>354</v>
      </c>
      <c r="P31" s="2">
        <v>0.90076299999999998</v>
      </c>
    </row>
    <row r="32" spans="1:16" x14ac:dyDescent="0.25">
      <c r="A32" t="s">
        <v>16</v>
      </c>
      <c r="B32" s="15">
        <v>1999198783</v>
      </c>
      <c r="C32">
        <v>857</v>
      </c>
      <c r="D32">
        <v>1643</v>
      </c>
      <c r="E32" s="2">
        <v>0.34279999999999999</v>
      </c>
      <c r="F32" s="2">
        <v>0.65720000000000001</v>
      </c>
      <c r="G32">
        <v>84</v>
      </c>
      <c r="H32">
        <v>1</v>
      </c>
      <c r="I32">
        <v>857</v>
      </c>
      <c r="J32" s="19">
        <v>1</v>
      </c>
      <c r="K32">
        <v>7</v>
      </c>
      <c r="L32">
        <v>111.14285700000001</v>
      </c>
      <c r="M32">
        <v>198</v>
      </c>
      <c r="N32">
        <v>52</v>
      </c>
      <c r="O32">
        <v>778</v>
      </c>
      <c r="P32" s="2">
        <v>0.90781800000000001</v>
      </c>
    </row>
    <row r="33" spans="1:16" x14ac:dyDescent="0.25">
      <c r="A33" t="s">
        <v>16</v>
      </c>
      <c r="B33" s="15">
        <v>1387350242</v>
      </c>
      <c r="C33">
        <v>291</v>
      </c>
      <c r="D33">
        <v>2209</v>
      </c>
      <c r="E33" s="2">
        <v>0.1164</v>
      </c>
      <c r="F33" s="2">
        <v>0.88360000000000005</v>
      </c>
      <c r="G33">
        <v>42</v>
      </c>
      <c r="H33">
        <v>1</v>
      </c>
      <c r="I33">
        <v>291</v>
      </c>
      <c r="J33" s="19">
        <v>1</v>
      </c>
      <c r="K33">
        <v>3</v>
      </c>
      <c r="L33">
        <v>89</v>
      </c>
      <c r="M33">
        <v>113</v>
      </c>
      <c r="N33">
        <v>68</v>
      </c>
      <c r="O33">
        <v>267</v>
      </c>
      <c r="P33" s="2">
        <v>0.91752599999999995</v>
      </c>
    </row>
    <row r="34" spans="1:16" x14ac:dyDescent="0.25">
      <c r="A34" t="s">
        <v>16</v>
      </c>
      <c r="B34" s="15">
        <v>2083126892</v>
      </c>
      <c r="C34">
        <v>1035</v>
      </c>
      <c r="D34">
        <v>1465</v>
      </c>
      <c r="E34" s="2">
        <v>0.41399999999999998</v>
      </c>
      <c r="F34" s="2">
        <v>0.58599999999999997</v>
      </c>
      <c r="G34">
        <v>109</v>
      </c>
      <c r="H34">
        <v>1</v>
      </c>
      <c r="I34">
        <v>1035</v>
      </c>
      <c r="J34" s="19">
        <v>1</v>
      </c>
      <c r="K34">
        <v>9</v>
      </c>
      <c r="L34">
        <v>104.777778</v>
      </c>
      <c r="M34">
        <v>176</v>
      </c>
      <c r="N34">
        <v>44</v>
      </c>
      <c r="O34">
        <v>943</v>
      </c>
      <c r="P34" s="2">
        <v>0.911111</v>
      </c>
    </row>
    <row r="35" spans="1:16" x14ac:dyDescent="0.25">
      <c r="A35" t="s">
        <v>16</v>
      </c>
      <c r="B35" s="15">
        <v>1944035189</v>
      </c>
      <c r="C35">
        <v>1080</v>
      </c>
      <c r="D35">
        <v>1420</v>
      </c>
      <c r="E35" s="2">
        <v>0.432</v>
      </c>
      <c r="F35" s="2">
        <v>0.56799999999999995</v>
      </c>
      <c r="G35">
        <v>86</v>
      </c>
      <c r="H35">
        <v>1</v>
      </c>
      <c r="I35">
        <v>1080</v>
      </c>
      <c r="J35" s="19">
        <v>1</v>
      </c>
      <c r="K35">
        <v>9</v>
      </c>
      <c r="L35">
        <v>109.88888900000001</v>
      </c>
      <c r="M35">
        <v>156</v>
      </c>
      <c r="N35">
        <v>66</v>
      </c>
      <c r="O35">
        <v>989</v>
      </c>
      <c r="P35" s="2">
        <v>0.91574100000000003</v>
      </c>
    </row>
    <row r="36" spans="1:16" x14ac:dyDescent="0.25">
      <c r="A36" t="s">
        <v>16</v>
      </c>
      <c r="B36" s="15">
        <v>1233028901</v>
      </c>
      <c r="C36">
        <v>761</v>
      </c>
      <c r="D36">
        <v>1739</v>
      </c>
      <c r="E36" s="2">
        <v>0.3044</v>
      </c>
      <c r="F36" s="2">
        <v>0.6956</v>
      </c>
      <c r="G36">
        <v>72</v>
      </c>
      <c r="H36">
        <v>1</v>
      </c>
      <c r="I36">
        <v>761</v>
      </c>
      <c r="J36" s="19">
        <v>1</v>
      </c>
      <c r="K36">
        <v>6</v>
      </c>
      <c r="L36">
        <v>113.666667</v>
      </c>
      <c r="M36">
        <v>128</v>
      </c>
      <c r="N36">
        <v>92</v>
      </c>
      <c r="O36">
        <v>682</v>
      </c>
      <c r="P36" s="2">
        <v>0.89618900000000001</v>
      </c>
    </row>
    <row r="37" spans="1:16" x14ac:dyDescent="0.25">
      <c r="A37" t="s">
        <v>16</v>
      </c>
      <c r="B37" s="15">
        <v>887623942</v>
      </c>
      <c r="C37">
        <v>644</v>
      </c>
      <c r="D37">
        <v>1856</v>
      </c>
      <c r="E37" s="2">
        <v>0.2576</v>
      </c>
      <c r="F37" s="2">
        <v>0.74239999999999995</v>
      </c>
      <c r="G37">
        <v>69</v>
      </c>
      <c r="H37">
        <v>1</v>
      </c>
      <c r="I37">
        <v>644</v>
      </c>
      <c r="J37" s="19">
        <v>1</v>
      </c>
      <c r="K37">
        <v>6</v>
      </c>
      <c r="L37">
        <v>96.833332999999996</v>
      </c>
      <c r="M37">
        <v>116</v>
      </c>
      <c r="N37">
        <v>76</v>
      </c>
      <c r="O37">
        <v>581</v>
      </c>
      <c r="P37" s="2">
        <v>0.90217400000000003</v>
      </c>
    </row>
    <row r="38" spans="1:16" x14ac:dyDescent="0.25">
      <c r="A38" t="s">
        <v>16</v>
      </c>
      <c r="B38" s="15">
        <v>1354769024</v>
      </c>
      <c r="C38">
        <v>825</v>
      </c>
      <c r="D38">
        <v>1675</v>
      </c>
      <c r="E38" s="2">
        <v>0.33</v>
      </c>
      <c r="F38" s="2">
        <v>0.67</v>
      </c>
      <c r="G38">
        <v>95</v>
      </c>
      <c r="H38">
        <v>1</v>
      </c>
      <c r="I38">
        <v>825</v>
      </c>
      <c r="J38" s="19">
        <v>1</v>
      </c>
      <c r="K38">
        <v>8</v>
      </c>
      <c r="L38">
        <v>91.875</v>
      </c>
      <c r="M38">
        <v>236</v>
      </c>
      <c r="N38">
        <v>1</v>
      </c>
      <c r="O38">
        <v>735</v>
      </c>
      <c r="P38" s="2">
        <v>0.89090899999999995</v>
      </c>
    </row>
    <row r="39" spans="1:16" x14ac:dyDescent="0.25">
      <c r="A39" t="s">
        <v>16</v>
      </c>
      <c r="B39" s="15">
        <v>109190456</v>
      </c>
      <c r="C39">
        <v>886</v>
      </c>
      <c r="D39">
        <v>1614</v>
      </c>
      <c r="E39" s="2">
        <v>0.35439999999999999</v>
      </c>
      <c r="F39" s="2">
        <v>0.64559999999999995</v>
      </c>
      <c r="G39">
        <v>74</v>
      </c>
      <c r="H39">
        <v>1</v>
      </c>
      <c r="I39">
        <v>886</v>
      </c>
      <c r="J39" s="19">
        <v>1</v>
      </c>
      <c r="K39">
        <v>6</v>
      </c>
      <c r="L39">
        <v>139</v>
      </c>
      <c r="M39">
        <v>248</v>
      </c>
      <c r="N39">
        <v>77</v>
      </c>
      <c r="O39">
        <v>834</v>
      </c>
      <c r="P39" s="2">
        <v>0.94130899999999995</v>
      </c>
    </row>
    <row r="40" spans="1:16" x14ac:dyDescent="0.25">
      <c r="A40" t="s">
        <v>16</v>
      </c>
      <c r="B40" s="15">
        <v>561721074</v>
      </c>
      <c r="C40">
        <v>475</v>
      </c>
      <c r="D40">
        <v>2025</v>
      </c>
      <c r="E40" s="2">
        <v>0.19</v>
      </c>
      <c r="F40" s="2">
        <v>0.81</v>
      </c>
      <c r="G40">
        <v>56</v>
      </c>
      <c r="H40">
        <v>1</v>
      </c>
      <c r="I40">
        <v>475</v>
      </c>
      <c r="J40" s="19">
        <v>1</v>
      </c>
      <c r="K40">
        <v>4</v>
      </c>
      <c r="L40">
        <v>108.25</v>
      </c>
      <c r="M40">
        <v>204</v>
      </c>
      <c r="N40">
        <v>45</v>
      </c>
      <c r="O40">
        <v>433</v>
      </c>
      <c r="P40" s="2">
        <v>0.91157900000000003</v>
      </c>
    </row>
    <row r="41" spans="1:16" x14ac:dyDescent="0.25">
      <c r="A41" t="s">
        <v>16</v>
      </c>
      <c r="B41" s="15">
        <v>1916445241</v>
      </c>
      <c r="C41">
        <v>450</v>
      </c>
      <c r="D41">
        <v>2050</v>
      </c>
      <c r="E41" s="2">
        <v>0.18</v>
      </c>
      <c r="F41" s="2">
        <v>0.82</v>
      </c>
      <c r="G41">
        <v>73</v>
      </c>
      <c r="H41">
        <v>1</v>
      </c>
      <c r="I41">
        <v>450</v>
      </c>
      <c r="J41" s="19">
        <v>1</v>
      </c>
      <c r="K41">
        <v>4</v>
      </c>
      <c r="L41">
        <v>98</v>
      </c>
      <c r="M41">
        <v>117</v>
      </c>
      <c r="N41">
        <v>77</v>
      </c>
      <c r="O41">
        <v>392</v>
      </c>
      <c r="P41" s="2">
        <v>0.87111099999999997</v>
      </c>
    </row>
    <row r="42" spans="1:16" x14ac:dyDescent="0.25">
      <c r="A42" t="s">
        <v>16</v>
      </c>
      <c r="B42" s="15">
        <v>1678496104</v>
      </c>
      <c r="C42">
        <v>546</v>
      </c>
      <c r="D42">
        <v>1954</v>
      </c>
      <c r="E42" s="2">
        <v>0.21840000000000001</v>
      </c>
      <c r="F42" s="2">
        <v>0.78159999999999996</v>
      </c>
      <c r="G42">
        <v>63</v>
      </c>
      <c r="H42">
        <v>1</v>
      </c>
      <c r="I42">
        <v>546</v>
      </c>
      <c r="J42" s="19">
        <v>1</v>
      </c>
      <c r="K42">
        <v>4</v>
      </c>
      <c r="L42">
        <v>125.25</v>
      </c>
      <c r="M42">
        <v>191</v>
      </c>
      <c r="N42">
        <v>59</v>
      </c>
      <c r="O42">
        <v>501</v>
      </c>
      <c r="P42" s="2">
        <v>0.91758200000000001</v>
      </c>
    </row>
    <row r="43" spans="1:16" x14ac:dyDescent="0.25">
      <c r="A43" t="s">
        <v>16</v>
      </c>
      <c r="B43" s="15">
        <v>1998694299</v>
      </c>
      <c r="C43">
        <v>963</v>
      </c>
      <c r="D43">
        <v>1537</v>
      </c>
      <c r="E43" s="2">
        <v>0.38519999999999999</v>
      </c>
      <c r="F43" s="2">
        <v>0.61480000000000001</v>
      </c>
      <c r="G43">
        <v>94</v>
      </c>
      <c r="H43">
        <v>1</v>
      </c>
      <c r="I43">
        <v>963</v>
      </c>
      <c r="J43" s="19">
        <v>1</v>
      </c>
      <c r="K43">
        <v>7</v>
      </c>
      <c r="L43">
        <v>127.57142899999999</v>
      </c>
      <c r="M43">
        <v>220</v>
      </c>
      <c r="N43">
        <v>45</v>
      </c>
      <c r="O43">
        <v>893</v>
      </c>
      <c r="P43" s="2">
        <v>0.92730999999999997</v>
      </c>
    </row>
    <row r="44" spans="1:16" x14ac:dyDescent="0.25">
      <c r="A44" t="s">
        <v>16</v>
      </c>
      <c r="B44" s="15">
        <v>1165252774</v>
      </c>
      <c r="C44">
        <v>673</v>
      </c>
      <c r="D44">
        <v>1827</v>
      </c>
      <c r="E44" s="2">
        <v>0.26919999999999999</v>
      </c>
      <c r="F44" s="2">
        <v>0.73080000000000001</v>
      </c>
      <c r="G44">
        <v>99</v>
      </c>
      <c r="H44">
        <v>1</v>
      </c>
      <c r="I44">
        <v>673</v>
      </c>
      <c r="J44" s="19">
        <v>1</v>
      </c>
      <c r="K44">
        <v>6</v>
      </c>
      <c r="L44">
        <v>93.333332999999996</v>
      </c>
      <c r="M44">
        <v>128</v>
      </c>
      <c r="N44">
        <v>50</v>
      </c>
      <c r="O44">
        <v>560</v>
      </c>
      <c r="P44" s="2">
        <v>0.83209500000000003</v>
      </c>
    </row>
    <row r="45" spans="1:16" x14ac:dyDescent="0.25">
      <c r="A45" t="s">
        <v>16</v>
      </c>
      <c r="B45" s="15">
        <v>897353366</v>
      </c>
      <c r="C45">
        <v>794</v>
      </c>
      <c r="D45">
        <v>1706</v>
      </c>
      <c r="E45" s="2">
        <v>0.31759999999999999</v>
      </c>
      <c r="F45" s="2">
        <v>0.68240000000000001</v>
      </c>
      <c r="G45">
        <v>87</v>
      </c>
      <c r="H45">
        <v>1</v>
      </c>
      <c r="I45">
        <v>794</v>
      </c>
      <c r="J45" s="19">
        <v>1</v>
      </c>
      <c r="K45">
        <v>6</v>
      </c>
      <c r="L45">
        <v>121</v>
      </c>
      <c r="M45">
        <v>178</v>
      </c>
      <c r="N45">
        <v>66</v>
      </c>
      <c r="O45">
        <v>726</v>
      </c>
      <c r="P45" s="2">
        <v>0.914358</v>
      </c>
    </row>
    <row r="46" spans="1:16" x14ac:dyDescent="0.25">
      <c r="A46" t="s">
        <v>16</v>
      </c>
      <c r="B46" s="15">
        <v>886876154</v>
      </c>
      <c r="C46">
        <v>359</v>
      </c>
      <c r="D46">
        <v>2141</v>
      </c>
      <c r="E46" s="2">
        <v>0.14360000000000001</v>
      </c>
      <c r="F46" s="2">
        <v>0.85640000000000005</v>
      </c>
      <c r="G46">
        <v>85</v>
      </c>
      <c r="H46">
        <v>1</v>
      </c>
      <c r="I46">
        <v>359</v>
      </c>
      <c r="J46" s="19">
        <v>1</v>
      </c>
      <c r="K46">
        <v>4</v>
      </c>
      <c r="L46">
        <v>71.75</v>
      </c>
      <c r="M46">
        <v>92</v>
      </c>
      <c r="N46">
        <v>59</v>
      </c>
      <c r="O46">
        <v>287</v>
      </c>
      <c r="P46" s="2">
        <v>0.79944300000000001</v>
      </c>
    </row>
    <row r="47" spans="1:16" x14ac:dyDescent="0.25">
      <c r="A47" t="s">
        <v>16</v>
      </c>
      <c r="B47" s="15">
        <v>1914150716</v>
      </c>
      <c r="C47">
        <v>218</v>
      </c>
      <c r="D47">
        <v>2282</v>
      </c>
      <c r="E47" s="2">
        <v>8.72E-2</v>
      </c>
      <c r="F47" s="2">
        <v>0.91279999999999994</v>
      </c>
      <c r="G47">
        <v>39</v>
      </c>
      <c r="H47">
        <v>1</v>
      </c>
      <c r="I47">
        <v>218</v>
      </c>
      <c r="J47" s="19">
        <v>1</v>
      </c>
      <c r="K47">
        <v>2</v>
      </c>
      <c r="L47">
        <v>93</v>
      </c>
      <c r="M47">
        <v>100</v>
      </c>
      <c r="N47">
        <v>86</v>
      </c>
      <c r="O47">
        <v>186</v>
      </c>
      <c r="P47" s="2">
        <v>0.85321100000000005</v>
      </c>
    </row>
    <row r="48" spans="1:16" x14ac:dyDescent="0.25">
      <c r="A48" t="s">
        <v>16</v>
      </c>
      <c r="B48" s="15">
        <v>109281653</v>
      </c>
      <c r="C48">
        <v>382</v>
      </c>
      <c r="D48">
        <v>2118</v>
      </c>
      <c r="E48" s="2">
        <v>0.15279999999999999</v>
      </c>
      <c r="F48" s="2">
        <v>0.84719999999999995</v>
      </c>
      <c r="G48">
        <v>46</v>
      </c>
      <c r="H48">
        <v>1</v>
      </c>
      <c r="I48">
        <v>382</v>
      </c>
      <c r="J48" s="19">
        <v>1</v>
      </c>
      <c r="K48">
        <v>4</v>
      </c>
      <c r="L48">
        <v>84.5</v>
      </c>
      <c r="M48">
        <v>106</v>
      </c>
      <c r="N48">
        <v>52</v>
      </c>
      <c r="O48">
        <v>338</v>
      </c>
      <c r="P48" s="2">
        <v>0.88481699999999996</v>
      </c>
    </row>
    <row r="49" spans="1:16" x14ac:dyDescent="0.25">
      <c r="A49" t="s">
        <v>16</v>
      </c>
      <c r="B49" s="15">
        <v>204200772</v>
      </c>
      <c r="C49">
        <v>310</v>
      </c>
      <c r="D49">
        <v>2190</v>
      </c>
      <c r="E49" s="2">
        <v>0.124</v>
      </c>
      <c r="F49" s="2">
        <v>0.876</v>
      </c>
      <c r="G49">
        <v>43</v>
      </c>
      <c r="H49">
        <v>1</v>
      </c>
      <c r="I49">
        <v>310</v>
      </c>
      <c r="J49" s="19">
        <v>1</v>
      </c>
      <c r="K49">
        <v>3</v>
      </c>
      <c r="L49">
        <v>95.333332999999996</v>
      </c>
      <c r="M49">
        <v>106</v>
      </c>
      <c r="N49">
        <v>84</v>
      </c>
      <c r="O49">
        <v>286</v>
      </c>
      <c r="P49" s="2">
        <v>0.92258099999999998</v>
      </c>
    </row>
    <row r="50" spans="1:16" x14ac:dyDescent="0.25">
      <c r="A50" t="s">
        <v>16</v>
      </c>
      <c r="B50" s="15">
        <v>1372220675</v>
      </c>
      <c r="C50">
        <v>733</v>
      </c>
      <c r="D50">
        <v>1767</v>
      </c>
      <c r="E50" s="2">
        <v>0.29320000000000002</v>
      </c>
      <c r="F50" s="2">
        <v>0.70679999999999998</v>
      </c>
      <c r="G50">
        <v>63</v>
      </c>
      <c r="H50">
        <v>1</v>
      </c>
      <c r="I50">
        <v>733</v>
      </c>
      <c r="J50" s="19">
        <v>1</v>
      </c>
      <c r="K50">
        <v>6</v>
      </c>
      <c r="L50">
        <v>113</v>
      </c>
      <c r="M50">
        <v>209</v>
      </c>
      <c r="N50">
        <v>66</v>
      </c>
      <c r="O50">
        <v>678</v>
      </c>
      <c r="P50" s="2">
        <v>0.92496599999999995</v>
      </c>
    </row>
    <row r="51" spans="1:16" x14ac:dyDescent="0.25">
      <c r="A51" t="s">
        <v>16</v>
      </c>
      <c r="B51" s="15">
        <v>603379721</v>
      </c>
      <c r="C51">
        <v>675</v>
      </c>
      <c r="D51">
        <v>1825</v>
      </c>
      <c r="E51" s="2">
        <v>0.27</v>
      </c>
      <c r="F51" s="2">
        <v>0.73</v>
      </c>
      <c r="G51">
        <v>98</v>
      </c>
      <c r="H51">
        <v>1</v>
      </c>
      <c r="I51">
        <v>675</v>
      </c>
      <c r="J51" s="19">
        <v>1</v>
      </c>
      <c r="K51">
        <v>4</v>
      </c>
      <c r="L51">
        <v>144.5</v>
      </c>
      <c r="M51">
        <v>224</v>
      </c>
      <c r="N51">
        <v>86</v>
      </c>
      <c r="O51">
        <v>578</v>
      </c>
      <c r="P51" s="2">
        <v>0.85629599999999995</v>
      </c>
    </row>
    <row r="52" spans="1:16" x14ac:dyDescent="0.25">
      <c r="A52" t="s">
        <v>30</v>
      </c>
      <c r="C52">
        <f>SUBTOTAL(101,BSP_depth20_room10_padding2[floors])</f>
        <v>722.44</v>
      </c>
      <c r="D52">
        <f>SUBTOTAL(101,BSP_depth20_room10_padding2[walls])</f>
        <v>1777.56</v>
      </c>
      <c r="E52" s="3">
        <f>SUBTOTAL(101,BSP_depth20_room10_padding2[floor_percent])</f>
        <v>0.28897599999999996</v>
      </c>
      <c r="F52" s="3">
        <f>SUBTOTAL(101,BSP_depth20_room10_padding2[wall_percent])</f>
        <v>0.71102399999999988</v>
      </c>
      <c r="G52">
        <f>SUBTOTAL(101,BSP_depth20_room10_padding2[longest_shortest_path])</f>
        <v>81.3</v>
      </c>
      <c r="H52">
        <f>SUBTOTAL(101,BSP_depth20_room10_padding2[component_count])</f>
        <v>1</v>
      </c>
      <c r="I52">
        <f>SUBTOTAL(101,BSP_depth20_room10_padding2[max_component_size])</f>
        <v>722.44</v>
      </c>
      <c r="J52" s="19">
        <f>SUBTOTAL(101,BSP_depth20_room10_padding2[connectivity_ratio])</f>
        <v>1</v>
      </c>
      <c r="K52">
        <f>SUBTOTAL(101,BSP_depth20_room10_padding2[room_count])</f>
        <v>5.86</v>
      </c>
      <c r="L52">
        <f>SUBTOTAL(101,BSP_depth20_room10_padding2[avg_room_size])</f>
        <v>111.22870633999999</v>
      </c>
      <c r="M52">
        <f>SUBTOTAL(101,BSP_depth20_room10_padding2[max_room_size])</f>
        <v>177.64</v>
      </c>
      <c r="N52">
        <f>SUBTOTAL(101,BSP_depth20_room10_padding2[min_room_size])</f>
        <v>64.959999999999994</v>
      </c>
      <c r="O52">
        <f>SUBTOTAL(101,BSP_depth20_room10_padding2[room_tiles])</f>
        <v>654.16</v>
      </c>
      <c r="P52" s="3">
        <f>SUBTOTAL(101,BSP_depth20_room10_padding2[room_ratio])</f>
        <v>0.90012813999999997</v>
      </c>
    </row>
    <row r="53" spans="1:16" x14ac:dyDescent="0.25">
      <c r="A53" s="17" t="s">
        <v>36</v>
      </c>
      <c r="B53" s="17"/>
      <c r="C53" s="17"/>
      <c r="D53" s="17"/>
      <c r="E53" s="17"/>
    </row>
  </sheetData>
  <mergeCells count="1">
    <mergeCell ref="A53:E53"/>
  </mergeCells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479E-96BD-4767-ADFF-5E8856C0BB61}">
  <dimension ref="A1:K20"/>
  <sheetViews>
    <sheetView zoomScaleNormal="100" workbookViewId="0">
      <selection activeCell="H15" sqref="H15"/>
    </sheetView>
  </sheetViews>
  <sheetFormatPr defaultRowHeight="15" x14ac:dyDescent="0.25"/>
  <cols>
    <col min="1" max="1" width="10.5703125" bestFit="1" customWidth="1"/>
    <col min="2" max="2" width="16.7109375" bestFit="1" customWidth="1"/>
    <col min="3" max="3" width="14.7109375" bestFit="1" customWidth="1"/>
    <col min="4" max="4" width="13.5703125" bestFit="1" customWidth="1"/>
    <col min="5" max="5" width="17.42578125" bestFit="1" customWidth="1"/>
    <col min="6" max="6" width="15.28515625" bestFit="1" customWidth="1"/>
    <col min="7" max="8" width="27.28515625" bestFit="1" customWidth="1"/>
    <col min="9" max="9" width="27" bestFit="1" customWidth="1"/>
    <col min="10" max="10" width="26.85546875" bestFit="1" customWidth="1"/>
    <col min="11" max="11" width="16" bestFit="1" customWidth="1"/>
  </cols>
  <sheetData>
    <row r="1" spans="1:11" x14ac:dyDescent="0.25">
      <c r="A1" s="18" t="s">
        <v>18</v>
      </c>
      <c r="B1" s="18"/>
      <c r="C1" s="18"/>
      <c r="D1" s="18" t="s">
        <v>28</v>
      </c>
      <c r="E1" s="18"/>
      <c r="F1" s="18"/>
      <c r="G1" s="18"/>
      <c r="H1" s="18"/>
      <c r="I1" s="18"/>
      <c r="J1" s="18"/>
      <c r="K1" s="12"/>
    </row>
    <row r="2" spans="1:11" ht="15.75" thickBot="1" x14ac:dyDescent="0.3">
      <c r="A2" s="14" t="s">
        <v>19</v>
      </c>
      <c r="B2" s="14" t="s">
        <v>20</v>
      </c>
      <c r="C2" s="14" t="s">
        <v>21</v>
      </c>
      <c r="D2" s="14" t="s">
        <v>29</v>
      </c>
      <c r="E2" s="14" t="s">
        <v>22</v>
      </c>
      <c r="F2" s="14" t="s">
        <v>26</v>
      </c>
      <c r="G2" s="14" t="s">
        <v>24</v>
      </c>
      <c r="H2" s="14" t="s">
        <v>25</v>
      </c>
      <c r="I2" s="14" t="s">
        <v>23</v>
      </c>
      <c r="J2" s="14" t="s">
        <v>27</v>
      </c>
    </row>
    <row r="3" spans="1:11" x14ac:dyDescent="0.25">
      <c r="A3" s="8">
        <v>2</v>
      </c>
      <c r="B3" s="8">
        <v>5</v>
      </c>
      <c r="C3" s="8">
        <v>2</v>
      </c>
      <c r="D3" s="9">
        <f>SUBTOTAL(101,BSP_depth2_room5_padding2[floor_percent])</f>
        <v>0.41029599999999994</v>
      </c>
      <c r="E3" s="8">
        <f>SUBTOTAL(101,BSP_depth2_room5_padding2[longest_shortest_path])</f>
        <v>80.98</v>
      </c>
      <c r="F3" s="8">
        <f>SUBTOTAL(101,BSP_depth2_room5_padding2[room_count])</f>
        <v>4.0199999999999996</v>
      </c>
      <c r="G3" s="8">
        <f>SUBTOTAL(101,BSP_depth2_room5_padding2[max_room_size])</f>
        <v>466.48</v>
      </c>
      <c r="H3" s="8">
        <f>SUBTOTAL(101,BSP_depth2_room5_padding2[min_room_size])</f>
        <v>81.58</v>
      </c>
      <c r="I3" s="8">
        <f>SUBTOTAL(101,BSP_depth2_room5_padding2[avg_room_size])</f>
        <v>243.33700000000002</v>
      </c>
      <c r="J3" s="9">
        <f>SUBTOTAL(101,BSP_depth2_room5_padding2[room_ratio])</f>
        <v>0.9522204799999997</v>
      </c>
    </row>
    <row r="4" spans="1:11" x14ac:dyDescent="0.25">
      <c r="A4" s="8">
        <v>10</v>
      </c>
      <c r="B4" s="8">
        <v>5</v>
      </c>
      <c r="C4" s="8">
        <v>2</v>
      </c>
      <c r="D4" s="4">
        <f>SUBTOTAL(101,BSP_depth10_room5_padding2[floor_percent])</f>
        <v>0.40994400000000009</v>
      </c>
      <c r="E4" s="5">
        <f>SUBTOTAL(101,BSP_depth10_room5_padding2[longest_shortest_path])</f>
        <v>129.34</v>
      </c>
      <c r="F4" s="5">
        <f>SUBTOTAL(101,BSP_depth10_room5_padding2[room_count])</f>
        <v>26</v>
      </c>
      <c r="G4" s="5">
        <f>SUBTOTAL(101,BSP_depth10_room5_padding2[max_room_size])</f>
        <v>107.72</v>
      </c>
      <c r="H4" s="5">
        <f>SUBTOTAL(101,BSP_depth10_room5_padding2[min_room_size])</f>
        <v>9.92</v>
      </c>
      <c r="I4" s="5">
        <f>SUBTOTAL(101,BSP_depth10_room5_padding2[avg_room_size])</f>
        <v>31.839915939999997</v>
      </c>
      <c r="J4" s="4">
        <f>SUBTOTAL(101,BSP_depth10_room5_padding2[room_ratio])</f>
        <v>0.7913038</v>
      </c>
    </row>
    <row r="5" spans="1:11" x14ac:dyDescent="0.25">
      <c r="A5" s="5">
        <v>20</v>
      </c>
      <c r="B5" s="5">
        <v>5</v>
      </c>
      <c r="C5" s="5">
        <v>2</v>
      </c>
      <c r="D5" s="7">
        <f>SUBTOTAL(101,BSP_depth20_room5_padding2[floor_percent])</f>
        <v>0.40964</v>
      </c>
      <c r="E5" s="5">
        <f>SUBTOTAL(101,BSP_depth20_room5_padding2[longest_shortest_path])</f>
        <v>126.6</v>
      </c>
      <c r="F5" s="5">
        <f>SUBTOTAL(101,BSP_depth20_room5_padding2[room_count])</f>
        <v>26.18</v>
      </c>
      <c r="G5" s="5">
        <f>SUBTOTAL(101,BSP_depth20_room5_padding2[max_room_size])</f>
        <v>112.32</v>
      </c>
      <c r="H5" s="5">
        <f>SUBTOTAL(101,BSP_depth20_room5_padding2[min_room_size])</f>
        <v>9.42</v>
      </c>
      <c r="I5" s="5">
        <f>SUBTOTAL(101,BSP_depth20_room5_padding2[avg_room_size])</f>
        <v>31.305296660000003</v>
      </c>
      <c r="J5" s="4">
        <f>SUBTOTAL(101,BSP_depth20_room5_padding2[room_ratio])</f>
        <v>0.78826256000000006</v>
      </c>
    </row>
    <row r="6" spans="1:11" x14ac:dyDescent="0.25">
      <c r="A6" s="5">
        <v>2</v>
      </c>
      <c r="B6" s="5">
        <v>10</v>
      </c>
      <c r="C6" s="5">
        <v>2</v>
      </c>
      <c r="D6" s="6">
        <f>SUBTOTAL(101,BSP_depth2_room10_padding2[floor_percent])</f>
        <v>0.39681600000000006</v>
      </c>
      <c r="E6" s="5">
        <f>SUBTOTAL(101,BSP_depth2_room10_padding2[longest_shortest_path])</f>
        <v>69.88</v>
      </c>
      <c r="F6" s="5">
        <f>SUBTOTAL(101,BSP_depth2_room10_padding2[room_count])</f>
        <v>3.54</v>
      </c>
      <c r="G6" s="5">
        <f>SUBTOTAL(101,BSP_depth2_room10_padding2[max_room_size])</f>
        <v>451.28</v>
      </c>
      <c r="H6" s="5">
        <f>SUBTOTAL(101,BSP_depth2_room10_padding2[min_room_size])</f>
        <v>163.12</v>
      </c>
      <c r="I6" s="5">
        <f>SUBTOTAL(101,BSP_depth2_room10_padding2[avg_room_size])</f>
        <v>287.14166670000003</v>
      </c>
      <c r="J6" s="6">
        <f>SUBTOTAL(101,BSP_depth2_room10_padding2[room_ratio])</f>
        <v>0.96167038000000038</v>
      </c>
    </row>
    <row r="7" spans="1:11" x14ac:dyDescent="0.25">
      <c r="A7" s="10">
        <v>10</v>
      </c>
      <c r="B7" s="10">
        <v>10</v>
      </c>
      <c r="C7" s="10">
        <v>2</v>
      </c>
      <c r="D7" s="4">
        <f>SUBTOTAL(101,BSP_depth10_room10_padding2[floor_percent])</f>
        <v>0.323656</v>
      </c>
      <c r="E7" s="5">
        <f>SUBTOTAL(101,BSP_depth10_room10_padding2[longest_shortest_path])</f>
        <v>88.54</v>
      </c>
      <c r="F7" s="5">
        <f>SUBTOTAL(101,BSP_depth10_room10_padding2[room_count])</f>
        <v>6.68</v>
      </c>
      <c r="G7" s="5">
        <f>SUBTOTAL(101,BSP_depth10_room10_padding2[max_room_size])</f>
        <v>173.12</v>
      </c>
      <c r="H7" s="5">
        <f>SUBTOTAL(101,BSP_depth10_room10_padding2[min_room_size])</f>
        <v>65.400000000000006</v>
      </c>
      <c r="I7" s="5">
        <f>SUBTOTAL(101,BSP_depth10_room10_padding2[avg_room_size])</f>
        <v>109.59865876000002</v>
      </c>
      <c r="J7" s="4">
        <f>SUBTOTAL(101,BSP_depth10_room10_padding2[room_ratio])</f>
        <v>0.89917091999999965</v>
      </c>
    </row>
    <row r="8" spans="1:11" x14ac:dyDescent="0.25">
      <c r="A8" s="5">
        <v>20</v>
      </c>
      <c r="B8" s="5">
        <v>10</v>
      </c>
      <c r="C8" s="5">
        <v>2</v>
      </c>
      <c r="D8" s="6">
        <f>SUBTOTAL(101,BSP_depth20_room10_padding2[floor_percent])</f>
        <v>0.28897599999999996</v>
      </c>
      <c r="E8" s="5">
        <f>SUBTOTAL(101,BSP_depth20_room10_padding2[longest_shortest_path])</f>
        <v>81.3</v>
      </c>
      <c r="F8" s="5">
        <f>SUBTOTAL(101,BSP_depth20_room10_padding2[room_count])</f>
        <v>5.86</v>
      </c>
      <c r="G8" s="5">
        <f>SUBTOTAL(101,BSP_depth20_room10_padding2[max_room_size])</f>
        <v>177.64</v>
      </c>
      <c r="H8" s="5">
        <f>SUBTOTAL(101,BSP_depth20_room10_padding2[min_room_size])</f>
        <v>64.959999999999994</v>
      </c>
      <c r="I8" s="5">
        <f>SUBTOTAL(101,BSP_depth20_room10_padding2[avg_room_size])</f>
        <v>111.22870633999999</v>
      </c>
      <c r="J8" s="6">
        <f>SUBTOTAL(101,BSP_depth20_room10_padding2[room_ratio])</f>
        <v>0.90012813999999997</v>
      </c>
    </row>
    <row r="13" spans="1:11" x14ac:dyDescent="0.25">
      <c r="B13" s="11"/>
      <c r="E13" s="11"/>
    </row>
    <row r="14" spans="1:11" x14ac:dyDescent="0.25">
      <c r="B14" s="12"/>
      <c r="C14" s="12"/>
      <c r="E14" s="12"/>
      <c r="F14" s="12"/>
      <c r="G14" s="12"/>
      <c r="H14" s="12"/>
    </row>
    <row r="15" spans="1:11" x14ac:dyDescent="0.25">
      <c r="C15" s="13"/>
      <c r="F15" s="13"/>
      <c r="G15" s="13"/>
      <c r="H15" s="13"/>
    </row>
    <row r="16" spans="1:11" x14ac:dyDescent="0.25">
      <c r="C16" s="13"/>
      <c r="F16" s="13"/>
      <c r="G16" s="13"/>
      <c r="H16" s="13"/>
    </row>
    <row r="17" spans="3:8" x14ac:dyDescent="0.25">
      <c r="C17" s="13"/>
      <c r="F17" s="13"/>
      <c r="G17" s="13"/>
      <c r="H17" s="13"/>
    </row>
    <row r="18" spans="3:8" x14ac:dyDescent="0.25">
      <c r="F18" s="13"/>
      <c r="G18" s="13"/>
      <c r="H18" s="13"/>
    </row>
    <row r="19" spans="3:8" x14ac:dyDescent="0.25">
      <c r="F19" s="13"/>
      <c r="G19" s="13"/>
      <c r="H19" s="13"/>
    </row>
    <row r="20" spans="3:8" x14ac:dyDescent="0.25">
      <c r="F20" s="13"/>
      <c r="G20" s="13"/>
      <c r="H20" s="13"/>
    </row>
  </sheetData>
  <mergeCells count="2">
    <mergeCell ref="A1:C1"/>
    <mergeCell ref="D1:J1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B49CE0-2399-47C5-B45B-B992144534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BSP_depth2_room5_padding2</vt:lpstr>
      <vt:lpstr>BSP_depth10_room5_padding2</vt:lpstr>
      <vt:lpstr>BSP_depth20_room5_padding2</vt:lpstr>
      <vt:lpstr>BSP_depth2_room10_padding2</vt:lpstr>
      <vt:lpstr>BSP_depth10_room10_padding2</vt:lpstr>
      <vt:lpstr>BSP_depth20_room10_padding2</vt:lpstr>
      <vt:lpstr>Souhrn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w8</dc:creator>
  <cp:lastModifiedBy>w8</cp:lastModifiedBy>
  <dcterms:created xsi:type="dcterms:W3CDTF">2026-04-17T14:43:56Z</dcterms:created>
  <dcterms:modified xsi:type="dcterms:W3CDTF">2026-04-21T09:49:18Z</dcterms:modified>
</cp:coreProperties>
</file>