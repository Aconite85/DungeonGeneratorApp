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škola\Bp\"/>
    </mc:Choice>
  </mc:AlternateContent>
  <xr:revisionPtr revIDLastSave="0" documentId="13_ncr:1_{0629AA44-FE3B-44B5-9166-554075C247F0}" xr6:coauthVersionLast="47" xr6:coauthVersionMax="47" xr10:uidLastSave="{00000000-0000-0000-0000-000000000000}"/>
  <bookViews>
    <workbookView xWindow="-120" yWindow="-120" windowWidth="29040" windowHeight="15840" tabRatio="1000" activeTab="6" xr2:uid="{0D0E39AF-7824-41A6-86E2-F397E6796355}"/>
  </bookViews>
  <sheets>
    <sheet name="AgRan_dir5_room5_chance0_step75" sheetId="2" r:id="rId1"/>
    <sheet name="AgRan_dir5_room5_chance5_step75" sheetId="3" r:id="rId2"/>
    <sheet name="AgRan_dir5_room5_chance15_step7" sheetId="4" r:id="rId3"/>
    <sheet name="AgRan_dir5_room5_chance25_step7" sheetId="6" r:id="rId4"/>
    <sheet name="AgRan_dir5_room5_chance50_step7" sheetId="7" r:id="rId5"/>
    <sheet name="AgRan_dir5_room5_chance100_step" sheetId="8" r:id="rId6"/>
    <sheet name="Souhrn" sheetId="1" r:id="rId7"/>
  </sheets>
  <definedNames>
    <definedName name="ExternalData_1" localSheetId="1" hidden="1">AgRan_dir5_room5_chance5_step75!$A$1:$P$51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2" i="4" l="1"/>
  <c r="E52" i="3"/>
  <c r="G52" i="2"/>
  <c r="E52" i="2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  <c r="H4" i="1"/>
  <c r="G4" i="1"/>
  <c r="E4" i="1"/>
  <c r="F4" i="1"/>
  <c r="D4" i="1"/>
  <c r="H3" i="1"/>
  <c r="G3" i="1"/>
  <c r="F3" i="1"/>
  <c r="E3" i="1"/>
  <c r="D3" i="1"/>
  <c r="E52" i="6"/>
  <c r="P52" i="8"/>
  <c r="O52" i="8"/>
  <c r="N52" i="8"/>
  <c r="M52" i="8"/>
  <c r="L52" i="8"/>
  <c r="K52" i="8"/>
  <c r="J52" i="8"/>
  <c r="I52" i="8"/>
  <c r="H52" i="8"/>
  <c r="G52" i="8"/>
  <c r="F52" i="8"/>
  <c r="D52" i="8"/>
  <c r="C52" i="8"/>
  <c r="E52" i="8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P52" i="6"/>
  <c r="O52" i="6"/>
  <c r="N52" i="6"/>
  <c r="M52" i="6"/>
  <c r="L52" i="6"/>
  <c r="K52" i="6"/>
  <c r="J52" i="6"/>
  <c r="I52" i="6"/>
  <c r="H52" i="6"/>
  <c r="C52" i="6"/>
  <c r="D52" i="6"/>
  <c r="G52" i="6"/>
  <c r="F52" i="6"/>
  <c r="P52" i="4"/>
  <c r="O52" i="4"/>
  <c r="N52" i="4"/>
  <c r="M52" i="4"/>
  <c r="L52" i="4"/>
  <c r="K52" i="4"/>
  <c r="J52" i="4"/>
  <c r="I52" i="4"/>
  <c r="H52" i="4"/>
  <c r="G52" i="4"/>
  <c r="F52" i="4"/>
  <c r="D52" i="4"/>
  <c r="C52" i="4"/>
  <c r="P52" i="3"/>
  <c r="O52" i="3"/>
  <c r="N52" i="3"/>
  <c r="M52" i="3"/>
  <c r="L52" i="3"/>
  <c r="K52" i="3"/>
  <c r="J52" i="3"/>
  <c r="I52" i="3"/>
  <c r="H52" i="3"/>
  <c r="G52" i="3"/>
  <c r="F52" i="3"/>
  <c r="D52" i="3"/>
  <c r="C52" i="3"/>
  <c r="P52" i="2"/>
  <c r="O52" i="2"/>
  <c r="N52" i="2"/>
  <c r="M52" i="2"/>
  <c r="L52" i="2"/>
  <c r="K52" i="2"/>
  <c r="J52" i="2"/>
  <c r="I52" i="2"/>
  <c r="H52" i="2"/>
  <c r="F52" i="2"/>
  <c r="D52" i="2"/>
  <c r="C52" i="2"/>
</calcChain>
</file>

<file path=xl/sharedStrings.xml><?xml version="1.0" encoding="utf-8"?>
<sst xmlns="http://schemas.openxmlformats.org/spreadsheetml/2006/main" count="416" uniqueCount="32">
  <si>
    <t>algorithm</t>
  </si>
  <si>
    <t>seed</t>
  </si>
  <si>
    <t>floors</t>
  </si>
  <si>
    <t>walls</t>
  </si>
  <si>
    <t>floor_percent</t>
  </si>
  <si>
    <t>wall_percent</t>
  </si>
  <si>
    <t>longest_shortest_path</t>
  </si>
  <si>
    <t>component_count</t>
  </si>
  <si>
    <t>max_component_size</t>
  </si>
  <si>
    <t>connectivity_ratio</t>
  </si>
  <si>
    <t>room_count</t>
  </si>
  <si>
    <t>avg_room_size</t>
  </si>
  <si>
    <t>max_room_size</t>
  </si>
  <si>
    <t>min_room_size</t>
  </si>
  <si>
    <t>room_tiles</t>
  </si>
  <si>
    <t>room_ratio</t>
  </si>
  <si>
    <t>DungeonGeneratorAgentRandom</t>
  </si>
  <si>
    <t>Hodnoty parametrů</t>
  </si>
  <si>
    <t>Průměrné hodnoty z 50 generovaných dungeonů</t>
  </si>
  <si>
    <t>Podíl podlah</t>
  </si>
  <si>
    <t>Nejdelší cesta</t>
  </si>
  <si>
    <t>Počet místností</t>
  </si>
  <si>
    <t>Průměrná velikost místnosti</t>
  </si>
  <si>
    <t>Poměr místností</t>
  </si>
  <si>
    <t>Chance Increase</t>
  </si>
  <si>
    <t>Průměr</t>
  </si>
  <si>
    <t>Hodnoty parametrů: Direction chance = 5, Room chance = 5, Chance increase = 0, Max Steps = 750</t>
  </si>
  <si>
    <t>Hodnoty parametrů: Direction chance = 5, Room chance = 5, Chance increase = 5, Max Steps = 750</t>
  </si>
  <si>
    <t>Hodnoty parametrů: Direction chance = 5, Room chance = 5, Chance increase = 100, Max Steps = 750</t>
  </si>
  <si>
    <t>Hodnoty parametrů: Direction chance = 5, Room chance = 5, Chance increase = 50, Max Steps = 750</t>
  </si>
  <si>
    <t>Hodnoty parametrů: Direction chance = 5, Room chance = 5, Chance increase = 25, Max Steps = 750</t>
  </si>
  <si>
    <t>Hodnoty parametrů: Direction chance = 5, Room chance = 5, Chance increase = 15, Max Steps =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</si>
</sst>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1" applyFont="1"/>
    <xf numFmtId="9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2" fillId="0" borderId="1" xfId="0" applyNumberFormat="1" applyFont="1" applyBorder="1"/>
    <xf numFmtId="0" fontId="2" fillId="0" borderId="1" xfId="0" applyFont="1" applyBorder="1"/>
    <xf numFmtId="9" fontId="2" fillId="0" borderId="3" xfId="0" applyNumberFormat="1" applyFont="1" applyBorder="1"/>
    <xf numFmtId="0" fontId="2" fillId="0" borderId="3" xfId="0" applyFont="1" applyBorder="1"/>
    <xf numFmtId="0" fontId="3" fillId="0" borderId="0" xfId="0" applyFont="1"/>
    <xf numFmtId="0" fontId="0" fillId="0" borderId="0" xfId="0" applyAlignment="1">
      <alignment horizontal="center" vertical="center"/>
    </xf>
    <xf numFmtId="9" fontId="2" fillId="0" borderId="0" xfId="0" applyNumberFormat="1" applyFont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1" applyNumberFormat="1" applyFont="1"/>
    <xf numFmtId="0" fontId="0" fillId="0" borderId="0" xfId="0" applyNumberFormat="1"/>
  </cellXfs>
  <cellStyles count="2">
    <cellStyle name="Normální" xfId="0" builtinId="0"/>
    <cellStyle name="Procenta" xfId="1" builtinId="5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30" formatCode="@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18B57-47C2-405E-B8AD-1EC7B2CF2A8D}" name="AgRan_dir5_room5_chance0_step750" displayName="AgRan_dir5_room5_chance0_step750" ref="A1:P52" totalsRowCount="1">
  <autoFilter ref="A1:P51" xr:uid="{DC818B57-47C2-405E-B8AD-1EC7B2CF2A8D}"/>
  <tableColumns count="16">
    <tableColumn id="1" xr3:uid="{5FCD9EAC-F6D0-43F8-A5C8-615BA9E52E0A}" name="algorithm" totalsRowLabel="Průměr" dataDxfId="43"/>
    <tableColumn id="2" xr3:uid="{D3007CB4-8C65-4716-A4AB-C98CA0EF62A7}" name="seed" dataDxfId="42" totalsRowDxfId="41"/>
    <tableColumn id="3" xr3:uid="{E6591DD9-48E6-4294-8656-F2CCC64D78E2}" name="floors" totalsRowFunction="average"/>
    <tableColumn id="4" xr3:uid="{CE2B577F-6813-498E-8F7E-3A4AAC161AF5}" name="walls" totalsRowFunction="average"/>
    <tableColumn id="5" xr3:uid="{AA74EC2B-2339-49FB-832D-CA19B034E8F8}" name="floor_percent" totalsRowFunction="stdDev" totalsRowDxfId="40" dataCellStyle="Procenta"/>
    <tableColumn id="6" xr3:uid="{B18ACC9B-EF77-4410-9F95-255C61004141}" name="wall_percent" totalsRowFunction="average" totalsRowDxfId="39" dataCellStyle="Procenta"/>
    <tableColumn id="7" xr3:uid="{394EB4CD-D7D9-4078-97FA-268A805C5C20}" name="longest_shortest_path" totalsRowFunction="stdDev"/>
    <tableColumn id="8" xr3:uid="{9DB93E74-B1A3-4072-955D-7D4CD3C2D553}" name="component_count" totalsRowFunction="average"/>
    <tableColumn id="9" xr3:uid="{AE6F1CA1-1168-4E0E-8044-A9EB98652725}" name="max_component_size" totalsRowFunction="average"/>
    <tableColumn id="10" xr3:uid="{8513C5DE-89D5-4A57-965A-8D94B08BF227}" name="connectivity_ratio" totalsRowFunction="average" dataDxfId="11" totalsRowDxfId="10" dataCellStyle="Procenta" totalsRowCellStyle="Procenta"/>
    <tableColumn id="11" xr3:uid="{A367088F-F511-4430-98F8-9D050B8DA6C5}" name="room_count" totalsRowFunction="average"/>
    <tableColumn id="12" xr3:uid="{5CC3A954-C1E1-4D03-A7E4-8959C40D860F}" name="avg_room_size" totalsRowFunction="average" dataDxfId="38"/>
    <tableColumn id="13" xr3:uid="{9EC6CDBC-1F6A-45D8-8C41-18864B9D43DF}" name="max_room_size" totalsRowFunction="average"/>
    <tableColumn id="14" xr3:uid="{BEAC4EB0-5D69-432B-9B71-C762FA9EC114}" name="min_room_size" totalsRowFunction="average"/>
    <tableColumn id="15" xr3:uid="{DFF31DCF-6422-49A9-A312-8510A359C665}" name="room_tiles" totalsRowFunction="average"/>
    <tableColumn id="16" xr3:uid="{1023958C-F2B9-45AB-B00C-4A0EE6CF7C78}" name="room_ratio" totalsRowFunction="average" totalsRowDxfId="37" dataCellStyle="Procen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B4277-DA52-4D87-83D6-B0594C70FA11}" name="AgRan_dir5_room5_chance5_step750" displayName="AgRan_dir5_room5_chance5_step750" ref="A1:P52" totalsRowCount="1">
  <autoFilter ref="A1:P51" xr:uid="{327B4277-DA52-4D87-83D6-B0594C70FA11}"/>
  <tableColumns count="16">
    <tableColumn id="1" xr3:uid="{ADA43C7B-75C9-4E97-A3E7-338926790C58}" name="algorithm" totalsRowLabel="Průměr" dataDxfId="36"/>
    <tableColumn id="2" xr3:uid="{A9FA2EC7-6DD0-4A45-9711-CD4E185799C8}" name="seed" dataDxfId="35" totalsRowDxfId="34"/>
    <tableColumn id="3" xr3:uid="{83644313-75A1-4793-A97C-A3767D27FE95}" name="floors" totalsRowFunction="average"/>
    <tableColumn id="4" xr3:uid="{7F1301EF-C934-4F61-8E49-9E5D5EA9193A}" name="walls" totalsRowFunction="average"/>
    <tableColumn id="5" xr3:uid="{52AC6340-951D-490A-B681-F8890383630D}" name="floor_percent" totalsRowFunction="average" totalsRowDxfId="33" dataCellStyle="Procenta"/>
    <tableColumn id="6" xr3:uid="{5DD4DE72-B980-48D3-97DA-2064FDC68CE5}" name="wall_percent" totalsRowFunction="average" totalsRowDxfId="32" dataCellStyle="Procenta"/>
    <tableColumn id="7" xr3:uid="{3317F784-15F7-48FB-B8D0-508093BE120F}" name="longest_shortest_path" totalsRowFunction="average"/>
    <tableColumn id="8" xr3:uid="{692F7DD9-3C42-42FE-AEFF-3FBEF6EC3718}" name="component_count" totalsRowFunction="average"/>
    <tableColumn id="9" xr3:uid="{69707A5C-3449-4CC0-8091-5160B84AC090}" name="max_component_size" totalsRowFunction="average"/>
    <tableColumn id="10" xr3:uid="{180C9F99-2D3B-4EBE-AD57-0D6B2786CD78}" name="connectivity_ratio" totalsRowFunction="average" dataDxfId="9" totalsRowDxfId="8" dataCellStyle="Procenta" totalsRowCellStyle="Procenta"/>
    <tableColumn id="11" xr3:uid="{991679C0-435C-4E54-8D61-92D91479A7D9}" name="room_count" totalsRowFunction="average"/>
    <tableColumn id="12" xr3:uid="{A3F76A16-B76E-458F-92E3-8839E6A2B517}" name="avg_room_size" totalsRowFunction="average" dataDxfId="31"/>
    <tableColumn id="13" xr3:uid="{22229390-2B15-4856-A140-620A3649F605}" name="max_room_size" totalsRowFunction="average"/>
    <tableColumn id="14" xr3:uid="{E4606A78-F189-4214-A374-9E682BC7818F}" name="min_room_size" totalsRowFunction="average"/>
    <tableColumn id="15" xr3:uid="{94E07684-50AD-4D6A-8111-7D78D08ECB01}" name="room_tiles" totalsRowFunction="average"/>
    <tableColumn id="16" xr3:uid="{950CF513-9361-48D8-ADBD-467A19595574}" name="room_ratio" totalsRowFunction="average" totalsRowDxfId="30" dataCellStyle="Procen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06F3E-08C6-455B-A05F-C2D83C9E0A59}" name="AgRan_dir5_room5_chance15_step750" displayName="AgRan_dir5_room5_chance15_step750" ref="A1:P52" totalsRowCount="1">
  <autoFilter ref="A1:P51" xr:uid="{BCF06F3E-08C6-455B-A05F-C2D83C9E0A59}"/>
  <tableColumns count="16">
    <tableColumn id="1" xr3:uid="{F389871E-086B-41E9-AAD8-BCAB8A1CB50A}" name="algorithm" totalsRowLabel="Průměr" dataDxfId="29"/>
    <tableColumn id="2" xr3:uid="{15AF96CE-9F20-4A8C-91A9-BF4A0FF8B18D}" name="seed" dataDxfId="28"/>
    <tableColumn id="3" xr3:uid="{A1FCDB18-862F-4E85-96D4-5DBBA5FD850D}" name="floors" totalsRowFunction="average"/>
    <tableColumn id="4" xr3:uid="{4335DD1E-0999-46F9-BF36-D19848FC5524}" name="walls" totalsRowFunction="average"/>
    <tableColumn id="5" xr3:uid="{4BB4913D-2FD9-4E46-BE52-DDF291245901}" name="floor_percent" totalsRowFunction="stdDev" totalsRowDxfId="27" dataCellStyle="Procenta"/>
    <tableColumn id="6" xr3:uid="{47D68DF4-2D9D-40EE-8047-6B3383C544D4}" name="wall_percent" totalsRowFunction="average" totalsRowDxfId="26" dataCellStyle="Procenta"/>
    <tableColumn id="7" xr3:uid="{DFF0DC83-CE8A-43D2-8796-F25C75DA9B98}" name="longest_shortest_path" totalsRowFunction="average"/>
    <tableColumn id="8" xr3:uid="{8C5A240E-1B32-40F8-A2F3-3D22DFE88F35}" name="component_count" totalsRowFunction="average"/>
    <tableColumn id="9" xr3:uid="{0CBF8883-2D5B-455A-968C-2CDE55BE6BC3}" name="max_component_size" totalsRowFunction="average"/>
    <tableColumn id="10" xr3:uid="{28B59BE6-EB4D-41FA-B121-582DAA144CDF}" name="connectivity_ratio" totalsRowFunction="average" dataDxfId="7" totalsRowDxfId="6" dataCellStyle="Procenta" totalsRowCellStyle="Procenta"/>
    <tableColumn id="11" xr3:uid="{A7120A7F-FC1C-463B-9221-D10F848902EF}" name="room_count" totalsRowFunction="average"/>
    <tableColumn id="12" xr3:uid="{11DCCCA4-1CCC-4C0C-9CDC-18DE8EC53800}" name="avg_room_size" totalsRowFunction="average" dataDxfId="25"/>
    <tableColumn id="13" xr3:uid="{C3A69837-82E3-431D-804B-1F33BDC5511B}" name="max_room_size" totalsRowFunction="average"/>
    <tableColumn id="14" xr3:uid="{86E22C3C-1439-4D5C-84C0-C0624AC0EDC9}" name="min_room_size" totalsRowFunction="average"/>
    <tableColumn id="15" xr3:uid="{EA2B8BC3-BDE3-4021-8D06-886EC0D00234}" name="room_tiles" totalsRowFunction="average"/>
    <tableColumn id="16" xr3:uid="{04C050C2-828E-40AA-9396-ECEF0121071B}" name="room_ratio" totalsRowFunction="average" totalsRowDxfId="24" dataCellStyle="Procent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ACC609-7311-49ED-A253-78343C7A1C84}" name="AgRan_dir5_room5_chance25_step750" displayName="AgRan_dir5_room5_chance25_step750" ref="A1:P52" totalsRowCount="1">
  <autoFilter ref="A1:P51" xr:uid="{E2ACC609-7311-49ED-A253-78343C7A1C84}"/>
  <tableColumns count="16">
    <tableColumn id="1" xr3:uid="{85E66CE2-6209-48A1-829B-3C58477275F8}" name="algorithm" totalsRowLabel="Průměr" dataDxfId="23"/>
    <tableColumn id="2" xr3:uid="{A19DC8DF-C66A-4F5D-AB75-BE5D83C13C49}" name="seed" dataDxfId="22"/>
    <tableColumn id="3" xr3:uid="{4A61732E-FCD7-41EA-87CE-ABCA2483E940}" name="floors" totalsRowFunction="average"/>
    <tableColumn id="4" xr3:uid="{8EF45651-3E8A-471D-B8D1-848E795380A1}" name="walls" totalsRowFunction="average"/>
    <tableColumn id="5" xr3:uid="{3A14C046-3986-4998-AA92-0586A7890A41}" name="floor_percent" totalsRowFunction="average" totalsRowDxfId="21" dataCellStyle="Procenta"/>
    <tableColumn id="6" xr3:uid="{3D221152-1BA4-48B7-BB5C-A169D1F11A03}" name="wall_percent" totalsRowFunction="average" totalsRowDxfId="20" dataCellStyle="Procenta"/>
    <tableColumn id="7" xr3:uid="{A9615B7C-3853-42B1-BE58-7EE70EF4057C}" name="longest_shortest_path" totalsRowFunction="average"/>
    <tableColumn id="8" xr3:uid="{03133C5F-622D-4B0C-8D15-B012372ED828}" name="component_count" totalsRowFunction="average"/>
    <tableColumn id="9" xr3:uid="{B01B9A72-57DC-4633-AD02-7F2F889F8741}" name="max_component_size" totalsRowFunction="average"/>
    <tableColumn id="10" xr3:uid="{A2D3CD36-A98B-41A2-A2AD-192ACE019194}" name="connectivity_ratio" totalsRowFunction="average" dataDxfId="5" totalsRowDxfId="4" dataCellStyle="Procenta" totalsRowCellStyle="Procenta"/>
    <tableColumn id="11" xr3:uid="{F571FACD-78E5-46BB-BBE1-51F3B8E40BB5}" name="room_count" totalsRowFunction="average"/>
    <tableColumn id="12" xr3:uid="{12D58759-927D-4406-9F05-EC2ED0218694}" name="avg_room_size" totalsRowFunction="average" dataDxfId="19"/>
    <tableColumn id="13" xr3:uid="{70C13B3A-6A9A-4555-8C72-CF2057E25C0E}" name="max_room_size" totalsRowFunction="average"/>
    <tableColumn id="14" xr3:uid="{60F0A2AE-8DAD-4A6C-A61D-00AFF871AB68}" name="min_room_size" totalsRowFunction="average"/>
    <tableColumn id="15" xr3:uid="{50E37311-2F66-4ACA-81BE-E1AC28B76DCC}" name="room_tiles" totalsRowFunction="average"/>
    <tableColumn id="16" xr3:uid="{C21D30EF-5CA2-4C26-A3EE-49207B642081}" name="room_ratio" totalsRowFunction="average" totalsRowDxfId="18" dataCellStyle="Procent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AC28CE-1840-415E-B7A8-B062E0E815FE}" name="AgRan_dir5_room5_chance50_step750" displayName="AgRan_dir5_room5_chance50_step750" ref="A1:P52" totalsRowCount="1">
  <autoFilter ref="A1:P51" xr:uid="{27AC28CE-1840-415E-B7A8-B062E0E815FE}"/>
  <tableColumns count="16">
    <tableColumn id="1" xr3:uid="{442888F7-04A0-4832-B983-C7910893FD6D}" name="algorithm" totalsRowLabel="Průměr" dataDxfId="17"/>
    <tableColumn id="2" xr3:uid="{C2BFC075-3221-49A5-AF44-688B7233E305}" name="seed" dataDxfId="16"/>
    <tableColumn id="3" xr3:uid="{1E72D970-E7F8-4BBD-9DCA-40D244560D87}" name="floors" totalsRowFunction="average"/>
    <tableColumn id="4" xr3:uid="{DF3057F3-0E6A-40D7-B380-9DF57CBFCDEB}" name="walls" totalsRowFunction="average"/>
    <tableColumn id="5" xr3:uid="{124BF7BB-E8A5-4655-B8BD-26AD3B1B4168}" name="floor_percent" totalsRowFunction="average" totalsRowDxfId="15" dataCellStyle="Procenta"/>
    <tableColumn id="6" xr3:uid="{9F057D15-0448-4A1B-AD2B-C410ADE7097D}" name="wall_percent" totalsRowFunction="average" totalsRowDxfId="14" dataCellStyle="Procenta"/>
    <tableColumn id="7" xr3:uid="{38D80469-10EE-41D7-AAF0-DE21D68F3835}" name="longest_shortest_path" totalsRowFunction="average"/>
    <tableColumn id="8" xr3:uid="{AB474C2E-CBC2-4897-A020-3C19AE09B1BA}" name="component_count" totalsRowFunction="average"/>
    <tableColumn id="9" xr3:uid="{F1D9FDE7-C393-4FE8-B42D-4E44D4644496}" name="max_component_size" totalsRowFunction="average"/>
    <tableColumn id="10" xr3:uid="{CB455D3E-34F8-4F29-AF49-D3F083609FF0}" name="connectivity_ratio" totalsRowFunction="average" dataDxfId="3" totalsRowDxfId="2" dataCellStyle="Procenta" totalsRowCellStyle="Procenta"/>
    <tableColumn id="11" xr3:uid="{0FF03BC2-7D58-4697-BE27-0FCCE5C392D5}" name="room_count" totalsRowFunction="average"/>
    <tableColumn id="12" xr3:uid="{FEC21AB0-BA37-47FC-A3AD-14748ECCDC7C}" name="avg_room_size" totalsRowFunction="average" dataDxfId="13"/>
    <tableColumn id="13" xr3:uid="{2DF5DF1E-81FC-4C81-B21A-C3D47378C18E}" name="max_room_size" totalsRowFunction="average"/>
    <tableColumn id="14" xr3:uid="{9BBCDD0D-373A-45E6-AE92-3F652494693E}" name="min_room_size" totalsRowFunction="average"/>
    <tableColumn id="15" xr3:uid="{4CC76064-DE5A-41A7-B014-820421CF93D4}" name="room_tiles" totalsRowFunction="average"/>
    <tableColumn id="16" xr3:uid="{E21D9BBD-BB0F-4AD0-9471-9B69740E6E63}" name="room_ratio" totalsRowFunction="average" totalsRowDxfId="12" dataCellStyle="Procent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10BA8E-D57C-4232-8D1B-BA771D13ED48}" name="AgRan_dir5_room5_chance100_step750" displayName="AgRan_dir5_room5_chance100_step750" ref="A1:P52" totalsRowCount="1">
  <autoFilter ref="A1:P51" xr:uid="{4310BA8E-D57C-4232-8D1B-BA771D13ED48}"/>
  <tableColumns count="16">
    <tableColumn id="1" xr3:uid="{F8A43FCF-BB80-4F20-A44C-D32C39445A85}" name="algorithm" totalsRowLabel="Průměr" dataDxfId="50"/>
    <tableColumn id="2" xr3:uid="{65A41538-DF9B-4C6B-AE6E-3F302ECC7BF6}" name="seed" dataDxfId="49" totalsRowDxfId="48"/>
    <tableColumn id="3" xr3:uid="{8533278E-EB29-4528-837F-E5D973BB6555}" name="floors" totalsRowFunction="average"/>
    <tableColumn id="4" xr3:uid="{497B51DF-3AA3-40F4-B3AF-2114DE636E5C}" name="walls" totalsRowFunction="average"/>
    <tableColumn id="5" xr3:uid="{1C476320-09BF-4A2B-8269-A87214B807DC}" name="floor_percent" totalsRowFunction="average" totalsRowDxfId="47" dataCellStyle="Procenta"/>
    <tableColumn id="6" xr3:uid="{EB2A293C-2AD5-43A1-9507-0BBC5ACD7E23}" name="wall_percent" totalsRowFunction="average" totalsRowDxfId="46" dataCellStyle="Procenta"/>
    <tableColumn id="7" xr3:uid="{EF4212CF-A01C-47A8-89BD-AC769365C771}" name="longest_shortest_path" totalsRowFunction="average"/>
    <tableColumn id="8" xr3:uid="{FD9B572C-1B6B-436D-BADD-1F9ADB62A0E3}" name="component_count" totalsRowFunction="average"/>
    <tableColumn id="9" xr3:uid="{B9862B53-E5B5-4F23-A8F0-DC475472BCB9}" name="max_component_size" totalsRowFunction="average"/>
    <tableColumn id="10" xr3:uid="{5403EEF3-2E85-4796-8F96-547A0EAAEC97}" name="connectivity_ratio" totalsRowFunction="average" dataDxfId="1" totalsRowDxfId="0" dataCellStyle="Procenta" totalsRowCellStyle="Procenta"/>
    <tableColumn id="11" xr3:uid="{5AABD09B-72B6-4229-8470-4220227E1461}" name="room_count" totalsRowFunction="average"/>
    <tableColumn id="12" xr3:uid="{5C5B35C4-F000-44FE-A1A0-D4122D311155}" name="avg_room_size" totalsRowFunction="average" dataDxfId="45"/>
    <tableColumn id="13" xr3:uid="{87656E32-5071-4023-B5D0-3F87D4AC88A6}" name="max_room_size" totalsRowFunction="average"/>
    <tableColumn id="14" xr3:uid="{99B1EF7F-754B-4DFC-B841-C9712BF24A9C}" name="min_room_size" totalsRowFunction="average"/>
    <tableColumn id="15" xr3:uid="{F3005030-858B-42B8-A734-4589E0D82B24}" name="room_tiles" totalsRowFunction="average"/>
    <tableColumn id="16" xr3:uid="{76AED94A-5B8B-4378-98FD-9E6E217FB566}" name="room_ratio" totalsRowFunction="average" totalsRowDxfId="44" dataCellStyle="Proc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E97F-9603-4CCA-BB31-7C5855525791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style="15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1866103685</v>
      </c>
      <c r="C2">
        <v>250</v>
      </c>
      <c r="D2">
        <v>2250</v>
      </c>
      <c r="E2" s="1">
        <v>0.1</v>
      </c>
      <c r="F2" s="1">
        <v>0.9</v>
      </c>
      <c r="G2">
        <v>97</v>
      </c>
      <c r="H2">
        <v>1</v>
      </c>
      <c r="I2">
        <v>250</v>
      </c>
      <c r="J2" s="19">
        <v>1</v>
      </c>
      <c r="K2">
        <v>1</v>
      </c>
      <c r="L2">
        <v>21</v>
      </c>
      <c r="M2">
        <v>21</v>
      </c>
      <c r="N2">
        <v>21</v>
      </c>
      <c r="O2">
        <v>21</v>
      </c>
      <c r="P2" s="1">
        <v>8.4000000000000005E-2</v>
      </c>
    </row>
    <row r="3" spans="1:16" x14ac:dyDescent="0.25">
      <c r="A3" t="s">
        <v>16</v>
      </c>
      <c r="B3" s="15">
        <v>1995930615</v>
      </c>
      <c r="C3">
        <v>247</v>
      </c>
      <c r="D3">
        <v>2253</v>
      </c>
      <c r="E3" s="1">
        <v>9.8799999999999999E-2</v>
      </c>
      <c r="F3" s="1">
        <v>0.9012</v>
      </c>
      <c r="G3">
        <v>143</v>
      </c>
      <c r="H3">
        <v>1</v>
      </c>
      <c r="I3">
        <v>247</v>
      </c>
      <c r="J3" s="19">
        <v>1</v>
      </c>
      <c r="K3">
        <v>1</v>
      </c>
      <c r="L3">
        <v>21</v>
      </c>
      <c r="M3">
        <v>21</v>
      </c>
      <c r="N3">
        <v>21</v>
      </c>
      <c r="O3">
        <v>21</v>
      </c>
      <c r="P3" s="1">
        <v>8.5019999999999998E-2</v>
      </c>
    </row>
    <row r="4" spans="1:16" x14ac:dyDescent="0.25">
      <c r="A4" t="s">
        <v>16</v>
      </c>
      <c r="B4" s="15">
        <v>319047587</v>
      </c>
      <c r="C4">
        <v>217</v>
      </c>
      <c r="D4">
        <v>2283</v>
      </c>
      <c r="E4" s="1">
        <v>8.6800000000000002E-2</v>
      </c>
      <c r="F4" s="1">
        <v>0.91320000000000001</v>
      </c>
      <c r="G4">
        <v>113</v>
      </c>
      <c r="H4">
        <v>1</v>
      </c>
      <c r="I4">
        <v>217</v>
      </c>
      <c r="J4" s="19">
        <v>1</v>
      </c>
      <c r="K4">
        <v>1</v>
      </c>
      <c r="L4">
        <v>12</v>
      </c>
      <c r="M4">
        <v>12</v>
      </c>
      <c r="N4">
        <v>12</v>
      </c>
      <c r="O4">
        <v>12</v>
      </c>
      <c r="P4" s="1">
        <v>5.5300000000000002E-2</v>
      </c>
    </row>
    <row r="5" spans="1:16" x14ac:dyDescent="0.25">
      <c r="A5" t="s">
        <v>16</v>
      </c>
      <c r="B5" s="15">
        <v>1298049630</v>
      </c>
      <c r="C5">
        <v>261</v>
      </c>
      <c r="D5">
        <v>2239</v>
      </c>
      <c r="E5" s="1">
        <v>0.10440000000000001</v>
      </c>
      <c r="F5" s="1">
        <v>0.89559999999999995</v>
      </c>
      <c r="G5">
        <v>118</v>
      </c>
      <c r="H5">
        <v>1</v>
      </c>
      <c r="I5">
        <v>261</v>
      </c>
      <c r="J5" s="19">
        <v>1</v>
      </c>
      <c r="K5">
        <v>1</v>
      </c>
      <c r="L5">
        <v>45</v>
      </c>
      <c r="M5">
        <v>45</v>
      </c>
      <c r="N5">
        <v>45</v>
      </c>
      <c r="O5">
        <v>45</v>
      </c>
      <c r="P5" s="1">
        <v>0.17241400000000001</v>
      </c>
    </row>
    <row r="6" spans="1:16" x14ac:dyDescent="0.25">
      <c r="A6" t="s">
        <v>16</v>
      </c>
      <c r="B6" s="15">
        <v>1159490615</v>
      </c>
      <c r="C6">
        <v>274</v>
      </c>
      <c r="D6">
        <v>2226</v>
      </c>
      <c r="E6" s="1">
        <v>0.1096</v>
      </c>
      <c r="F6" s="1">
        <v>0.89039999999999997</v>
      </c>
      <c r="G6">
        <v>96</v>
      </c>
      <c r="H6">
        <v>1</v>
      </c>
      <c r="I6">
        <v>274</v>
      </c>
      <c r="J6" s="19">
        <v>1</v>
      </c>
      <c r="K6">
        <v>1</v>
      </c>
      <c r="L6">
        <v>32</v>
      </c>
      <c r="M6">
        <v>32</v>
      </c>
      <c r="N6">
        <v>32</v>
      </c>
      <c r="O6">
        <v>32</v>
      </c>
      <c r="P6" s="1">
        <v>0.116788</v>
      </c>
    </row>
    <row r="7" spans="1:16" x14ac:dyDescent="0.25">
      <c r="A7" t="s">
        <v>16</v>
      </c>
      <c r="B7" s="15">
        <v>1180724307</v>
      </c>
      <c r="C7">
        <v>196</v>
      </c>
      <c r="D7">
        <v>2304</v>
      </c>
      <c r="E7" s="1">
        <v>7.8399999999999997E-2</v>
      </c>
      <c r="F7" s="1">
        <v>0.92159999999999997</v>
      </c>
      <c r="G7">
        <v>97</v>
      </c>
      <c r="H7">
        <v>1</v>
      </c>
      <c r="I7">
        <v>196</v>
      </c>
      <c r="J7" s="19">
        <v>1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16</v>
      </c>
      <c r="B8" s="15">
        <v>980955754</v>
      </c>
      <c r="C8">
        <v>217</v>
      </c>
      <c r="D8">
        <v>2283</v>
      </c>
      <c r="E8" s="1">
        <v>8.6800000000000002E-2</v>
      </c>
      <c r="F8" s="1">
        <v>0.91320000000000001</v>
      </c>
      <c r="G8">
        <v>96</v>
      </c>
      <c r="H8">
        <v>1</v>
      </c>
      <c r="I8">
        <v>217</v>
      </c>
      <c r="J8" s="19">
        <v>1</v>
      </c>
      <c r="K8">
        <v>1</v>
      </c>
      <c r="L8">
        <v>40</v>
      </c>
      <c r="M8">
        <v>40</v>
      </c>
      <c r="N8">
        <v>40</v>
      </c>
      <c r="O8">
        <v>40</v>
      </c>
      <c r="P8" s="1">
        <v>0.184332</v>
      </c>
    </row>
    <row r="9" spans="1:16" x14ac:dyDescent="0.25">
      <c r="A9" t="s">
        <v>16</v>
      </c>
      <c r="B9" s="15">
        <v>1576150394</v>
      </c>
      <c r="C9">
        <v>199</v>
      </c>
      <c r="D9">
        <v>2301</v>
      </c>
      <c r="E9" s="1">
        <v>7.9600000000000004E-2</v>
      </c>
      <c r="F9" s="1">
        <v>0.9204</v>
      </c>
      <c r="G9">
        <v>97</v>
      </c>
      <c r="H9">
        <v>1</v>
      </c>
      <c r="I9">
        <v>199</v>
      </c>
      <c r="J9" s="19">
        <v>1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16</v>
      </c>
      <c r="B10" s="15">
        <v>1594334112</v>
      </c>
      <c r="C10">
        <v>198</v>
      </c>
      <c r="D10">
        <v>2302</v>
      </c>
      <c r="E10" s="1">
        <v>7.9200000000000007E-2</v>
      </c>
      <c r="F10" s="1">
        <v>0.92079999999999995</v>
      </c>
      <c r="G10">
        <v>97</v>
      </c>
      <c r="H10">
        <v>1</v>
      </c>
      <c r="I10">
        <v>198</v>
      </c>
      <c r="J10" s="19">
        <v>1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16</v>
      </c>
      <c r="B11" s="15">
        <v>1916930843</v>
      </c>
      <c r="C11">
        <v>188</v>
      </c>
      <c r="D11">
        <v>2312</v>
      </c>
      <c r="E11" s="1">
        <v>7.5200000000000003E-2</v>
      </c>
      <c r="F11" s="1">
        <v>0.92479999999999996</v>
      </c>
      <c r="G11">
        <v>145</v>
      </c>
      <c r="H11">
        <v>1</v>
      </c>
      <c r="I11">
        <v>188</v>
      </c>
      <c r="J11" s="19">
        <v>1</v>
      </c>
      <c r="K11">
        <v>1</v>
      </c>
      <c r="L11">
        <v>12</v>
      </c>
      <c r="M11">
        <v>12</v>
      </c>
      <c r="N11">
        <v>12</v>
      </c>
      <c r="O11">
        <v>12</v>
      </c>
      <c r="P11" s="1">
        <v>6.3829999999999998E-2</v>
      </c>
    </row>
    <row r="12" spans="1:16" x14ac:dyDescent="0.25">
      <c r="A12" t="s">
        <v>16</v>
      </c>
      <c r="B12" s="15">
        <v>545875313</v>
      </c>
      <c r="C12">
        <v>219</v>
      </c>
      <c r="D12">
        <v>2281</v>
      </c>
      <c r="E12" s="1">
        <v>8.7599999999999997E-2</v>
      </c>
      <c r="F12" s="1">
        <v>0.91239999999999999</v>
      </c>
      <c r="G12">
        <v>140</v>
      </c>
      <c r="H12">
        <v>1</v>
      </c>
      <c r="I12">
        <v>219</v>
      </c>
      <c r="J12" s="19">
        <v>1</v>
      </c>
      <c r="K12">
        <v>1</v>
      </c>
      <c r="L12">
        <v>32</v>
      </c>
      <c r="M12">
        <v>32</v>
      </c>
      <c r="N12">
        <v>32</v>
      </c>
      <c r="O12">
        <v>32</v>
      </c>
      <c r="P12" s="1">
        <v>0.146119</v>
      </c>
    </row>
    <row r="13" spans="1:16" x14ac:dyDescent="0.25">
      <c r="A13" t="s">
        <v>16</v>
      </c>
      <c r="B13" s="15">
        <v>1678310607</v>
      </c>
      <c r="C13">
        <v>289</v>
      </c>
      <c r="D13">
        <v>2211</v>
      </c>
      <c r="E13" s="1">
        <v>0.11559999999999999</v>
      </c>
      <c r="F13" s="1">
        <v>0.88439999999999996</v>
      </c>
      <c r="G13">
        <v>95</v>
      </c>
      <c r="H13">
        <v>1</v>
      </c>
      <c r="I13">
        <v>289</v>
      </c>
      <c r="J13" s="19">
        <v>1</v>
      </c>
      <c r="K13">
        <v>1</v>
      </c>
      <c r="L13">
        <v>45</v>
      </c>
      <c r="M13">
        <v>45</v>
      </c>
      <c r="N13">
        <v>45</v>
      </c>
      <c r="O13">
        <v>45</v>
      </c>
      <c r="P13" s="1">
        <v>0.15570899999999999</v>
      </c>
    </row>
    <row r="14" spans="1:16" x14ac:dyDescent="0.25">
      <c r="A14" t="s">
        <v>16</v>
      </c>
      <c r="B14" s="15">
        <v>1011252837</v>
      </c>
      <c r="C14">
        <v>242</v>
      </c>
      <c r="D14">
        <v>2258</v>
      </c>
      <c r="E14" s="1">
        <v>9.6799999999999997E-2</v>
      </c>
      <c r="F14" s="1">
        <v>0.9032</v>
      </c>
      <c r="G14">
        <v>106</v>
      </c>
      <c r="H14">
        <v>1</v>
      </c>
      <c r="I14">
        <v>242</v>
      </c>
      <c r="J14" s="19">
        <v>1</v>
      </c>
      <c r="K14">
        <v>1</v>
      </c>
      <c r="L14">
        <v>12</v>
      </c>
      <c r="M14">
        <v>12</v>
      </c>
      <c r="N14">
        <v>12</v>
      </c>
      <c r="O14">
        <v>12</v>
      </c>
      <c r="P14" s="1">
        <v>4.9586999999999999E-2</v>
      </c>
    </row>
    <row r="15" spans="1:16" x14ac:dyDescent="0.25">
      <c r="A15" t="s">
        <v>16</v>
      </c>
      <c r="B15" s="15">
        <v>1327404902</v>
      </c>
      <c r="C15">
        <v>228</v>
      </c>
      <c r="D15">
        <v>2272</v>
      </c>
      <c r="E15" s="1">
        <v>9.1200000000000003E-2</v>
      </c>
      <c r="F15" s="1">
        <v>0.90880000000000005</v>
      </c>
      <c r="G15">
        <v>147</v>
      </c>
      <c r="H15">
        <v>1</v>
      </c>
      <c r="I15">
        <v>228</v>
      </c>
      <c r="J15" s="19">
        <v>1</v>
      </c>
      <c r="K15">
        <v>1</v>
      </c>
      <c r="L15">
        <v>45</v>
      </c>
      <c r="M15">
        <v>45</v>
      </c>
      <c r="N15">
        <v>45</v>
      </c>
      <c r="O15">
        <v>45</v>
      </c>
      <c r="P15" s="1">
        <v>0.19736799999999999</v>
      </c>
    </row>
    <row r="16" spans="1:16" x14ac:dyDescent="0.25">
      <c r="A16" t="s">
        <v>16</v>
      </c>
      <c r="B16" s="15">
        <v>1293092233</v>
      </c>
      <c r="C16">
        <v>202</v>
      </c>
      <c r="D16">
        <v>2298</v>
      </c>
      <c r="E16" s="1">
        <v>8.0799999999999997E-2</v>
      </c>
      <c r="F16" s="1">
        <v>0.91920000000000002</v>
      </c>
      <c r="G16">
        <v>145</v>
      </c>
      <c r="H16">
        <v>1</v>
      </c>
      <c r="I16">
        <v>202</v>
      </c>
      <c r="J16" s="19">
        <v>1</v>
      </c>
      <c r="K16">
        <v>1</v>
      </c>
      <c r="L16">
        <v>8</v>
      </c>
      <c r="M16">
        <v>8</v>
      </c>
      <c r="N16">
        <v>8</v>
      </c>
      <c r="O16">
        <v>8</v>
      </c>
      <c r="P16" s="1">
        <v>3.9604E-2</v>
      </c>
    </row>
    <row r="17" spans="1:16" x14ac:dyDescent="0.25">
      <c r="A17" t="s">
        <v>16</v>
      </c>
      <c r="B17" s="15">
        <v>1077732174</v>
      </c>
      <c r="C17">
        <v>185</v>
      </c>
      <c r="D17">
        <v>2315</v>
      </c>
      <c r="E17" s="1">
        <v>7.3999999999999996E-2</v>
      </c>
      <c r="F17" s="1">
        <v>0.92600000000000005</v>
      </c>
      <c r="G17">
        <v>151</v>
      </c>
      <c r="H17">
        <v>1</v>
      </c>
      <c r="I17">
        <v>185</v>
      </c>
      <c r="J17" s="19">
        <v>1</v>
      </c>
      <c r="K17">
        <v>1</v>
      </c>
      <c r="L17">
        <v>12</v>
      </c>
      <c r="M17">
        <v>12</v>
      </c>
      <c r="N17">
        <v>12</v>
      </c>
      <c r="O17">
        <v>12</v>
      </c>
      <c r="P17" s="1">
        <v>6.4865000000000006E-2</v>
      </c>
    </row>
    <row r="18" spans="1:16" x14ac:dyDescent="0.25">
      <c r="A18" t="s">
        <v>16</v>
      </c>
      <c r="B18" s="15">
        <v>1561128718</v>
      </c>
      <c r="C18">
        <v>258</v>
      </c>
      <c r="D18">
        <v>2242</v>
      </c>
      <c r="E18" s="1">
        <v>0.1032</v>
      </c>
      <c r="F18" s="1">
        <v>0.89680000000000004</v>
      </c>
      <c r="G18">
        <v>159</v>
      </c>
      <c r="H18">
        <v>1</v>
      </c>
      <c r="I18">
        <v>258</v>
      </c>
      <c r="J18" s="19">
        <v>1</v>
      </c>
      <c r="K18">
        <v>1</v>
      </c>
      <c r="L18">
        <v>24</v>
      </c>
      <c r="M18">
        <v>24</v>
      </c>
      <c r="N18">
        <v>24</v>
      </c>
      <c r="O18">
        <v>24</v>
      </c>
      <c r="P18" s="1">
        <v>9.3022999999999995E-2</v>
      </c>
    </row>
    <row r="19" spans="1:16" x14ac:dyDescent="0.25">
      <c r="A19" t="s">
        <v>16</v>
      </c>
      <c r="B19" s="15">
        <v>1011546690</v>
      </c>
      <c r="C19">
        <v>198</v>
      </c>
      <c r="D19">
        <v>2302</v>
      </c>
      <c r="E19" s="1">
        <v>7.9200000000000007E-2</v>
      </c>
      <c r="F19" s="1">
        <v>0.92079999999999995</v>
      </c>
      <c r="G19">
        <v>97</v>
      </c>
      <c r="H19">
        <v>1</v>
      </c>
      <c r="I19">
        <v>198</v>
      </c>
      <c r="J19" s="19">
        <v>1</v>
      </c>
      <c r="K19">
        <v>0</v>
      </c>
      <c r="L19">
        <v>0</v>
      </c>
      <c r="M19">
        <v>0</v>
      </c>
      <c r="N19">
        <v>0</v>
      </c>
      <c r="O19">
        <v>0</v>
      </c>
      <c r="P19" s="1">
        <v>0</v>
      </c>
    </row>
    <row r="20" spans="1:16" x14ac:dyDescent="0.25">
      <c r="A20" t="s">
        <v>16</v>
      </c>
      <c r="B20" s="15">
        <v>453204926</v>
      </c>
      <c r="C20">
        <v>183</v>
      </c>
      <c r="D20">
        <v>2317</v>
      </c>
      <c r="E20" s="1">
        <v>7.3200000000000001E-2</v>
      </c>
      <c r="F20" s="1">
        <v>0.92679999999999996</v>
      </c>
      <c r="G20">
        <v>145</v>
      </c>
      <c r="H20">
        <v>1</v>
      </c>
      <c r="I20">
        <v>183</v>
      </c>
      <c r="J20" s="19">
        <v>1</v>
      </c>
      <c r="K20">
        <v>1</v>
      </c>
      <c r="L20">
        <v>5</v>
      </c>
      <c r="M20">
        <v>5</v>
      </c>
      <c r="N20">
        <v>5</v>
      </c>
      <c r="O20">
        <v>5</v>
      </c>
      <c r="P20" s="1">
        <v>2.7321999999999999E-2</v>
      </c>
    </row>
    <row r="21" spans="1:16" x14ac:dyDescent="0.25">
      <c r="A21" t="s">
        <v>16</v>
      </c>
      <c r="B21" s="15">
        <v>2129034216</v>
      </c>
      <c r="C21">
        <v>240</v>
      </c>
      <c r="D21">
        <v>2260</v>
      </c>
      <c r="E21" s="1">
        <v>9.6000000000000002E-2</v>
      </c>
      <c r="F21" s="1">
        <v>0.90400000000000003</v>
      </c>
      <c r="G21">
        <v>126</v>
      </c>
      <c r="H21">
        <v>1</v>
      </c>
      <c r="I21">
        <v>240</v>
      </c>
      <c r="J21" s="19">
        <v>1</v>
      </c>
      <c r="K21">
        <v>1</v>
      </c>
      <c r="L21">
        <v>12</v>
      </c>
      <c r="M21">
        <v>12</v>
      </c>
      <c r="N21">
        <v>12</v>
      </c>
      <c r="O21">
        <v>12</v>
      </c>
      <c r="P21" s="1">
        <v>0.05</v>
      </c>
    </row>
    <row r="22" spans="1:16" x14ac:dyDescent="0.25">
      <c r="A22" t="s">
        <v>16</v>
      </c>
      <c r="B22" s="15">
        <v>257324250</v>
      </c>
      <c r="C22">
        <v>261</v>
      </c>
      <c r="D22">
        <v>2239</v>
      </c>
      <c r="E22" s="1">
        <v>0.10440000000000001</v>
      </c>
      <c r="F22" s="1">
        <v>0.89559999999999995</v>
      </c>
      <c r="G22">
        <v>97</v>
      </c>
      <c r="H22">
        <v>1</v>
      </c>
      <c r="I22">
        <v>261</v>
      </c>
      <c r="J22" s="19">
        <v>1</v>
      </c>
      <c r="K22">
        <v>1</v>
      </c>
      <c r="L22">
        <v>5</v>
      </c>
      <c r="M22">
        <v>5</v>
      </c>
      <c r="N22">
        <v>5</v>
      </c>
      <c r="O22">
        <v>5</v>
      </c>
      <c r="P22" s="1">
        <v>1.9157E-2</v>
      </c>
    </row>
    <row r="23" spans="1:16" x14ac:dyDescent="0.25">
      <c r="A23" t="s">
        <v>16</v>
      </c>
      <c r="B23" s="15">
        <v>1512854909</v>
      </c>
      <c r="C23">
        <v>163</v>
      </c>
      <c r="D23">
        <v>2337</v>
      </c>
      <c r="E23" s="1">
        <v>6.5199999999999994E-2</v>
      </c>
      <c r="F23" s="1">
        <v>0.93479999999999996</v>
      </c>
      <c r="G23">
        <v>145</v>
      </c>
      <c r="H23">
        <v>1</v>
      </c>
      <c r="I23">
        <v>163</v>
      </c>
      <c r="J23" s="19">
        <v>1</v>
      </c>
      <c r="K23">
        <v>0</v>
      </c>
      <c r="L23">
        <v>0</v>
      </c>
      <c r="M23">
        <v>0</v>
      </c>
      <c r="N23">
        <v>0</v>
      </c>
      <c r="O23">
        <v>0</v>
      </c>
      <c r="P23" s="1">
        <v>0</v>
      </c>
    </row>
    <row r="24" spans="1:16" x14ac:dyDescent="0.25">
      <c r="A24" t="s">
        <v>16</v>
      </c>
      <c r="B24" s="15">
        <v>1124203649</v>
      </c>
      <c r="C24">
        <v>208</v>
      </c>
      <c r="D24">
        <v>2292</v>
      </c>
      <c r="E24" s="1">
        <v>8.3199999999999996E-2</v>
      </c>
      <c r="F24" s="1">
        <v>0.91679999999999995</v>
      </c>
      <c r="G24">
        <v>97</v>
      </c>
      <c r="H24">
        <v>1</v>
      </c>
      <c r="I24">
        <v>208</v>
      </c>
      <c r="J24" s="19">
        <v>1</v>
      </c>
      <c r="K24">
        <v>0</v>
      </c>
      <c r="L24">
        <v>0</v>
      </c>
      <c r="M24">
        <v>0</v>
      </c>
      <c r="N24">
        <v>0</v>
      </c>
      <c r="O24">
        <v>0</v>
      </c>
      <c r="P24" s="1">
        <v>0</v>
      </c>
    </row>
    <row r="25" spans="1:16" x14ac:dyDescent="0.25">
      <c r="A25" t="s">
        <v>16</v>
      </c>
      <c r="B25" s="15">
        <v>1887725168</v>
      </c>
      <c r="C25">
        <v>232</v>
      </c>
      <c r="D25">
        <v>2268</v>
      </c>
      <c r="E25" s="1">
        <v>9.2799999999999994E-2</v>
      </c>
      <c r="F25" s="1">
        <v>0.90720000000000001</v>
      </c>
      <c r="G25">
        <v>97</v>
      </c>
      <c r="H25">
        <v>1</v>
      </c>
      <c r="I25">
        <v>232</v>
      </c>
      <c r="J25" s="19">
        <v>1</v>
      </c>
      <c r="K25">
        <v>1</v>
      </c>
      <c r="L25">
        <v>49</v>
      </c>
      <c r="M25">
        <v>49</v>
      </c>
      <c r="N25">
        <v>49</v>
      </c>
      <c r="O25">
        <v>49</v>
      </c>
      <c r="P25" s="1">
        <v>0.21120700000000001</v>
      </c>
    </row>
    <row r="26" spans="1:16" x14ac:dyDescent="0.25">
      <c r="A26" t="s">
        <v>16</v>
      </c>
      <c r="B26" s="15">
        <v>322069916</v>
      </c>
      <c r="C26">
        <v>276</v>
      </c>
      <c r="D26">
        <v>2224</v>
      </c>
      <c r="E26" s="1">
        <v>0.1104</v>
      </c>
      <c r="F26" s="1">
        <v>0.88959999999999995</v>
      </c>
      <c r="G26">
        <v>96</v>
      </c>
      <c r="H26">
        <v>1</v>
      </c>
      <c r="I26">
        <v>276</v>
      </c>
      <c r="J26" s="19">
        <v>1</v>
      </c>
      <c r="K26">
        <v>1</v>
      </c>
      <c r="L26">
        <v>26</v>
      </c>
      <c r="M26">
        <v>26</v>
      </c>
      <c r="N26">
        <v>26</v>
      </c>
      <c r="O26">
        <v>26</v>
      </c>
      <c r="P26" s="1">
        <v>9.4202999999999995E-2</v>
      </c>
    </row>
    <row r="27" spans="1:16" x14ac:dyDescent="0.25">
      <c r="A27" t="s">
        <v>16</v>
      </c>
      <c r="B27" s="15">
        <v>385110737</v>
      </c>
      <c r="C27">
        <v>266</v>
      </c>
      <c r="D27">
        <v>2234</v>
      </c>
      <c r="E27" s="1">
        <v>0.10639999999999999</v>
      </c>
      <c r="F27" s="1">
        <v>0.89359999999999995</v>
      </c>
      <c r="G27">
        <v>114</v>
      </c>
      <c r="H27">
        <v>1</v>
      </c>
      <c r="I27">
        <v>266</v>
      </c>
      <c r="J27" s="19">
        <v>1</v>
      </c>
      <c r="K27">
        <v>1</v>
      </c>
      <c r="L27">
        <v>32</v>
      </c>
      <c r="M27">
        <v>32</v>
      </c>
      <c r="N27">
        <v>32</v>
      </c>
      <c r="O27">
        <v>32</v>
      </c>
      <c r="P27" s="1">
        <v>0.12030100000000001</v>
      </c>
    </row>
    <row r="28" spans="1:16" x14ac:dyDescent="0.25">
      <c r="A28" t="s">
        <v>16</v>
      </c>
      <c r="B28" s="15">
        <v>432530775</v>
      </c>
      <c r="C28">
        <v>270</v>
      </c>
      <c r="D28">
        <v>2230</v>
      </c>
      <c r="E28" s="1">
        <v>0.108</v>
      </c>
      <c r="F28" s="1">
        <v>0.89200000000000002</v>
      </c>
      <c r="G28">
        <v>144</v>
      </c>
      <c r="H28">
        <v>1</v>
      </c>
      <c r="I28">
        <v>270</v>
      </c>
      <c r="J28" s="19">
        <v>1</v>
      </c>
      <c r="K28">
        <v>1</v>
      </c>
      <c r="L28">
        <v>32</v>
      </c>
      <c r="M28">
        <v>32</v>
      </c>
      <c r="N28">
        <v>32</v>
      </c>
      <c r="O28">
        <v>32</v>
      </c>
      <c r="P28" s="1">
        <v>0.118519</v>
      </c>
    </row>
    <row r="29" spans="1:16" x14ac:dyDescent="0.25">
      <c r="A29" t="s">
        <v>16</v>
      </c>
      <c r="B29" s="15">
        <v>625866791</v>
      </c>
      <c r="C29">
        <v>189</v>
      </c>
      <c r="D29">
        <v>2311</v>
      </c>
      <c r="E29" s="1">
        <v>7.5600000000000001E-2</v>
      </c>
      <c r="F29" s="1">
        <v>0.9244</v>
      </c>
      <c r="G29">
        <v>184</v>
      </c>
      <c r="H29">
        <v>1</v>
      </c>
      <c r="I29">
        <v>189</v>
      </c>
      <c r="J29" s="19">
        <v>1</v>
      </c>
      <c r="K29">
        <v>0</v>
      </c>
      <c r="L29">
        <v>0</v>
      </c>
      <c r="M29">
        <v>0</v>
      </c>
      <c r="N29">
        <v>0</v>
      </c>
      <c r="O29">
        <v>0</v>
      </c>
      <c r="P29" s="1">
        <v>0</v>
      </c>
    </row>
    <row r="30" spans="1:16" x14ac:dyDescent="0.25">
      <c r="A30" t="s">
        <v>16</v>
      </c>
      <c r="B30" s="15">
        <v>1571187881</v>
      </c>
      <c r="C30">
        <v>288</v>
      </c>
      <c r="D30">
        <v>2212</v>
      </c>
      <c r="E30" s="1">
        <v>0.1152</v>
      </c>
      <c r="F30" s="1">
        <v>0.88480000000000003</v>
      </c>
      <c r="G30">
        <v>96</v>
      </c>
      <c r="H30">
        <v>1</v>
      </c>
      <c r="I30">
        <v>288</v>
      </c>
      <c r="J30" s="19">
        <v>1</v>
      </c>
      <c r="K30">
        <v>1</v>
      </c>
      <c r="L30">
        <v>45</v>
      </c>
      <c r="M30">
        <v>45</v>
      </c>
      <c r="N30">
        <v>45</v>
      </c>
      <c r="O30">
        <v>45</v>
      </c>
      <c r="P30" s="1">
        <v>0.15625</v>
      </c>
    </row>
    <row r="31" spans="1:16" x14ac:dyDescent="0.25">
      <c r="A31" t="s">
        <v>16</v>
      </c>
      <c r="B31" s="15">
        <v>241642123</v>
      </c>
      <c r="C31">
        <v>242</v>
      </c>
      <c r="D31">
        <v>2258</v>
      </c>
      <c r="E31" s="1">
        <v>9.6799999999999997E-2</v>
      </c>
      <c r="F31" s="1">
        <v>0.9032</v>
      </c>
      <c r="G31">
        <v>97</v>
      </c>
      <c r="H31">
        <v>1</v>
      </c>
      <c r="I31">
        <v>242</v>
      </c>
      <c r="J31" s="19">
        <v>1</v>
      </c>
      <c r="K31">
        <v>1</v>
      </c>
      <c r="L31">
        <v>13</v>
      </c>
      <c r="M31">
        <v>13</v>
      </c>
      <c r="N31">
        <v>13</v>
      </c>
      <c r="O31">
        <v>13</v>
      </c>
      <c r="P31" s="1">
        <v>5.3719000000000003E-2</v>
      </c>
    </row>
    <row r="32" spans="1:16" x14ac:dyDescent="0.25">
      <c r="A32" t="s">
        <v>16</v>
      </c>
      <c r="B32" s="15">
        <v>1707672178</v>
      </c>
      <c r="C32">
        <v>250</v>
      </c>
      <c r="D32">
        <v>2250</v>
      </c>
      <c r="E32" s="1">
        <v>0.1</v>
      </c>
      <c r="F32" s="1">
        <v>0.9</v>
      </c>
      <c r="G32">
        <v>150</v>
      </c>
      <c r="H32">
        <v>1</v>
      </c>
      <c r="I32">
        <v>250</v>
      </c>
      <c r="J32" s="19">
        <v>1</v>
      </c>
      <c r="K32">
        <v>1</v>
      </c>
      <c r="L32">
        <v>26</v>
      </c>
      <c r="M32">
        <v>26</v>
      </c>
      <c r="N32">
        <v>26</v>
      </c>
      <c r="O32">
        <v>26</v>
      </c>
      <c r="P32" s="1">
        <v>0.104</v>
      </c>
    </row>
    <row r="33" spans="1:16" x14ac:dyDescent="0.25">
      <c r="A33" t="s">
        <v>16</v>
      </c>
      <c r="B33" s="15">
        <v>817231381</v>
      </c>
      <c r="C33">
        <v>248</v>
      </c>
      <c r="D33">
        <v>2252</v>
      </c>
      <c r="E33" s="1">
        <v>9.9199999999999997E-2</v>
      </c>
      <c r="F33" s="1">
        <v>0.90080000000000005</v>
      </c>
      <c r="G33">
        <v>97</v>
      </c>
      <c r="H33">
        <v>1</v>
      </c>
      <c r="I33">
        <v>248</v>
      </c>
      <c r="J33" s="19">
        <v>1</v>
      </c>
      <c r="K33">
        <v>1</v>
      </c>
      <c r="L33">
        <v>32</v>
      </c>
      <c r="M33">
        <v>32</v>
      </c>
      <c r="N33">
        <v>32</v>
      </c>
      <c r="O33">
        <v>32</v>
      </c>
      <c r="P33" s="1">
        <v>0.12903200000000001</v>
      </c>
    </row>
    <row r="34" spans="1:16" x14ac:dyDescent="0.25">
      <c r="A34" t="s">
        <v>16</v>
      </c>
      <c r="B34" s="15">
        <v>2102992071</v>
      </c>
      <c r="C34">
        <v>216</v>
      </c>
      <c r="D34">
        <v>2284</v>
      </c>
      <c r="E34" s="1">
        <v>8.6400000000000005E-2</v>
      </c>
      <c r="F34" s="1">
        <v>0.91359999999999997</v>
      </c>
      <c r="G34">
        <v>166</v>
      </c>
      <c r="H34">
        <v>1</v>
      </c>
      <c r="I34">
        <v>216</v>
      </c>
      <c r="J34" s="19">
        <v>1</v>
      </c>
      <c r="K34">
        <v>1</v>
      </c>
      <c r="L34">
        <v>21</v>
      </c>
      <c r="M34">
        <v>21</v>
      </c>
      <c r="N34">
        <v>21</v>
      </c>
      <c r="O34">
        <v>21</v>
      </c>
      <c r="P34" s="1">
        <v>9.7222000000000003E-2</v>
      </c>
    </row>
    <row r="35" spans="1:16" x14ac:dyDescent="0.25">
      <c r="A35" t="s">
        <v>16</v>
      </c>
      <c r="B35" s="15">
        <v>1681712296</v>
      </c>
      <c r="C35">
        <v>251</v>
      </c>
      <c r="D35">
        <v>2249</v>
      </c>
      <c r="E35" s="1">
        <v>0.1004</v>
      </c>
      <c r="F35" s="1">
        <v>0.89959999999999996</v>
      </c>
      <c r="G35">
        <v>97</v>
      </c>
      <c r="H35">
        <v>1</v>
      </c>
      <c r="I35">
        <v>251</v>
      </c>
      <c r="J35" s="19">
        <v>1</v>
      </c>
      <c r="K35">
        <v>1</v>
      </c>
      <c r="L35">
        <v>45</v>
      </c>
      <c r="M35">
        <v>45</v>
      </c>
      <c r="N35">
        <v>45</v>
      </c>
      <c r="O35">
        <v>45</v>
      </c>
      <c r="P35" s="1">
        <v>0.179283</v>
      </c>
    </row>
    <row r="36" spans="1:16" x14ac:dyDescent="0.25">
      <c r="A36" t="s">
        <v>16</v>
      </c>
      <c r="B36" s="15">
        <v>1220480272</v>
      </c>
      <c r="C36">
        <v>310</v>
      </c>
      <c r="D36">
        <v>2190</v>
      </c>
      <c r="E36" s="1">
        <v>0.124</v>
      </c>
      <c r="F36" s="1">
        <v>0.876</v>
      </c>
      <c r="G36">
        <v>108</v>
      </c>
      <c r="H36">
        <v>1</v>
      </c>
      <c r="I36">
        <v>310</v>
      </c>
      <c r="J36" s="19">
        <v>1</v>
      </c>
      <c r="K36">
        <v>1</v>
      </c>
      <c r="L36">
        <v>32</v>
      </c>
      <c r="M36">
        <v>32</v>
      </c>
      <c r="N36">
        <v>32</v>
      </c>
      <c r="O36">
        <v>32</v>
      </c>
      <c r="P36" s="1">
        <v>0.103226</v>
      </c>
    </row>
    <row r="37" spans="1:16" x14ac:dyDescent="0.25">
      <c r="A37" t="s">
        <v>16</v>
      </c>
      <c r="B37" s="15">
        <v>1366276831</v>
      </c>
      <c r="C37">
        <v>232</v>
      </c>
      <c r="D37">
        <v>2268</v>
      </c>
      <c r="E37" s="1">
        <v>9.2799999999999994E-2</v>
      </c>
      <c r="F37" s="1">
        <v>0.90720000000000001</v>
      </c>
      <c r="G37">
        <v>94</v>
      </c>
      <c r="H37">
        <v>1</v>
      </c>
      <c r="I37">
        <v>232</v>
      </c>
      <c r="J37" s="19">
        <v>1</v>
      </c>
      <c r="K37">
        <v>1</v>
      </c>
      <c r="L37">
        <v>45</v>
      </c>
      <c r="M37">
        <v>45</v>
      </c>
      <c r="N37">
        <v>45</v>
      </c>
      <c r="O37">
        <v>45</v>
      </c>
      <c r="P37" s="1">
        <v>0.193966</v>
      </c>
    </row>
    <row r="38" spans="1:16" x14ac:dyDescent="0.25">
      <c r="A38" t="s">
        <v>16</v>
      </c>
      <c r="B38" s="15">
        <v>1760067285</v>
      </c>
      <c r="C38">
        <v>210</v>
      </c>
      <c r="D38">
        <v>2290</v>
      </c>
      <c r="E38" s="1">
        <v>8.4000000000000005E-2</v>
      </c>
      <c r="F38" s="1">
        <v>0.91600000000000004</v>
      </c>
      <c r="G38">
        <v>145</v>
      </c>
      <c r="H38">
        <v>1</v>
      </c>
      <c r="I38">
        <v>210</v>
      </c>
      <c r="J38" s="19">
        <v>1</v>
      </c>
      <c r="K38">
        <v>1</v>
      </c>
      <c r="L38">
        <v>45</v>
      </c>
      <c r="M38">
        <v>45</v>
      </c>
      <c r="N38">
        <v>45</v>
      </c>
      <c r="O38">
        <v>45</v>
      </c>
      <c r="P38" s="1">
        <v>0.214286</v>
      </c>
    </row>
    <row r="39" spans="1:16" x14ac:dyDescent="0.25">
      <c r="A39" t="s">
        <v>16</v>
      </c>
      <c r="B39" s="15">
        <v>1471045020</v>
      </c>
      <c r="C39">
        <v>212</v>
      </c>
      <c r="D39">
        <v>2288</v>
      </c>
      <c r="E39" s="1">
        <v>8.48E-2</v>
      </c>
      <c r="F39" s="1">
        <v>0.91520000000000001</v>
      </c>
      <c r="G39">
        <v>101</v>
      </c>
      <c r="H39">
        <v>1</v>
      </c>
      <c r="I39">
        <v>212</v>
      </c>
      <c r="J39" s="19">
        <v>1</v>
      </c>
      <c r="K39">
        <v>0</v>
      </c>
      <c r="L39">
        <v>0</v>
      </c>
      <c r="M39">
        <v>0</v>
      </c>
      <c r="N39">
        <v>0</v>
      </c>
      <c r="O39">
        <v>0</v>
      </c>
      <c r="P39" s="1">
        <v>0</v>
      </c>
    </row>
    <row r="40" spans="1:16" x14ac:dyDescent="0.25">
      <c r="A40" t="s">
        <v>16</v>
      </c>
      <c r="B40" s="15">
        <v>982574071</v>
      </c>
      <c r="C40">
        <v>218</v>
      </c>
      <c r="D40">
        <v>2282</v>
      </c>
      <c r="E40" s="1">
        <v>8.72E-2</v>
      </c>
      <c r="F40" s="1">
        <v>0.91279999999999994</v>
      </c>
      <c r="G40">
        <v>160</v>
      </c>
      <c r="H40">
        <v>1</v>
      </c>
      <c r="I40">
        <v>218</v>
      </c>
      <c r="J40" s="19">
        <v>1</v>
      </c>
      <c r="K40">
        <v>1</v>
      </c>
      <c r="L40">
        <v>21</v>
      </c>
      <c r="M40">
        <v>21</v>
      </c>
      <c r="N40">
        <v>21</v>
      </c>
      <c r="O40">
        <v>21</v>
      </c>
      <c r="P40" s="1">
        <v>9.6329999999999999E-2</v>
      </c>
    </row>
    <row r="41" spans="1:16" x14ac:dyDescent="0.25">
      <c r="A41" t="s">
        <v>16</v>
      </c>
      <c r="B41" s="15">
        <v>264436337</v>
      </c>
      <c r="C41">
        <v>274</v>
      </c>
      <c r="D41">
        <v>2226</v>
      </c>
      <c r="E41" s="1">
        <v>0.1096</v>
      </c>
      <c r="F41" s="1">
        <v>0.89039999999999997</v>
      </c>
      <c r="G41">
        <v>96</v>
      </c>
      <c r="H41">
        <v>1</v>
      </c>
      <c r="I41">
        <v>274</v>
      </c>
      <c r="J41" s="19">
        <v>1</v>
      </c>
      <c r="K41">
        <v>1</v>
      </c>
      <c r="L41">
        <v>32</v>
      </c>
      <c r="M41">
        <v>32</v>
      </c>
      <c r="N41">
        <v>32</v>
      </c>
      <c r="O41">
        <v>32</v>
      </c>
      <c r="P41" s="1">
        <v>0.116788</v>
      </c>
    </row>
    <row r="42" spans="1:16" x14ac:dyDescent="0.25">
      <c r="A42" t="s">
        <v>16</v>
      </c>
      <c r="B42" s="15">
        <v>1278640759</v>
      </c>
      <c r="C42">
        <v>209</v>
      </c>
      <c r="D42">
        <v>2291</v>
      </c>
      <c r="E42" s="1">
        <v>8.3599999999999994E-2</v>
      </c>
      <c r="F42" s="1">
        <v>0.91639999999999999</v>
      </c>
      <c r="G42">
        <v>142</v>
      </c>
      <c r="H42">
        <v>1</v>
      </c>
      <c r="I42">
        <v>209</v>
      </c>
      <c r="J42" s="19">
        <v>1</v>
      </c>
      <c r="K42">
        <v>1</v>
      </c>
      <c r="L42">
        <v>5</v>
      </c>
      <c r="M42">
        <v>5</v>
      </c>
      <c r="N42">
        <v>5</v>
      </c>
      <c r="O42">
        <v>5</v>
      </c>
      <c r="P42" s="1">
        <v>2.3923E-2</v>
      </c>
    </row>
    <row r="43" spans="1:16" x14ac:dyDescent="0.25">
      <c r="A43" t="s">
        <v>16</v>
      </c>
      <c r="B43" s="15">
        <v>1619930416</v>
      </c>
      <c r="C43">
        <v>259</v>
      </c>
      <c r="D43">
        <v>2241</v>
      </c>
      <c r="E43" s="1">
        <v>0.1036</v>
      </c>
      <c r="F43" s="1">
        <v>0.89639999999999997</v>
      </c>
      <c r="G43">
        <v>96</v>
      </c>
      <c r="H43">
        <v>1</v>
      </c>
      <c r="I43">
        <v>259</v>
      </c>
      <c r="J43" s="19">
        <v>1</v>
      </c>
      <c r="K43">
        <v>1</v>
      </c>
      <c r="L43">
        <v>12</v>
      </c>
      <c r="M43">
        <v>12</v>
      </c>
      <c r="N43">
        <v>12</v>
      </c>
      <c r="O43">
        <v>12</v>
      </c>
      <c r="P43" s="1">
        <v>4.6331999999999998E-2</v>
      </c>
    </row>
    <row r="44" spans="1:16" x14ac:dyDescent="0.25">
      <c r="A44" t="s">
        <v>16</v>
      </c>
      <c r="B44" s="15">
        <v>863213365</v>
      </c>
      <c r="C44">
        <v>256</v>
      </c>
      <c r="D44">
        <v>2244</v>
      </c>
      <c r="E44" s="1">
        <v>0.1024</v>
      </c>
      <c r="F44" s="1">
        <v>0.89759999999999995</v>
      </c>
      <c r="G44">
        <v>96</v>
      </c>
      <c r="H44">
        <v>1</v>
      </c>
      <c r="I44">
        <v>256</v>
      </c>
      <c r="J44" s="19">
        <v>1</v>
      </c>
      <c r="K44">
        <v>1</v>
      </c>
      <c r="L44">
        <v>12</v>
      </c>
      <c r="M44">
        <v>12</v>
      </c>
      <c r="N44">
        <v>12</v>
      </c>
      <c r="O44">
        <v>12</v>
      </c>
      <c r="P44" s="1">
        <v>4.6875E-2</v>
      </c>
    </row>
    <row r="45" spans="1:16" x14ac:dyDescent="0.25">
      <c r="A45" t="s">
        <v>16</v>
      </c>
      <c r="B45" s="15">
        <v>339355610</v>
      </c>
      <c r="C45">
        <v>231</v>
      </c>
      <c r="D45">
        <v>2269</v>
      </c>
      <c r="E45" s="1">
        <v>9.2399999999999996E-2</v>
      </c>
      <c r="F45" s="1">
        <v>0.90759999999999996</v>
      </c>
      <c r="G45">
        <v>144</v>
      </c>
      <c r="H45">
        <v>1</v>
      </c>
      <c r="I45">
        <v>231</v>
      </c>
      <c r="J45" s="19">
        <v>1</v>
      </c>
      <c r="K45">
        <v>1</v>
      </c>
      <c r="L45">
        <v>32</v>
      </c>
      <c r="M45">
        <v>32</v>
      </c>
      <c r="N45">
        <v>32</v>
      </c>
      <c r="O45">
        <v>32</v>
      </c>
      <c r="P45" s="1">
        <v>0.13852800000000001</v>
      </c>
    </row>
    <row r="46" spans="1:16" x14ac:dyDescent="0.25">
      <c r="A46" t="s">
        <v>16</v>
      </c>
      <c r="B46" s="15">
        <v>1447675329</v>
      </c>
      <c r="C46">
        <v>212</v>
      </c>
      <c r="D46">
        <v>2288</v>
      </c>
      <c r="E46" s="1">
        <v>8.48E-2</v>
      </c>
      <c r="F46" s="1">
        <v>0.91520000000000001</v>
      </c>
      <c r="G46">
        <v>97</v>
      </c>
      <c r="H46">
        <v>1</v>
      </c>
      <c r="I46">
        <v>212</v>
      </c>
      <c r="J46" s="19">
        <v>1</v>
      </c>
      <c r="K46">
        <v>0</v>
      </c>
      <c r="L46">
        <v>0</v>
      </c>
      <c r="M46">
        <v>0</v>
      </c>
      <c r="N46">
        <v>0</v>
      </c>
      <c r="O46">
        <v>0</v>
      </c>
      <c r="P46" s="1">
        <v>0</v>
      </c>
    </row>
    <row r="47" spans="1:16" x14ac:dyDescent="0.25">
      <c r="A47" t="s">
        <v>16</v>
      </c>
      <c r="B47" s="15">
        <v>1932510238</v>
      </c>
      <c r="C47">
        <v>256</v>
      </c>
      <c r="D47">
        <v>2244</v>
      </c>
      <c r="E47" s="1">
        <v>0.1024</v>
      </c>
      <c r="F47" s="1">
        <v>0.89759999999999995</v>
      </c>
      <c r="G47">
        <v>97</v>
      </c>
      <c r="H47">
        <v>1</v>
      </c>
      <c r="I47">
        <v>256</v>
      </c>
      <c r="J47" s="19">
        <v>1</v>
      </c>
      <c r="K47">
        <v>1</v>
      </c>
      <c r="L47">
        <v>45</v>
      </c>
      <c r="M47">
        <v>45</v>
      </c>
      <c r="N47">
        <v>45</v>
      </c>
      <c r="O47">
        <v>45</v>
      </c>
      <c r="P47" s="1">
        <v>0.17578099999999999</v>
      </c>
    </row>
    <row r="48" spans="1:16" x14ac:dyDescent="0.25">
      <c r="A48" t="s">
        <v>16</v>
      </c>
      <c r="B48" s="15">
        <v>261656514</v>
      </c>
      <c r="C48">
        <v>228</v>
      </c>
      <c r="D48">
        <v>2272</v>
      </c>
      <c r="E48" s="1">
        <v>9.1200000000000003E-2</v>
      </c>
      <c r="F48" s="1">
        <v>0.90880000000000005</v>
      </c>
      <c r="G48">
        <v>97</v>
      </c>
      <c r="H48">
        <v>1</v>
      </c>
      <c r="I48">
        <v>228</v>
      </c>
      <c r="J48" s="19">
        <v>1</v>
      </c>
      <c r="K48">
        <v>0</v>
      </c>
      <c r="L48">
        <v>0</v>
      </c>
      <c r="M48">
        <v>0</v>
      </c>
      <c r="N48">
        <v>0</v>
      </c>
      <c r="O48">
        <v>0</v>
      </c>
      <c r="P48" s="1">
        <v>0</v>
      </c>
    </row>
    <row r="49" spans="1:16" x14ac:dyDescent="0.25">
      <c r="A49" t="s">
        <v>16</v>
      </c>
      <c r="B49" s="15">
        <v>1247743028</v>
      </c>
      <c r="C49">
        <v>196</v>
      </c>
      <c r="D49">
        <v>2304</v>
      </c>
      <c r="E49" s="1">
        <v>7.8399999999999997E-2</v>
      </c>
      <c r="F49" s="1">
        <v>0.92159999999999997</v>
      </c>
      <c r="G49">
        <v>97</v>
      </c>
      <c r="H49">
        <v>1</v>
      </c>
      <c r="I49">
        <v>196</v>
      </c>
      <c r="J49" s="19">
        <v>1</v>
      </c>
      <c r="K49">
        <v>0</v>
      </c>
      <c r="L49">
        <v>0</v>
      </c>
      <c r="M49">
        <v>0</v>
      </c>
      <c r="N49">
        <v>0</v>
      </c>
      <c r="O49">
        <v>0</v>
      </c>
      <c r="P49" s="1">
        <v>0</v>
      </c>
    </row>
    <row r="50" spans="1:16" x14ac:dyDescent="0.25">
      <c r="A50" t="s">
        <v>16</v>
      </c>
      <c r="B50" s="15">
        <v>529997969</v>
      </c>
      <c r="C50">
        <v>225</v>
      </c>
      <c r="D50">
        <v>2275</v>
      </c>
      <c r="E50" s="1">
        <v>0.09</v>
      </c>
      <c r="F50" s="1">
        <v>0.91</v>
      </c>
      <c r="G50">
        <v>97</v>
      </c>
      <c r="H50">
        <v>1</v>
      </c>
      <c r="I50">
        <v>225</v>
      </c>
      <c r="J50" s="19">
        <v>1</v>
      </c>
      <c r="K50">
        <v>1</v>
      </c>
      <c r="L50">
        <v>56</v>
      </c>
      <c r="M50">
        <v>56</v>
      </c>
      <c r="N50">
        <v>56</v>
      </c>
      <c r="O50">
        <v>56</v>
      </c>
      <c r="P50" s="1">
        <v>0.248889</v>
      </c>
    </row>
    <row r="51" spans="1:16" x14ac:dyDescent="0.25">
      <c r="A51" t="s">
        <v>16</v>
      </c>
      <c r="B51" s="15">
        <v>119640935</v>
      </c>
      <c r="C51">
        <v>250</v>
      </c>
      <c r="D51">
        <v>2250</v>
      </c>
      <c r="E51" s="1">
        <v>0.1</v>
      </c>
      <c r="F51" s="1">
        <v>0.9</v>
      </c>
      <c r="G51">
        <v>124</v>
      </c>
      <c r="H51">
        <v>1</v>
      </c>
      <c r="I51">
        <v>250</v>
      </c>
      <c r="J51" s="19">
        <v>1</v>
      </c>
      <c r="K51">
        <v>1</v>
      </c>
      <c r="L51">
        <v>21</v>
      </c>
      <c r="M51">
        <v>21</v>
      </c>
      <c r="N51">
        <v>21</v>
      </c>
      <c r="O51">
        <v>21</v>
      </c>
      <c r="P51" s="1">
        <v>8.4000000000000005E-2</v>
      </c>
    </row>
    <row r="52" spans="1:16" x14ac:dyDescent="0.25">
      <c r="A52" t="s">
        <v>25</v>
      </c>
      <c r="C52">
        <f>SUBTOTAL(101,AgRan_dir5_room5_chance0_step750[floors])</f>
        <v>232.58</v>
      </c>
      <c r="D52">
        <f>SUBTOTAL(101,AgRan_dir5_room5_chance0_step750[walls])</f>
        <v>2267.42</v>
      </c>
      <c r="E52" s="2">
        <f>SUBTOTAL(107,AgRan_dir5_room5_chance0_step750[floor_percent])</f>
        <v>1.2831616565089151E-2</v>
      </c>
      <c r="F52" s="2">
        <f>SUBTOTAL(101,AgRan_dir5_room5_chance0_step750[wall_percent])</f>
        <v>0.90696799999999944</v>
      </c>
      <c r="G52">
        <f>SUBTOTAL(107,AgRan_dir5_room5_chance0_step750[longest_shortest_path])</f>
        <v>25.536816160043045</v>
      </c>
      <c r="H52">
        <f>SUBTOTAL(101,AgRan_dir5_room5_chance0_step750[component_count])</f>
        <v>1</v>
      </c>
      <c r="I52">
        <f>SUBTOTAL(101,AgRan_dir5_room5_chance0_step750[max_component_size])</f>
        <v>232.58</v>
      </c>
      <c r="J52" s="19">
        <f>SUBTOTAL(101,AgRan_dir5_room5_chance0_step750[connectivity_ratio])</f>
        <v>1</v>
      </c>
      <c r="K52">
        <f>SUBTOTAL(101,AgRan_dir5_room5_chance0_step750[room_count])</f>
        <v>0.78</v>
      </c>
      <c r="L52">
        <f>SUBTOTAL(101,AgRan_dir5_room5_chance0_step750[avg_room_size])</f>
        <v>21.24</v>
      </c>
      <c r="M52">
        <f>SUBTOTAL(101,AgRan_dir5_room5_chance0_step750[max_room_size])</f>
        <v>21.24</v>
      </c>
      <c r="N52">
        <f>SUBTOTAL(101,AgRan_dir5_room5_chance0_step750[min_room_size])</f>
        <v>21.24</v>
      </c>
      <c r="O52">
        <f>SUBTOTAL(101,AgRan_dir5_room5_chance0_step750[room_tiles])</f>
        <v>21.24</v>
      </c>
      <c r="P52" s="2">
        <f>SUBTOTAL(101,AgRan_dir5_room5_chance0_step750[room_ratio])</f>
        <v>8.7141959999999991E-2</v>
      </c>
    </row>
    <row r="53" spans="1:16" x14ac:dyDescent="0.25">
      <c r="A53" s="16" t="s">
        <v>26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E035-0C48-400C-AD6B-E4ED103C5BBE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style="15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244789894</v>
      </c>
      <c r="C2">
        <v>1066</v>
      </c>
      <c r="D2">
        <v>1434</v>
      </c>
      <c r="E2" s="1">
        <v>0.4264</v>
      </c>
      <c r="F2" s="1">
        <v>0.5736</v>
      </c>
      <c r="G2">
        <v>64</v>
      </c>
      <c r="H2">
        <v>1</v>
      </c>
      <c r="I2">
        <v>1066</v>
      </c>
      <c r="J2" s="19">
        <v>1</v>
      </c>
      <c r="K2">
        <v>5</v>
      </c>
      <c r="L2">
        <v>188</v>
      </c>
      <c r="M2">
        <v>458</v>
      </c>
      <c r="N2">
        <v>6</v>
      </c>
      <c r="O2">
        <v>940</v>
      </c>
      <c r="P2" s="1">
        <v>0.88180099999999995</v>
      </c>
    </row>
    <row r="3" spans="1:16" x14ac:dyDescent="0.25">
      <c r="A3" t="s">
        <v>16</v>
      </c>
      <c r="B3" s="15">
        <v>756427587</v>
      </c>
      <c r="C3">
        <v>1088</v>
      </c>
      <c r="D3">
        <v>1412</v>
      </c>
      <c r="E3" s="1">
        <v>0.43519999999999998</v>
      </c>
      <c r="F3" s="1">
        <v>0.56479999999999997</v>
      </c>
      <c r="G3">
        <v>97</v>
      </c>
      <c r="H3">
        <v>1</v>
      </c>
      <c r="I3">
        <v>1088</v>
      </c>
      <c r="J3" s="19">
        <v>1</v>
      </c>
      <c r="K3">
        <v>4</v>
      </c>
      <c r="L3">
        <v>244.5</v>
      </c>
      <c r="M3">
        <v>515</v>
      </c>
      <c r="N3">
        <v>69</v>
      </c>
      <c r="O3">
        <v>978</v>
      </c>
      <c r="P3" s="1">
        <v>0.89889699999999995</v>
      </c>
    </row>
    <row r="4" spans="1:16" x14ac:dyDescent="0.25">
      <c r="A4" t="s">
        <v>16</v>
      </c>
      <c r="B4" s="15">
        <v>1776100445</v>
      </c>
      <c r="C4">
        <v>1074</v>
      </c>
      <c r="D4">
        <v>1426</v>
      </c>
      <c r="E4" s="1">
        <v>0.42959999999999998</v>
      </c>
      <c r="F4" s="1">
        <v>0.57040000000000002</v>
      </c>
      <c r="G4">
        <v>63</v>
      </c>
      <c r="H4">
        <v>1</v>
      </c>
      <c r="I4">
        <v>1074</v>
      </c>
      <c r="J4" s="19">
        <v>1</v>
      </c>
      <c r="K4">
        <v>4</v>
      </c>
      <c r="L4">
        <v>243.5</v>
      </c>
      <c r="M4">
        <v>937</v>
      </c>
      <c r="N4">
        <v>6</v>
      </c>
      <c r="O4">
        <v>974</v>
      </c>
      <c r="P4" s="1">
        <v>0.90688999999999997</v>
      </c>
    </row>
    <row r="5" spans="1:16" x14ac:dyDescent="0.25">
      <c r="A5" t="s">
        <v>16</v>
      </c>
      <c r="B5" s="15">
        <v>1208567205</v>
      </c>
      <c r="C5">
        <v>1045</v>
      </c>
      <c r="D5">
        <v>1455</v>
      </c>
      <c r="E5" s="1">
        <v>0.41799999999999998</v>
      </c>
      <c r="F5" s="1">
        <v>0.58199999999999996</v>
      </c>
      <c r="G5">
        <v>99</v>
      </c>
      <c r="H5">
        <v>1</v>
      </c>
      <c r="I5">
        <v>1045</v>
      </c>
      <c r="J5" s="19">
        <v>1</v>
      </c>
      <c r="K5">
        <v>2</v>
      </c>
      <c r="L5">
        <v>473</v>
      </c>
      <c r="M5">
        <v>676</v>
      </c>
      <c r="N5">
        <v>270</v>
      </c>
      <c r="O5">
        <v>946</v>
      </c>
      <c r="P5" s="1">
        <v>0.90526300000000004</v>
      </c>
    </row>
    <row r="6" spans="1:16" x14ac:dyDescent="0.25">
      <c r="A6" t="s">
        <v>16</v>
      </c>
      <c r="B6" s="15">
        <v>1016153873</v>
      </c>
      <c r="C6">
        <v>975</v>
      </c>
      <c r="D6">
        <v>1525</v>
      </c>
      <c r="E6" s="1">
        <v>0.39</v>
      </c>
      <c r="F6" s="1">
        <v>0.61</v>
      </c>
      <c r="G6">
        <v>65</v>
      </c>
      <c r="H6">
        <v>1</v>
      </c>
      <c r="I6">
        <v>975</v>
      </c>
      <c r="J6" s="19">
        <v>1</v>
      </c>
      <c r="K6">
        <v>2</v>
      </c>
      <c r="L6">
        <v>447.5</v>
      </c>
      <c r="M6">
        <v>842</v>
      </c>
      <c r="N6">
        <v>53</v>
      </c>
      <c r="O6">
        <v>895</v>
      </c>
      <c r="P6" s="1">
        <v>0.91794900000000001</v>
      </c>
    </row>
    <row r="7" spans="1:16" x14ac:dyDescent="0.25">
      <c r="A7" t="s">
        <v>16</v>
      </c>
      <c r="B7" s="15">
        <v>1891742960</v>
      </c>
      <c r="C7">
        <v>914</v>
      </c>
      <c r="D7">
        <v>1586</v>
      </c>
      <c r="E7" s="1">
        <v>0.36559999999999998</v>
      </c>
      <c r="F7" s="1">
        <v>0.63439999999999996</v>
      </c>
      <c r="G7">
        <v>70</v>
      </c>
      <c r="H7">
        <v>1</v>
      </c>
      <c r="I7">
        <v>914</v>
      </c>
      <c r="J7" s="19">
        <v>1</v>
      </c>
      <c r="K7">
        <v>4</v>
      </c>
      <c r="L7">
        <v>200.5</v>
      </c>
      <c r="M7">
        <v>549</v>
      </c>
      <c r="N7">
        <v>39</v>
      </c>
      <c r="O7">
        <v>802</v>
      </c>
      <c r="P7" s="1">
        <v>0.87746199999999996</v>
      </c>
    </row>
    <row r="8" spans="1:16" x14ac:dyDescent="0.25">
      <c r="A8" t="s">
        <v>16</v>
      </c>
      <c r="B8" s="15">
        <v>987323482</v>
      </c>
      <c r="C8">
        <v>1364</v>
      </c>
      <c r="D8">
        <v>1136</v>
      </c>
      <c r="E8" s="1">
        <v>0.54559999999999997</v>
      </c>
      <c r="F8" s="1">
        <v>0.45440000000000003</v>
      </c>
      <c r="G8">
        <v>74</v>
      </c>
      <c r="H8">
        <v>1</v>
      </c>
      <c r="I8">
        <v>1364</v>
      </c>
      <c r="J8" s="19">
        <v>1</v>
      </c>
      <c r="K8">
        <v>3</v>
      </c>
      <c r="L8">
        <v>419.66666700000002</v>
      </c>
      <c r="M8">
        <v>1136</v>
      </c>
      <c r="N8">
        <v>61</v>
      </c>
      <c r="O8">
        <v>1259</v>
      </c>
      <c r="P8" s="1">
        <v>0.92302099999999998</v>
      </c>
    </row>
    <row r="9" spans="1:16" x14ac:dyDescent="0.25">
      <c r="A9" t="s">
        <v>16</v>
      </c>
      <c r="B9" s="15">
        <v>1940613201</v>
      </c>
      <c r="C9">
        <v>1427</v>
      </c>
      <c r="D9">
        <v>1073</v>
      </c>
      <c r="E9" s="1">
        <v>0.57079999999999997</v>
      </c>
      <c r="F9" s="1">
        <v>0.42920000000000003</v>
      </c>
      <c r="G9">
        <v>59</v>
      </c>
      <c r="H9">
        <v>1</v>
      </c>
      <c r="I9">
        <v>1427</v>
      </c>
      <c r="J9" s="19">
        <v>1</v>
      </c>
      <c r="K9">
        <v>5</v>
      </c>
      <c r="L9">
        <v>253.6</v>
      </c>
      <c r="M9">
        <v>1154</v>
      </c>
      <c r="N9">
        <v>5</v>
      </c>
      <c r="O9">
        <v>1268</v>
      </c>
      <c r="P9" s="1">
        <v>0.88857699999999995</v>
      </c>
    </row>
    <row r="10" spans="1:16" x14ac:dyDescent="0.25">
      <c r="A10" t="s">
        <v>16</v>
      </c>
      <c r="B10" s="15">
        <v>243167140</v>
      </c>
      <c r="C10">
        <v>1134</v>
      </c>
      <c r="D10">
        <v>1366</v>
      </c>
      <c r="E10" s="1">
        <v>0.4536</v>
      </c>
      <c r="F10" s="1">
        <v>0.5464</v>
      </c>
      <c r="G10">
        <v>53</v>
      </c>
      <c r="H10">
        <v>1</v>
      </c>
      <c r="I10">
        <v>1134</v>
      </c>
      <c r="J10" s="19">
        <v>1</v>
      </c>
      <c r="K10">
        <v>1</v>
      </c>
      <c r="L10">
        <v>1070</v>
      </c>
      <c r="M10">
        <v>1070</v>
      </c>
      <c r="N10">
        <v>1070</v>
      </c>
      <c r="O10">
        <v>1070</v>
      </c>
      <c r="P10" s="1">
        <v>0.94356300000000004</v>
      </c>
    </row>
    <row r="11" spans="1:16" x14ac:dyDescent="0.25">
      <c r="A11" t="s">
        <v>16</v>
      </c>
      <c r="B11" s="15">
        <v>949490296</v>
      </c>
      <c r="C11">
        <v>1115</v>
      </c>
      <c r="D11">
        <v>1385</v>
      </c>
      <c r="E11" s="1">
        <v>0.44600000000000001</v>
      </c>
      <c r="F11" s="1">
        <v>0.55400000000000005</v>
      </c>
      <c r="G11">
        <v>65</v>
      </c>
      <c r="H11">
        <v>1</v>
      </c>
      <c r="I11">
        <v>1115</v>
      </c>
      <c r="J11" s="19">
        <v>1</v>
      </c>
      <c r="K11">
        <v>3</v>
      </c>
      <c r="L11">
        <v>335.66666700000002</v>
      </c>
      <c r="M11">
        <v>500</v>
      </c>
      <c r="N11">
        <v>12</v>
      </c>
      <c r="O11">
        <v>1007</v>
      </c>
      <c r="P11" s="1">
        <v>0.90313900000000003</v>
      </c>
    </row>
    <row r="12" spans="1:16" x14ac:dyDescent="0.25">
      <c r="A12" t="s">
        <v>16</v>
      </c>
      <c r="B12" s="15">
        <v>1586541134</v>
      </c>
      <c r="C12">
        <v>1163</v>
      </c>
      <c r="D12">
        <v>1337</v>
      </c>
      <c r="E12" s="1">
        <v>0.4652</v>
      </c>
      <c r="F12" s="1">
        <v>0.53480000000000005</v>
      </c>
      <c r="G12">
        <v>63</v>
      </c>
      <c r="H12">
        <v>1</v>
      </c>
      <c r="I12">
        <v>1163</v>
      </c>
      <c r="J12" s="19">
        <v>1</v>
      </c>
      <c r="K12">
        <v>1</v>
      </c>
      <c r="L12">
        <v>1116</v>
      </c>
      <c r="M12">
        <v>1116</v>
      </c>
      <c r="N12">
        <v>1116</v>
      </c>
      <c r="O12">
        <v>1116</v>
      </c>
      <c r="P12" s="1">
        <v>0.95958699999999997</v>
      </c>
    </row>
    <row r="13" spans="1:16" x14ac:dyDescent="0.25">
      <c r="A13" t="s">
        <v>16</v>
      </c>
      <c r="B13" s="15">
        <v>1111373430</v>
      </c>
      <c r="C13">
        <v>1229</v>
      </c>
      <c r="D13">
        <v>1271</v>
      </c>
      <c r="E13" s="1">
        <v>0.49159999999999998</v>
      </c>
      <c r="F13" s="1">
        <v>0.50839999999999996</v>
      </c>
      <c r="G13">
        <v>70</v>
      </c>
      <c r="H13">
        <v>1</v>
      </c>
      <c r="I13">
        <v>1229</v>
      </c>
      <c r="J13" s="19">
        <v>1</v>
      </c>
      <c r="K13">
        <v>3</v>
      </c>
      <c r="L13">
        <v>371.33333299999998</v>
      </c>
      <c r="M13">
        <v>772</v>
      </c>
      <c r="N13">
        <v>12</v>
      </c>
      <c r="O13">
        <v>1114</v>
      </c>
      <c r="P13" s="1">
        <v>0.90642800000000001</v>
      </c>
    </row>
    <row r="14" spans="1:16" x14ac:dyDescent="0.25">
      <c r="A14" t="s">
        <v>16</v>
      </c>
      <c r="B14" s="15">
        <v>1289962208</v>
      </c>
      <c r="C14">
        <v>1183</v>
      </c>
      <c r="D14">
        <v>1317</v>
      </c>
      <c r="E14" s="1">
        <v>0.47320000000000001</v>
      </c>
      <c r="F14" s="1">
        <v>0.52680000000000005</v>
      </c>
      <c r="G14">
        <v>63</v>
      </c>
      <c r="H14">
        <v>1</v>
      </c>
      <c r="I14">
        <v>1183</v>
      </c>
      <c r="J14" s="19">
        <v>1</v>
      </c>
      <c r="K14">
        <v>2</v>
      </c>
      <c r="L14">
        <v>560</v>
      </c>
      <c r="M14">
        <v>956</v>
      </c>
      <c r="N14">
        <v>164</v>
      </c>
      <c r="O14">
        <v>1120</v>
      </c>
      <c r="P14" s="1">
        <v>0.94674599999999998</v>
      </c>
    </row>
    <row r="15" spans="1:16" x14ac:dyDescent="0.25">
      <c r="A15" t="s">
        <v>16</v>
      </c>
      <c r="B15" s="15">
        <v>1842801996</v>
      </c>
      <c r="C15">
        <v>1123</v>
      </c>
      <c r="D15">
        <v>1377</v>
      </c>
      <c r="E15" s="1">
        <v>0.44919999999999999</v>
      </c>
      <c r="F15" s="1">
        <v>0.55079999999999996</v>
      </c>
      <c r="G15">
        <v>57</v>
      </c>
      <c r="H15">
        <v>1</v>
      </c>
      <c r="I15">
        <v>1123</v>
      </c>
      <c r="J15" s="19">
        <v>1</v>
      </c>
      <c r="K15">
        <v>1</v>
      </c>
      <c r="L15">
        <v>1067</v>
      </c>
      <c r="M15">
        <v>1067</v>
      </c>
      <c r="N15">
        <v>1067</v>
      </c>
      <c r="O15">
        <v>1067</v>
      </c>
      <c r="P15" s="1">
        <v>0.95013400000000003</v>
      </c>
    </row>
    <row r="16" spans="1:16" x14ac:dyDescent="0.25">
      <c r="A16" t="s">
        <v>16</v>
      </c>
      <c r="B16" s="15">
        <v>1599949734</v>
      </c>
      <c r="C16">
        <v>1145</v>
      </c>
      <c r="D16">
        <v>1355</v>
      </c>
      <c r="E16" s="1">
        <v>0.45800000000000002</v>
      </c>
      <c r="F16" s="1">
        <v>0.54200000000000004</v>
      </c>
      <c r="G16">
        <v>54</v>
      </c>
      <c r="H16">
        <v>1</v>
      </c>
      <c r="I16">
        <v>1145</v>
      </c>
      <c r="J16" s="19">
        <v>1</v>
      </c>
      <c r="K16">
        <v>2</v>
      </c>
      <c r="L16">
        <v>508.5</v>
      </c>
      <c r="M16">
        <v>906</v>
      </c>
      <c r="N16">
        <v>111</v>
      </c>
      <c r="O16">
        <v>1017</v>
      </c>
      <c r="P16" s="1">
        <v>0.88821000000000006</v>
      </c>
    </row>
    <row r="17" spans="1:16" x14ac:dyDescent="0.25">
      <c r="A17" t="s">
        <v>16</v>
      </c>
      <c r="B17" s="15">
        <v>2030105173</v>
      </c>
      <c r="C17">
        <v>1041</v>
      </c>
      <c r="D17">
        <v>1459</v>
      </c>
      <c r="E17" s="1">
        <v>0.41639999999999999</v>
      </c>
      <c r="F17" s="1">
        <v>0.58360000000000001</v>
      </c>
      <c r="G17">
        <v>87</v>
      </c>
      <c r="H17">
        <v>1</v>
      </c>
      <c r="I17">
        <v>1041</v>
      </c>
      <c r="J17" s="19">
        <v>1</v>
      </c>
      <c r="K17">
        <v>6</v>
      </c>
      <c r="L17">
        <v>151.33333300000001</v>
      </c>
      <c r="M17">
        <v>463</v>
      </c>
      <c r="N17">
        <v>5</v>
      </c>
      <c r="O17">
        <v>908</v>
      </c>
      <c r="P17" s="1">
        <v>0.87223799999999996</v>
      </c>
    </row>
    <row r="18" spans="1:16" x14ac:dyDescent="0.25">
      <c r="A18" t="s">
        <v>16</v>
      </c>
      <c r="B18" s="15">
        <v>681715811</v>
      </c>
      <c r="C18">
        <v>960</v>
      </c>
      <c r="D18">
        <v>1540</v>
      </c>
      <c r="E18" s="1">
        <v>0.38400000000000001</v>
      </c>
      <c r="F18" s="1">
        <v>0.61599999999999999</v>
      </c>
      <c r="G18">
        <v>44</v>
      </c>
      <c r="H18">
        <v>1</v>
      </c>
      <c r="I18">
        <v>960</v>
      </c>
      <c r="J18" s="19">
        <v>1</v>
      </c>
      <c r="K18">
        <v>3</v>
      </c>
      <c r="L18">
        <v>288</v>
      </c>
      <c r="M18">
        <v>839</v>
      </c>
      <c r="N18">
        <v>5</v>
      </c>
      <c r="O18">
        <v>864</v>
      </c>
      <c r="P18" s="1">
        <v>0.9</v>
      </c>
    </row>
    <row r="19" spans="1:16" x14ac:dyDescent="0.25">
      <c r="A19" t="s">
        <v>16</v>
      </c>
      <c r="B19" s="15">
        <v>2128918865</v>
      </c>
      <c r="C19">
        <v>917</v>
      </c>
      <c r="D19">
        <v>1583</v>
      </c>
      <c r="E19" s="1">
        <v>0.36680000000000001</v>
      </c>
      <c r="F19" s="1">
        <v>0.63319999999999999</v>
      </c>
      <c r="G19">
        <v>109</v>
      </c>
      <c r="H19">
        <v>1</v>
      </c>
      <c r="I19">
        <v>917</v>
      </c>
      <c r="J19" s="19">
        <v>1</v>
      </c>
      <c r="K19">
        <v>4</v>
      </c>
      <c r="L19">
        <v>193.5</v>
      </c>
      <c r="M19">
        <v>457</v>
      </c>
      <c r="N19">
        <v>56</v>
      </c>
      <c r="O19">
        <v>774</v>
      </c>
      <c r="P19" s="1">
        <v>0.84405699999999995</v>
      </c>
    </row>
    <row r="20" spans="1:16" x14ac:dyDescent="0.25">
      <c r="A20" t="s">
        <v>16</v>
      </c>
      <c r="B20" s="15">
        <v>1920294290</v>
      </c>
      <c r="C20">
        <v>911</v>
      </c>
      <c r="D20">
        <v>1589</v>
      </c>
      <c r="E20" s="1">
        <v>0.3644</v>
      </c>
      <c r="F20" s="1">
        <v>0.63560000000000005</v>
      </c>
      <c r="G20">
        <v>71</v>
      </c>
      <c r="H20">
        <v>1</v>
      </c>
      <c r="I20">
        <v>911</v>
      </c>
      <c r="J20" s="19">
        <v>1</v>
      </c>
      <c r="K20">
        <v>2</v>
      </c>
      <c r="L20">
        <v>407</v>
      </c>
      <c r="M20">
        <v>782</v>
      </c>
      <c r="N20">
        <v>32</v>
      </c>
      <c r="O20">
        <v>814</v>
      </c>
      <c r="P20" s="1">
        <v>0.89352399999999998</v>
      </c>
    </row>
    <row r="21" spans="1:16" x14ac:dyDescent="0.25">
      <c r="A21" t="s">
        <v>16</v>
      </c>
      <c r="B21" s="15">
        <v>550639384</v>
      </c>
      <c r="C21">
        <v>1182</v>
      </c>
      <c r="D21">
        <v>1318</v>
      </c>
      <c r="E21" s="1">
        <v>0.4728</v>
      </c>
      <c r="F21" s="1">
        <v>0.5272</v>
      </c>
      <c r="G21">
        <v>70</v>
      </c>
      <c r="H21">
        <v>1</v>
      </c>
      <c r="I21">
        <v>1182</v>
      </c>
      <c r="J21" s="19">
        <v>1</v>
      </c>
      <c r="K21">
        <v>2</v>
      </c>
      <c r="L21">
        <v>527</v>
      </c>
      <c r="M21">
        <v>859</v>
      </c>
      <c r="N21">
        <v>195</v>
      </c>
      <c r="O21">
        <v>1054</v>
      </c>
      <c r="P21" s="1">
        <v>0.89170899999999997</v>
      </c>
    </row>
    <row r="22" spans="1:16" x14ac:dyDescent="0.25">
      <c r="A22" t="s">
        <v>16</v>
      </c>
      <c r="B22" s="15">
        <v>683877456</v>
      </c>
      <c r="C22">
        <v>883</v>
      </c>
      <c r="D22">
        <v>1617</v>
      </c>
      <c r="E22" s="1">
        <v>0.35320000000000001</v>
      </c>
      <c r="F22" s="1">
        <v>0.64680000000000004</v>
      </c>
      <c r="G22">
        <v>57</v>
      </c>
      <c r="H22">
        <v>1</v>
      </c>
      <c r="I22">
        <v>883</v>
      </c>
      <c r="J22" s="19">
        <v>1</v>
      </c>
      <c r="K22">
        <v>2</v>
      </c>
      <c r="L22">
        <v>395.5</v>
      </c>
      <c r="M22">
        <v>733</v>
      </c>
      <c r="N22">
        <v>58</v>
      </c>
      <c r="O22">
        <v>791</v>
      </c>
      <c r="P22" s="1">
        <v>0.89581</v>
      </c>
    </row>
    <row r="23" spans="1:16" x14ac:dyDescent="0.25">
      <c r="A23" t="s">
        <v>16</v>
      </c>
      <c r="B23" s="15">
        <v>210326864</v>
      </c>
      <c r="C23">
        <v>1051</v>
      </c>
      <c r="D23">
        <v>1449</v>
      </c>
      <c r="E23" s="1">
        <v>0.4204</v>
      </c>
      <c r="F23" s="1">
        <v>0.5796</v>
      </c>
      <c r="G23">
        <v>84</v>
      </c>
      <c r="H23">
        <v>1</v>
      </c>
      <c r="I23">
        <v>1051</v>
      </c>
      <c r="J23" s="19">
        <v>1</v>
      </c>
      <c r="K23">
        <v>4</v>
      </c>
      <c r="L23">
        <v>233</v>
      </c>
      <c r="M23">
        <v>814</v>
      </c>
      <c r="N23">
        <v>5</v>
      </c>
      <c r="O23">
        <v>932</v>
      </c>
      <c r="P23" s="1">
        <v>0.88677499999999998</v>
      </c>
    </row>
    <row r="24" spans="1:16" x14ac:dyDescent="0.25">
      <c r="A24" t="s">
        <v>16</v>
      </c>
      <c r="B24" s="15">
        <v>2118446676</v>
      </c>
      <c r="C24">
        <v>853</v>
      </c>
      <c r="D24">
        <v>1647</v>
      </c>
      <c r="E24" s="1">
        <v>0.3412</v>
      </c>
      <c r="F24" s="1">
        <v>0.65880000000000005</v>
      </c>
      <c r="G24">
        <v>52</v>
      </c>
      <c r="H24">
        <v>1</v>
      </c>
      <c r="I24">
        <v>853</v>
      </c>
      <c r="J24" s="19">
        <v>1</v>
      </c>
      <c r="K24">
        <v>1</v>
      </c>
      <c r="L24">
        <v>780</v>
      </c>
      <c r="M24">
        <v>780</v>
      </c>
      <c r="N24">
        <v>780</v>
      </c>
      <c r="O24">
        <v>780</v>
      </c>
      <c r="P24" s="1">
        <v>0.91442000000000001</v>
      </c>
    </row>
    <row r="25" spans="1:16" x14ac:dyDescent="0.25">
      <c r="A25" t="s">
        <v>16</v>
      </c>
      <c r="B25" s="15">
        <v>61883951</v>
      </c>
      <c r="C25">
        <v>1283</v>
      </c>
      <c r="D25">
        <v>1217</v>
      </c>
      <c r="E25" s="1">
        <v>0.51319999999999999</v>
      </c>
      <c r="F25" s="1">
        <v>0.48680000000000001</v>
      </c>
      <c r="G25">
        <v>59</v>
      </c>
      <c r="H25">
        <v>1</v>
      </c>
      <c r="I25">
        <v>1283</v>
      </c>
      <c r="J25" s="19">
        <v>1</v>
      </c>
      <c r="K25">
        <v>3</v>
      </c>
      <c r="L25">
        <v>386.66666700000002</v>
      </c>
      <c r="M25">
        <v>1149</v>
      </c>
      <c r="N25">
        <v>5</v>
      </c>
      <c r="O25">
        <v>1160</v>
      </c>
      <c r="P25" s="1">
        <v>0.90413100000000002</v>
      </c>
    </row>
    <row r="26" spans="1:16" x14ac:dyDescent="0.25">
      <c r="A26" t="s">
        <v>16</v>
      </c>
      <c r="B26" s="15">
        <v>486674017</v>
      </c>
      <c r="C26">
        <v>1260</v>
      </c>
      <c r="D26">
        <v>1240</v>
      </c>
      <c r="E26" s="1">
        <v>0.504</v>
      </c>
      <c r="F26" s="1">
        <v>0.496</v>
      </c>
      <c r="G26">
        <v>61</v>
      </c>
      <c r="H26">
        <v>1</v>
      </c>
      <c r="I26">
        <v>1260</v>
      </c>
      <c r="J26" s="19">
        <v>1</v>
      </c>
      <c r="K26">
        <v>6</v>
      </c>
      <c r="L26">
        <v>182.83333300000001</v>
      </c>
      <c r="M26">
        <v>669</v>
      </c>
      <c r="N26">
        <v>5</v>
      </c>
      <c r="O26">
        <v>1097</v>
      </c>
      <c r="P26" s="1">
        <v>0.87063500000000005</v>
      </c>
    </row>
    <row r="27" spans="1:16" x14ac:dyDescent="0.25">
      <c r="A27" t="s">
        <v>16</v>
      </c>
      <c r="B27" s="15">
        <v>132367056</v>
      </c>
      <c r="C27">
        <v>1538</v>
      </c>
      <c r="D27">
        <v>962</v>
      </c>
      <c r="E27" s="1">
        <v>0.61519999999999997</v>
      </c>
      <c r="F27" s="1">
        <v>0.38479999999999998</v>
      </c>
      <c r="G27">
        <v>59</v>
      </c>
      <c r="H27">
        <v>1</v>
      </c>
      <c r="I27">
        <v>1538</v>
      </c>
      <c r="J27" s="19">
        <v>1</v>
      </c>
      <c r="K27">
        <v>1</v>
      </c>
      <c r="L27">
        <v>1441</v>
      </c>
      <c r="M27">
        <v>1441</v>
      </c>
      <c r="N27">
        <v>1441</v>
      </c>
      <c r="O27">
        <v>1441</v>
      </c>
      <c r="P27" s="1">
        <v>0.93693099999999996</v>
      </c>
    </row>
    <row r="28" spans="1:16" x14ac:dyDescent="0.25">
      <c r="A28" t="s">
        <v>16</v>
      </c>
      <c r="B28" s="15">
        <v>1423556308</v>
      </c>
      <c r="C28">
        <v>1212</v>
      </c>
      <c r="D28">
        <v>1288</v>
      </c>
      <c r="E28" s="1">
        <v>0.48480000000000001</v>
      </c>
      <c r="F28" s="1">
        <v>0.51519999999999999</v>
      </c>
      <c r="G28">
        <v>56</v>
      </c>
      <c r="H28">
        <v>1</v>
      </c>
      <c r="I28">
        <v>1212</v>
      </c>
      <c r="J28" s="19">
        <v>1</v>
      </c>
      <c r="K28">
        <v>3</v>
      </c>
      <c r="L28">
        <v>378.33333299999998</v>
      </c>
      <c r="M28">
        <v>1047</v>
      </c>
      <c r="N28">
        <v>32</v>
      </c>
      <c r="O28">
        <v>1135</v>
      </c>
      <c r="P28" s="1">
        <v>0.936469</v>
      </c>
    </row>
    <row r="29" spans="1:16" x14ac:dyDescent="0.25">
      <c r="A29" t="s">
        <v>16</v>
      </c>
      <c r="B29" s="15">
        <v>1388816142</v>
      </c>
      <c r="C29">
        <v>1129</v>
      </c>
      <c r="D29">
        <v>1371</v>
      </c>
      <c r="E29" s="1">
        <v>0.4516</v>
      </c>
      <c r="F29" s="1">
        <v>0.5484</v>
      </c>
      <c r="G29">
        <v>83</v>
      </c>
      <c r="H29">
        <v>1</v>
      </c>
      <c r="I29">
        <v>1129</v>
      </c>
      <c r="J29" s="19">
        <v>1</v>
      </c>
      <c r="K29">
        <v>2</v>
      </c>
      <c r="L29">
        <v>518.5</v>
      </c>
      <c r="M29">
        <v>960</v>
      </c>
      <c r="N29">
        <v>77</v>
      </c>
      <c r="O29">
        <v>1037</v>
      </c>
      <c r="P29" s="1">
        <v>0.918512</v>
      </c>
    </row>
    <row r="30" spans="1:16" x14ac:dyDescent="0.25">
      <c r="A30" t="s">
        <v>16</v>
      </c>
      <c r="B30" s="15">
        <v>864254639</v>
      </c>
      <c r="C30">
        <v>1168</v>
      </c>
      <c r="D30">
        <v>1332</v>
      </c>
      <c r="E30" s="1">
        <v>0.4672</v>
      </c>
      <c r="F30" s="1">
        <v>0.53280000000000005</v>
      </c>
      <c r="G30">
        <v>111</v>
      </c>
      <c r="H30">
        <v>1</v>
      </c>
      <c r="I30">
        <v>1168</v>
      </c>
      <c r="J30" s="19">
        <v>1</v>
      </c>
      <c r="K30">
        <v>5</v>
      </c>
      <c r="L30">
        <v>203.8</v>
      </c>
      <c r="M30">
        <v>697</v>
      </c>
      <c r="N30">
        <v>5</v>
      </c>
      <c r="O30">
        <v>1019</v>
      </c>
      <c r="P30" s="1">
        <v>0.87243199999999999</v>
      </c>
    </row>
    <row r="31" spans="1:16" x14ac:dyDescent="0.25">
      <c r="A31" t="s">
        <v>16</v>
      </c>
      <c r="B31" s="15">
        <v>1755516790</v>
      </c>
      <c r="C31">
        <v>1138</v>
      </c>
      <c r="D31">
        <v>1362</v>
      </c>
      <c r="E31" s="1">
        <v>0.45519999999999999</v>
      </c>
      <c r="F31" s="1">
        <v>0.54479999999999995</v>
      </c>
      <c r="G31">
        <v>61</v>
      </c>
      <c r="H31">
        <v>1</v>
      </c>
      <c r="I31">
        <v>1138</v>
      </c>
      <c r="J31" s="19">
        <v>1</v>
      </c>
      <c r="K31">
        <v>4</v>
      </c>
      <c r="L31">
        <v>249.75</v>
      </c>
      <c r="M31">
        <v>612</v>
      </c>
      <c r="N31">
        <v>32</v>
      </c>
      <c r="O31">
        <v>999</v>
      </c>
      <c r="P31" s="1">
        <v>0.87785599999999997</v>
      </c>
    </row>
    <row r="32" spans="1:16" x14ac:dyDescent="0.25">
      <c r="A32" t="s">
        <v>16</v>
      </c>
      <c r="B32" s="15">
        <v>493984868</v>
      </c>
      <c r="C32">
        <v>1177</v>
      </c>
      <c r="D32">
        <v>1323</v>
      </c>
      <c r="E32" s="1">
        <v>0.4708</v>
      </c>
      <c r="F32" s="1">
        <v>0.5292</v>
      </c>
      <c r="G32">
        <v>48</v>
      </c>
      <c r="H32">
        <v>1</v>
      </c>
      <c r="I32">
        <v>1177</v>
      </c>
      <c r="J32" s="19">
        <v>1</v>
      </c>
      <c r="K32">
        <v>1</v>
      </c>
      <c r="L32">
        <v>1094</v>
      </c>
      <c r="M32">
        <v>1094</v>
      </c>
      <c r="N32">
        <v>1094</v>
      </c>
      <c r="O32">
        <v>1094</v>
      </c>
      <c r="P32" s="1">
        <v>0.92948200000000003</v>
      </c>
    </row>
    <row r="33" spans="1:16" x14ac:dyDescent="0.25">
      <c r="A33" t="s">
        <v>16</v>
      </c>
      <c r="B33" s="15">
        <v>1779573277</v>
      </c>
      <c r="C33">
        <v>1039</v>
      </c>
      <c r="D33">
        <v>1461</v>
      </c>
      <c r="E33" s="1">
        <v>0.41560000000000002</v>
      </c>
      <c r="F33" s="1">
        <v>0.58440000000000003</v>
      </c>
      <c r="G33">
        <v>47</v>
      </c>
      <c r="H33">
        <v>1</v>
      </c>
      <c r="I33">
        <v>1039</v>
      </c>
      <c r="J33" s="19">
        <v>1</v>
      </c>
      <c r="K33">
        <v>1</v>
      </c>
      <c r="L33">
        <v>1012</v>
      </c>
      <c r="M33">
        <v>1012</v>
      </c>
      <c r="N33">
        <v>1012</v>
      </c>
      <c r="O33">
        <v>1012</v>
      </c>
      <c r="P33" s="1">
        <v>0.97401300000000002</v>
      </c>
    </row>
    <row r="34" spans="1:16" x14ac:dyDescent="0.25">
      <c r="A34" t="s">
        <v>16</v>
      </c>
      <c r="B34" s="15">
        <v>1861810887</v>
      </c>
      <c r="C34">
        <v>993</v>
      </c>
      <c r="D34">
        <v>1507</v>
      </c>
      <c r="E34" s="1">
        <v>0.3972</v>
      </c>
      <c r="F34" s="1">
        <v>0.6028</v>
      </c>
      <c r="G34">
        <v>47</v>
      </c>
      <c r="H34">
        <v>1</v>
      </c>
      <c r="I34">
        <v>993</v>
      </c>
      <c r="J34" s="19">
        <v>1</v>
      </c>
      <c r="K34">
        <v>1</v>
      </c>
      <c r="L34">
        <v>941</v>
      </c>
      <c r="M34">
        <v>941</v>
      </c>
      <c r="N34">
        <v>941</v>
      </c>
      <c r="O34">
        <v>941</v>
      </c>
      <c r="P34" s="1">
        <v>0.94763299999999995</v>
      </c>
    </row>
    <row r="35" spans="1:16" x14ac:dyDescent="0.25">
      <c r="A35" t="s">
        <v>16</v>
      </c>
      <c r="B35" s="15">
        <v>1603214546</v>
      </c>
      <c r="C35">
        <v>1154</v>
      </c>
      <c r="D35">
        <v>1346</v>
      </c>
      <c r="E35" s="1">
        <v>0.46160000000000001</v>
      </c>
      <c r="F35" s="1">
        <v>0.53839999999999999</v>
      </c>
      <c r="G35">
        <v>35</v>
      </c>
      <c r="H35">
        <v>1</v>
      </c>
      <c r="I35">
        <v>1154</v>
      </c>
      <c r="J35" s="19">
        <v>1</v>
      </c>
      <c r="K35">
        <v>2</v>
      </c>
      <c r="L35">
        <v>542</v>
      </c>
      <c r="M35">
        <v>1063</v>
      </c>
      <c r="N35">
        <v>21</v>
      </c>
      <c r="O35">
        <v>1084</v>
      </c>
      <c r="P35" s="1">
        <v>0.93934099999999998</v>
      </c>
    </row>
    <row r="36" spans="1:16" x14ac:dyDescent="0.25">
      <c r="A36" t="s">
        <v>16</v>
      </c>
      <c r="B36" s="15">
        <v>1645581081</v>
      </c>
      <c r="C36">
        <v>1148</v>
      </c>
      <c r="D36">
        <v>1352</v>
      </c>
      <c r="E36" s="1">
        <v>0.4592</v>
      </c>
      <c r="F36" s="1">
        <v>0.54079999999999995</v>
      </c>
      <c r="G36">
        <v>74</v>
      </c>
      <c r="H36">
        <v>1</v>
      </c>
      <c r="I36">
        <v>1148</v>
      </c>
      <c r="J36" s="19">
        <v>1</v>
      </c>
      <c r="K36">
        <v>1</v>
      </c>
      <c r="L36">
        <v>1059</v>
      </c>
      <c r="M36">
        <v>1059</v>
      </c>
      <c r="N36">
        <v>1059</v>
      </c>
      <c r="O36">
        <v>1059</v>
      </c>
      <c r="P36" s="1">
        <v>0.92247400000000002</v>
      </c>
    </row>
    <row r="37" spans="1:16" x14ac:dyDescent="0.25">
      <c r="A37" t="s">
        <v>16</v>
      </c>
      <c r="B37" s="15">
        <v>1815762062</v>
      </c>
      <c r="C37">
        <v>584</v>
      </c>
      <c r="D37">
        <v>1916</v>
      </c>
      <c r="E37" s="1">
        <v>0.2336</v>
      </c>
      <c r="F37" s="1">
        <v>0.76639999999999997</v>
      </c>
      <c r="G37">
        <v>41</v>
      </c>
      <c r="H37">
        <v>1</v>
      </c>
      <c r="I37">
        <v>584</v>
      </c>
      <c r="J37" s="19">
        <v>1</v>
      </c>
      <c r="K37">
        <v>1</v>
      </c>
      <c r="L37">
        <v>546</v>
      </c>
      <c r="M37">
        <v>546</v>
      </c>
      <c r="N37">
        <v>546</v>
      </c>
      <c r="O37">
        <v>546</v>
      </c>
      <c r="P37" s="1">
        <v>0.93493199999999999</v>
      </c>
    </row>
    <row r="38" spans="1:16" x14ac:dyDescent="0.25">
      <c r="A38" t="s">
        <v>16</v>
      </c>
      <c r="B38" s="15">
        <v>631001442</v>
      </c>
      <c r="C38">
        <v>1099</v>
      </c>
      <c r="D38">
        <v>1401</v>
      </c>
      <c r="E38" s="1">
        <v>0.43959999999999999</v>
      </c>
      <c r="F38" s="1">
        <v>0.56040000000000001</v>
      </c>
      <c r="G38">
        <v>64</v>
      </c>
      <c r="H38">
        <v>1</v>
      </c>
      <c r="I38">
        <v>1099</v>
      </c>
      <c r="J38" s="19">
        <v>1</v>
      </c>
      <c r="K38">
        <v>4</v>
      </c>
      <c r="L38">
        <v>247.5</v>
      </c>
      <c r="M38">
        <v>921</v>
      </c>
      <c r="N38">
        <v>12</v>
      </c>
      <c r="O38">
        <v>990</v>
      </c>
      <c r="P38" s="1">
        <v>0.90081900000000004</v>
      </c>
    </row>
    <row r="39" spans="1:16" x14ac:dyDescent="0.25">
      <c r="A39" t="s">
        <v>16</v>
      </c>
      <c r="B39" s="15">
        <v>2080399084</v>
      </c>
      <c r="C39">
        <v>1360</v>
      </c>
      <c r="D39">
        <v>1140</v>
      </c>
      <c r="E39" s="1">
        <v>0.54400000000000004</v>
      </c>
      <c r="F39" s="1">
        <v>0.45600000000000002</v>
      </c>
      <c r="G39">
        <v>64</v>
      </c>
      <c r="H39">
        <v>1</v>
      </c>
      <c r="I39">
        <v>1360</v>
      </c>
      <c r="J39" s="19">
        <v>1</v>
      </c>
      <c r="K39">
        <v>2</v>
      </c>
      <c r="L39">
        <v>619.5</v>
      </c>
      <c r="M39">
        <v>1173</v>
      </c>
      <c r="N39">
        <v>66</v>
      </c>
      <c r="O39">
        <v>1239</v>
      </c>
      <c r="P39" s="1">
        <v>0.91102899999999998</v>
      </c>
    </row>
    <row r="40" spans="1:16" x14ac:dyDescent="0.25">
      <c r="A40" t="s">
        <v>16</v>
      </c>
      <c r="B40" s="15">
        <v>1300837100</v>
      </c>
      <c r="C40">
        <v>1104</v>
      </c>
      <c r="D40">
        <v>1396</v>
      </c>
      <c r="E40" s="1">
        <v>0.44159999999999999</v>
      </c>
      <c r="F40" s="1">
        <v>0.55840000000000001</v>
      </c>
      <c r="G40">
        <v>45</v>
      </c>
      <c r="H40">
        <v>1</v>
      </c>
      <c r="I40">
        <v>1104</v>
      </c>
      <c r="J40" s="19">
        <v>1</v>
      </c>
      <c r="K40">
        <v>1</v>
      </c>
      <c r="L40">
        <v>1028</v>
      </c>
      <c r="M40">
        <v>1028</v>
      </c>
      <c r="N40">
        <v>1028</v>
      </c>
      <c r="O40">
        <v>1028</v>
      </c>
      <c r="P40" s="1">
        <v>0.93115899999999996</v>
      </c>
    </row>
    <row r="41" spans="1:16" x14ac:dyDescent="0.25">
      <c r="A41" t="s">
        <v>16</v>
      </c>
      <c r="B41" s="15">
        <v>1565533985</v>
      </c>
      <c r="C41">
        <v>1358</v>
      </c>
      <c r="D41">
        <v>1142</v>
      </c>
      <c r="E41" s="1">
        <v>0.54320000000000002</v>
      </c>
      <c r="F41" s="1">
        <v>0.45679999999999998</v>
      </c>
      <c r="G41">
        <v>67</v>
      </c>
      <c r="H41">
        <v>1</v>
      </c>
      <c r="I41">
        <v>1358</v>
      </c>
      <c r="J41" s="19">
        <v>1</v>
      </c>
      <c r="K41">
        <v>4</v>
      </c>
      <c r="L41">
        <v>301</v>
      </c>
      <c r="M41">
        <v>1131</v>
      </c>
      <c r="N41">
        <v>6</v>
      </c>
      <c r="O41">
        <v>1204</v>
      </c>
      <c r="P41" s="1">
        <v>0.886598</v>
      </c>
    </row>
    <row r="42" spans="1:16" x14ac:dyDescent="0.25">
      <c r="A42" t="s">
        <v>16</v>
      </c>
      <c r="B42" s="15">
        <v>66403179</v>
      </c>
      <c r="C42">
        <v>1349</v>
      </c>
      <c r="D42">
        <v>1151</v>
      </c>
      <c r="E42" s="1">
        <v>0.53959999999999997</v>
      </c>
      <c r="F42" s="1">
        <v>0.46039999999999998</v>
      </c>
      <c r="G42">
        <v>51</v>
      </c>
      <c r="H42">
        <v>1</v>
      </c>
      <c r="I42">
        <v>1349</v>
      </c>
      <c r="J42" s="19">
        <v>1</v>
      </c>
      <c r="K42">
        <v>2</v>
      </c>
      <c r="L42">
        <v>622</v>
      </c>
      <c r="M42">
        <v>1232</v>
      </c>
      <c r="N42">
        <v>12</v>
      </c>
      <c r="O42">
        <v>1244</v>
      </c>
      <c r="P42" s="1">
        <v>0.92216500000000001</v>
      </c>
    </row>
    <row r="43" spans="1:16" x14ac:dyDescent="0.25">
      <c r="A43" t="s">
        <v>16</v>
      </c>
      <c r="B43" s="15">
        <v>519011078</v>
      </c>
      <c r="C43">
        <v>869</v>
      </c>
      <c r="D43">
        <v>1631</v>
      </c>
      <c r="E43" s="1">
        <v>0.34760000000000002</v>
      </c>
      <c r="F43" s="1">
        <v>0.65239999999999998</v>
      </c>
      <c r="G43">
        <v>52</v>
      </c>
      <c r="H43">
        <v>1</v>
      </c>
      <c r="I43">
        <v>869</v>
      </c>
      <c r="J43" s="19">
        <v>1</v>
      </c>
      <c r="K43">
        <v>2</v>
      </c>
      <c r="L43">
        <v>403</v>
      </c>
      <c r="M43">
        <v>600</v>
      </c>
      <c r="N43">
        <v>206</v>
      </c>
      <c r="O43">
        <v>806</v>
      </c>
      <c r="P43" s="1">
        <v>0.92750299999999997</v>
      </c>
    </row>
    <row r="44" spans="1:16" x14ac:dyDescent="0.25">
      <c r="A44" t="s">
        <v>16</v>
      </c>
      <c r="B44" s="15">
        <v>1185948478</v>
      </c>
      <c r="C44">
        <v>1205</v>
      </c>
      <c r="D44">
        <v>1295</v>
      </c>
      <c r="E44" s="1">
        <v>0.48199999999999998</v>
      </c>
      <c r="F44" s="1">
        <v>0.51800000000000002</v>
      </c>
      <c r="G44">
        <v>129</v>
      </c>
      <c r="H44">
        <v>1</v>
      </c>
      <c r="I44">
        <v>1205</v>
      </c>
      <c r="J44" s="19">
        <v>1</v>
      </c>
      <c r="K44">
        <v>4</v>
      </c>
      <c r="L44">
        <v>262</v>
      </c>
      <c r="M44">
        <v>699</v>
      </c>
      <c r="N44">
        <v>7</v>
      </c>
      <c r="O44">
        <v>1048</v>
      </c>
      <c r="P44" s="1">
        <v>0.86970999999999998</v>
      </c>
    </row>
    <row r="45" spans="1:16" x14ac:dyDescent="0.25">
      <c r="A45" t="s">
        <v>16</v>
      </c>
      <c r="B45" s="15">
        <v>195359715</v>
      </c>
      <c r="C45">
        <v>1344</v>
      </c>
      <c r="D45">
        <v>1156</v>
      </c>
      <c r="E45" s="1">
        <v>0.53759999999999997</v>
      </c>
      <c r="F45" s="1">
        <v>0.46239999999999998</v>
      </c>
      <c r="G45">
        <v>60</v>
      </c>
      <c r="H45">
        <v>1</v>
      </c>
      <c r="I45">
        <v>1344</v>
      </c>
      <c r="J45" s="19">
        <v>1</v>
      </c>
      <c r="K45">
        <v>3</v>
      </c>
      <c r="L45">
        <v>408</v>
      </c>
      <c r="M45">
        <v>929</v>
      </c>
      <c r="N45">
        <v>26</v>
      </c>
      <c r="O45">
        <v>1224</v>
      </c>
      <c r="P45" s="1">
        <v>0.91071400000000002</v>
      </c>
    </row>
    <row r="46" spans="1:16" x14ac:dyDescent="0.25">
      <c r="A46" t="s">
        <v>16</v>
      </c>
      <c r="B46" s="15">
        <v>1106589221</v>
      </c>
      <c r="C46">
        <v>1047</v>
      </c>
      <c r="D46">
        <v>1453</v>
      </c>
      <c r="E46" s="1">
        <v>0.41880000000000001</v>
      </c>
      <c r="F46" s="1">
        <v>0.58120000000000005</v>
      </c>
      <c r="G46">
        <v>59</v>
      </c>
      <c r="H46">
        <v>1</v>
      </c>
      <c r="I46">
        <v>1047</v>
      </c>
      <c r="J46" s="19">
        <v>1</v>
      </c>
      <c r="K46">
        <v>3</v>
      </c>
      <c r="L46">
        <v>322.33333299999998</v>
      </c>
      <c r="M46">
        <v>903</v>
      </c>
      <c r="N46">
        <v>12</v>
      </c>
      <c r="O46">
        <v>967</v>
      </c>
      <c r="P46" s="1">
        <v>0.92359100000000005</v>
      </c>
    </row>
    <row r="47" spans="1:16" x14ac:dyDescent="0.25">
      <c r="A47" t="s">
        <v>16</v>
      </c>
      <c r="B47" s="15">
        <v>1377124705</v>
      </c>
      <c r="C47">
        <v>991</v>
      </c>
      <c r="D47">
        <v>1509</v>
      </c>
      <c r="E47" s="1">
        <v>0.39639999999999997</v>
      </c>
      <c r="F47" s="1">
        <v>0.60360000000000003</v>
      </c>
      <c r="G47">
        <v>69</v>
      </c>
      <c r="H47">
        <v>1</v>
      </c>
      <c r="I47">
        <v>991</v>
      </c>
      <c r="J47" s="19">
        <v>1</v>
      </c>
      <c r="K47">
        <v>3</v>
      </c>
      <c r="L47">
        <v>302</v>
      </c>
      <c r="M47">
        <v>709</v>
      </c>
      <c r="N47">
        <v>83</v>
      </c>
      <c r="O47">
        <v>906</v>
      </c>
      <c r="P47" s="1">
        <v>0.91422800000000004</v>
      </c>
    </row>
    <row r="48" spans="1:16" x14ac:dyDescent="0.25">
      <c r="A48" t="s">
        <v>16</v>
      </c>
      <c r="B48" s="15">
        <v>2033056655</v>
      </c>
      <c r="C48">
        <v>1139</v>
      </c>
      <c r="D48">
        <v>1361</v>
      </c>
      <c r="E48" s="1">
        <v>0.4556</v>
      </c>
      <c r="F48" s="1">
        <v>0.5444</v>
      </c>
      <c r="G48">
        <v>51</v>
      </c>
      <c r="H48">
        <v>1</v>
      </c>
      <c r="I48">
        <v>1139</v>
      </c>
      <c r="J48" s="19">
        <v>1</v>
      </c>
      <c r="K48">
        <v>1</v>
      </c>
      <c r="L48">
        <v>1067</v>
      </c>
      <c r="M48">
        <v>1067</v>
      </c>
      <c r="N48">
        <v>1067</v>
      </c>
      <c r="O48">
        <v>1067</v>
      </c>
      <c r="P48" s="1">
        <v>0.93678700000000004</v>
      </c>
    </row>
    <row r="49" spans="1:16" x14ac:dyDescent="0.25">
      <c r="A49" t="s">
        <v>16</v>
      </c>
      <c r="B49" s="15">
        <v>710205476</v>
      </c>
      <c r="C49">
        <v>1179</v>
      </c>
      <c r="D49">
        <v>1321</v>
      </c>
      <c r="E49" s="1">
        <v>0.47160000000000002</v>
      </c>
      <c r="F49" s="1">
        <v>0.52839999999999998</v>
      </c>
      <c r="G49">
        <v>55</v>
      </c>
      <c r="H49">
        <v>1</v>
      </c>
      <c r="I49">
        <v>1179</v>
      </c>
      <c r="J49" s="19">
        <v>1</v>
      </c>
      <c r="K49">
        <v>1</v>
      </c>
      <c r="L49">
        <v>1096</v>
      </c>
      <c r="M49">
        <v>1096</v>
      </c>
      <c r="N49">
        <v>1096</v>
      </c>
      <c r="O49">
        <v>1096</v>
      </c>
      <c r="P49" s="1">
        <v>0.92960100000000001</v>
      </c>
    </row>
    <row r="50" spans="1:16" x14ac:dyDescent="0.25">
      <c r="A50" t="s">
        <v>16</v>
      </c>
      <c r="B50" s="15">
        <v>1400275619</v>
      </c>
      <c r="C50">
        <v>1163</v>
      </c>
      <c r="D50">
        <v>1337</v>
      </c>
      <c r="E50" s="1">
        <v>0.4652</v>
      </c>
      <c r="F50" s="1">
        <v>0.53480000000000005</v>
      </c>
      <c r="G50">
        <v>96</v>
      </c>
      <c r="H50">
        <v>1</v>
      </c>
      <c r="I50">
        <v>1163</v>
      </c>
      <c r="J50" s="19">
        <v>1</v>
      </c>
      <c r="K50">
        <v>3</v>
      </c>
      <c r="L50">
        <v>353.33333299999998</v>
      </c>
      <c r="M50">
        <v>506</v>
      </c>
      <c r="N50">
        <v>54</v>
      </c>
      <c r="O50">
        <v>1060</v>
      </c>
      <c r="P50" s="1">
        <v>0.91143600000000002</v>
      </c>
    </row>
    <row r="51" spans="1:16" x14ac:dyDescent="0.25">
      <c r="A51" t="s">
        <v>16</v>
      </c>
      <c r="B51" s="15">
        <v>2028892151</v>
      </c>
      <c r="C51">
        <v>1004</v>
      </c>
      <c r="D51">
        <v>1496</v>
      </c>
      <c r="E51" s="1">
        <v>0.40160000000000001</v>
      </c>
      <c r="F51" s="1">
        <v>0.59840000000000004</v>
      </c>
      <c r="G51">
        <v>69</v>
      </c>
      <c r="H51">
        <v>1</v>
      </c>
      <c r="I51">
        <v>1004</v>
      </c>
      <c r="J51" s="19">
        <v>1</v>
      </c>
      <c r="K51">
        <v>1</v>
      </c>
      <c r="L51">
        <v>910</v>
      </c>
      <c r="M51">
        <v>910</v>
      </c>
      <c r="N51">
        <v>910</v>
      </c>
      <c r="O51">
        <v>910</v>
      </c>
      <c r="P51" s="1">
        <v>0.90637500000000004</v>
      </c>
    </row>
    <row r="52" spans="1:16" x14ac:dyDescent="0.25">
      <c r="A52" t="s">
        <v>25</v>
      </c>
      <c r="C52">
        <f>SUBTOTAL(101,AgRan_dir5_room5_chance5_step750[floors])</f>
        <v>1117.54</v>
      </c>
      <c r="D52">
        <f>SUBTOTAL(101,AgRan_dir5_room5_chance5_step750[walls])</f>
        <v>1382.46</v>
      </c>
      <c r="E52" s="2">
        <f>SUBTOTAL(101,AgRan_dir5_room5_chance5_step750[floor_percent])</f>
        <v>0.44701599999999991</v>
      </c>
      <c r="F52" s="2">
        <f>SUBTOTAL(101,AgRan_dir5_room5_chance5_step750[wall_percent])</f>
        <v>0.55298400000000003</v>
      </c>
      <c r="G52">
        <f>SUBTOTAL(101,AgRan_dir5_room5_chance5_step750[longest_shortest_path])</f>
        <v>66.06</v>
      </c>
      <c r="H52">
        <f>SUBTOTAL(101,AgRan_dir5_room5_chance5_step750[component_count])</f>
        <v>1</v>
      </c>
      <c r="I52">
        <f>SUBTOTAL(101,AgRan_dir5_room5_chance5_step750[max_component_size])</f>
        <v>1117.54</v>
      </c>
      <c r="J52" s="19">
        <f>SUBTOTAL(101,AgRan_dir5_room5_chance5_step750[connectivity_ratio])</f>
        <v>1</v>
      </c>
      <c r="K52">
        <f>SUBTOTAL(101,AgRan_dir5_room5_chance5_step750[room_count])</f>
        <v>2.62</v>
      </c>
      <c r="L52">
        <f>SUBTOTAL(101,AgRan_dir5_room5_chance5_step750[avg_room_size])</f>
        <v>539.41299997999988</v>
      </c>
      <c r="M52">
        <f>SUBTOTAL(101,AgRan_dir5_room5_chance5_step750[max_room_size])</f>
        <v>871.5</v>
      </c>
      <c r="N52">
        <f>SUBTOTAL(101,AgRan_dir5_room5_chance5_step750[min_room_size])</f>
        <v>321.04000000000002</v>
      </c>
      <c r="O52">
        <f>SUBTOTAL(101,AgRan_dir5_room5_chance5_step750[room_tiles])</f>
        <v>1018.06</v>
      </c>
      <c r="P52" s="2">
        <f>SUBTOTAL(101,AgRan_dir5_room5_chance5_step750[room_ratio])</f>
        <v>0.91085511999999991</v>
      </c>
    </row>
    <row r="53" spans="1:16" x14ac:dyDescent="0.25">
      <c r="A53" s="16" t="s">
        <v>27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1170-265E-4F27-BCA7-767574806288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1094773944</v>
      </c>
      <c r="C2">
        <v>1240</v>
      </c>
      <c r="D2">
        <v>1260</v>
      </c>
      <c r="E2" s="1">
        <v>0.496</v>
      </c>
      <c r="F2" s="1">
        <v>0.504</v>
      </c>
      <c r="G2">
        <v>63</v>
      </c>
      <c r="H2">
        <v>1</v>
      </c>
      <c r="I2">
        <v>1240</v>
      </c>
      <c r="J2" s="19">
        <v>1</v>
      </c>
      <c r="K2">
        <v>2</v>
      </c>
      <c r="L2">
        <v>591.5</v>
      </c>
      <c r="M2">
        <v>1160</v>
      </c>
      <c r="N2">
        <v>23</v>
      </c>
      <c r="O2">
        <v>1183</v>
      </c>
      <c r="P2" s="1">
        <v>0.95403199999999999</v>
      </c>
    </row>
    <row r="3" spans="1:16" x14ac:dyDescent="0.25">
      <c r="A3" t="s">
        <v>16</v>
      </c>
      <c r="B3" s="15">
        <v>466799126</v>
      </c>
      <c r="C3">
        <v>1633</v>
      </c>
      <c r="D3">
        <v>867</v>
      </c>
      <c r="E3" s="1">
        <v>0.6532</v>
      </c>
      <c r="F3" s="1">
        <v>0.3468</v>
      </c>
      <c r="G3">
        <v>63</v>
      </c>
      <c r="H3">
        <v>1</v>
      </c>
      <c r="I3">
        <v>1633</v>
      </c>
      <c r="J3" s="19">
        <v>1</v>
      </c>
      <c r="K3">
        <v>1</v>
      </c>
      <c r="L3">
        <v>1555</v>
      </c>
      <c r="M3">
        <v>1555</v>
      </c>
      <c r="N3">
        <v>1555</v>
      </c>
      <c r="O3">
        <v>1555</v>
      </c>
      <c r="P3" s="1">
        <v>0.95223500000000005</v>
      </c>
    </row>
    <row r="4" spans="1:16" x14ac:dyDescent="0.25">
      <c r="A4" t="s">
        <v>16</v>
      </c>
      <c r="B4" s="15">
        <v>2063052753</v>
      </c>
      <c r="C4">
        <v>1218</v>
      </c>
      <c r="D4">
        <v>1282</v>
      </c>
      <c r="E4" s="1">
        <v>0.48720000000000002</v>
      </c>
      <c r="F4" s="1">
        <v>0.51280000000000003</v>
      </c>
      <c r="G4">
        <v>47</v>
      </c>
      <c r="H4">
        <v>1</v>
      </c>
      <c r="I4">
        <v>1218</v>
      </c>
      <c r="J4" s="19">
        <v>1</v>
      </c>
      <c r="K4">
        <v>1</v>
      </c>
      <c r="L4">
        <v>1180</v>
      </c>
      <c r="M4">
        <v>1180</v>
      </c>
      <c r="N4">
        <v>1180</v>
      </c>
      <c r="O4">
        <v>1180</v>
      </c>
      <c r="P4" s="1">
        <v>0.96880100000000002</v>
      </c>
    </row>
    <row r="5" spans="1:16" x14ac:dyDescent="0.25">
      <c r="A5" t="s">
        <v>16</v>
      </c>
      <c r="B5" s="15">
        <v>464969508</v>
      </c>
      <c r="C5">
        <v>1135</v>
      </c>
      <c r="D5">
        <v>1365</v>
      </c>
      <c r="E5" s="1">
        <v>0.45400000000000001</v>
      </c>
      <c r="F5" s="1">
        <v>0.54600000000000004</v>
      </c>
      <c r="G5">
        <v>49</v>
      </c>
      <c r="H5">
        <v>1</v>
      </c>
      <c r="I5">
        <v>1135</v>
      </c>
      <c r="J5" s="19">
        <v>1</v>
      </c>
      <c r="K5">
        <v>1</v>
      </c>
      <c r="L5">
        <v>1091</v>
      </c>
      <c r="M5">
        <v>1091</v>
      </c>
      <c r="N5">
        <v>1091</v>
      </c>
      <c r="O5">
        <v>1091</v>
      </c>
      <c r="P5" s="1">
        <v>0.961233</v>
      </c>
    </row>
    <row r="6" spans="1:16" x14ac:dyDescent="0.25">
      <c r="A6" t="s">
        <v>16</v>
      </c>
      <c r="B6" s="15">
        <v>1023231828</v>
      </c>
      <c r="C6">
        <v>1284</v>
      </c>
      <c r="D6">
        <v>1216</v>
      </c>
      <c r="E6" s="1">
        <v>0.51359999999999995</v>
      </c>
      <c r="F6" s="1">
        <v>0.4864</v>
      </c>
      <c r="G6">
        <v>89</v>
      </c>
      <c r="H6">
        <v>1</v>
      </c>
      <c r="I6">
        <v>1284</v>
      </c>
      <c r="J6" s="19">
        <v>1</v>
      </c>
      <c r="K6">
        <v>3</v>
      </c>
      <c r="L6">
        <v>404</v>
      </c>
      <c r="M6">
        <v>957</v>
      </c>
      <c r="N6">
        <v>54</v>
      </c>
      <c r="O6">
        <v>1212</v>
      </c>
      <c r="P6" s="1">
        <v>0.94392500000000001</v>
      </c>
    </row>
    <row r="7" spans="1:16" x14ac:dyDescent="0.25">
      <c r="A7" t="s">
        <v>16</v>
      </c>
      <c r="B7" s="15">
        <v>592116629</v>
      </c>
      <c r="C7">
        <v>974</v>
      </c>
      <c r="D7">
        <v>1526</v>
      </c>
      <c r="E7" s="1">
        <v>0.3896</v>
      </c>
      <c r="F7" s="1">
        <v>0.61040000000000005</v>
      </c>
      <c r="G7">
        <v>39</v>
      </c>
      <c r="H7">
        <v>1</v>
      </c>
      <c r="I7">
        <v>974</v>
      </c>
      <c r="J7" s="19">
        <v>1</v>
      </c>
      <c r="K7">
        <v>1</v>
      </c>
      <c r="L7">
        <v>937</v>
      </c>
      <c r="M7">
        <v>937</v>
      </c>
      <c r="N7">
        <v>937</v>
      </c>
      <c r="O7">
        <v>937</v>
      </c>
      <c r="P7" s="1">
        <v>0.96201199999999998</v>
      </c>
    </row>
    <row r="8" spans="1:16" x14ac:dyDescent="0.25">
      <c r="A8" t="s">
        <v>16</v>
      </c>
      <c r="B8" s="15">
        <v>1214184540</v>
      </c>
      <c r="C8">
        <v>922</v>
      </c>
      <c r="D8">
        <v>1578</v>
      </c>
      <c r="E8" s="1">
        <v>0.36880000000000002</v>
      </c>
      <c r="F8" s="1">
        <v>0.63119999999999998</v>
      </c>
      <c r="G8">
        <v>38</v>
      </c>
      <c r="H8">
        <v>1</v>
      </c>
      <c r="I8">
        <v>922</v>
      </c>
      <c r="J8" s="19">
        <v>1</v>
      </c>
      <c r="K8">
        <v>1</v>
      </c>
      <c r="L8">
        <v>894</v>
      </c>
      <c r="M8">
        <v>894</v>
      </c>
      <c r="N8">
        <v>894</v>
      </c>
      <c r="O8">
        <v>894</v>
      </c>
      <c r="P8" s="1">
        <v>0.96963100000000002</v>
      </c>
    </row>
    <row r="9" spans="1:16" x14ac:dyDescent="0.25">
      <c r="A9" t="s">
        <v>16</v>
      </c>
      <c r="B9" s="15">
        <v>2115320309</v>
      </c>
      <c r="C9">
        <v>1268</v>
      </c>
      <c r="D9">
        <v>1232</v>
      </c>
      <c r="E9" s="1">
        <v>0.50719999999999998</v>
      </c>
      <c r="F9" s="1">
        <v>0.49280000000000002</v>
      </c>
      <c r="G9">
        <v>49</v>
      </c>
      <c r="H9">
        <v>1</v>
      </c>
      <c r="I9">
        <v>1268</v>
      </c>
      <c r="J9" s="19">
        <v>1</v>
      </c>
      <c r="K9">
        <v>1</v>
      </c>
      <c r="L9">
        <v>1222</v>
      </c>
      <c r="M9">
        <v>1222</v>
      </c>
      <c r="N9">
        <v>1222</v>
      </c>
      <c r="O9">
        <v>1222</v>
      </c>
      <c r="P9" s="1">
        <v>0.96372199999999997</v>
      </c>
    </row>
    <row r="10" spans="1:16" x14ac:dyDescent="0.25">
      <c r="A10" t="s">
        <v>16</v>
      </c>
      <c r="B10" s="15">
        <v>304585478</v>
      </c>
      <c r="C10">
        <v>843</v>
      </c>
      <c r="D10">
        <v>1657</v>
      </c>
      <c r="E10" s="1">
        <v>0.3372</v>
      </c>
      <c r="F10" s="1">
        <v>0.66279999999999994</v>
      </c>
      <c r="G10">
        <v>55</v>
      </c>
      <c r="H10">
        <v>1</v>
      </c>
      <c r="I10">
        <v>843</v>
      </c>
      <c r="J10" s="19">
        <v>1</v>
      </c>
      <c r="K10">
        <v>1</v>
      </c>
      <c r="L10">
        <v>795</v>
      </c>
      <c r="M10">
        <v>795</v>
      </c>
      <c r="N10">
        <v>795</v>
      </c>
      <c r="O10">
        <v>795</v>
      </c>
      <c r="P10" s="1">
        <v>0.94306000000000001</v>
      </c>
    </row>
    <row r="11" spans="1:16" x14ac:dyDescent="0.25">
      <c r="A11" t="s">
        <v>16</v>
      </c>
      <c r="B11" s="15">
        <v>645710418</v>
      </c>
      <c r="C11">
        <v>596</v>
      </c>
      <c r="D11">
        <v>1904</v>
      </c>
      <c r="E11" s="1">
        <v>0.2384</v>
      </c>
      <c r="F11" s="1">
        <v>0.76160000000000005</v>
      </c>
      <c r="G11">
        <v>34</v>
      </c>
      <c r="H11">
        <v>1</v>
      </c>
      <c r="I11">
        <v>596</v>
      </c>
      <c r="J11" s="19">
        <v>1</v>
      </c>
      <c r="K11">
        <v>1</v>
      </c>
      <c r="L11">
        <v>573</v>
      </c>
      <c r="M11">
        <v>573</v>
      </c>
      <c r="N11">
        <v>573</v>
      </c>
      <c r="O11">
        <v>573</v>
      </c>
      <c r="P11" s="1">
        <v>0.96140899999999996</v>
      </c>
    </row>
    <row r="12" spans="1:16" x14ac:dyDescent="0.25">
      <c r="A12" t="s">
        <v>16</v>
      </c>
      <c r="B12" s="15">
        <v>804691253</v>
      </c>
      <c r="C12">
        <v>1204</v>
      </c>
      <c r="D12">
        <v>1296</v>
      </c>
      <c r="E12" s="1">
        <v>0.48159999999999997</v>
      </c>
      <c r="F12" s="1">
        <v>0.51839999999999997</v>
      </c>
      <c r="G12">
        <v>52</v>
      </c>
      <c r="H12">
        <v>1</v>
      </c>
      <c r="I12">
        <v>1204</v>
      </c>
      <c r="J12" s="19">
        <v>1</v>
      </c>
      <c r="K12">
        <v>2</v>
      </c>
      <c r="L12">
        <v>565</v>
      </c>
      <c r="M12">
        <v>1058</v>
      </c>
      <c r="N12">
        <v>72</v>
      </c>
      <c r="O12">
        <v>1130</v>
      </c>
      <c r="P12" s="1">
        <v>0.93853799999999998</v>
      </c>
    </row>
    <row r="13" spans="1:16" x14ac:dyDescent="0.25">
      <c r="A13" t="s">
        <v>16</v>
      </c>
      <c r="B13" s="15">
        <v>608599441</v>
      </c>
      <c r="C13">
        <v>839</v>
      </c>
      <c r="D13">
        <v>1661</v>
      </c>
      <c r="E13" s="1">
        <v>0.33560000000000001</v>
      </c>
      <c r="F13" s="1">
        <v>0.66439999999999999</v>
      </c>
      <c r="G13">
        <v>40</v>
      </c>
      <c r="H13">
        <v>1</v>
      </c>
      <c r="I13">
        <v>839</v>
      </c>
      <c r="J13" s="19">
        <v>1</v>
      </c>
      <c r="K13">
        <v>1</v>
      </c>
      <c r="L13">
        <v>812</v>
      </c>
      <c r="M13">
        <v>812</v>
      </c>
      <c r="N13">
        <v>812</v>
      </c>
      <c r="O13">
        <v>812</v>
      </c>
      <c r="P13" s="1">
        <v>0.96781899999999998</v>
      </c>
    </row>
    <row r="14" spans="1:16" x14ac:dyDescent="0.25">
      <c r="A14" t="s">
        <v>16</v>
      </c>
      <c r="B14" s="15">
        <v>1419129508</v>
      </c>
      <c r="C14">
        <v>1168</v>
      </c>
      <c r="D14">
        <v>1332</v>
      </c>
      <c r="E14" s="1">
        <v>0.4672</v>
      </c>
      <c r="F14" s="1">
        <v>0.53280000000000005</v>
      </c>
      <c r="G14">
        <v>51</v>
      </c>
      <c r="H14">
        <v>1</v>
      </c>
      <c r="I14">
        <v>1168</v>
      </c>
      <c r="J14" s="19">
        <v>1</v>
      </c>
      <c r="K14">
        <v>1</v>
      </c>
      <c r="L14">
        <v>1124</v>
      </c>
      <c r="M14">
        <v>1124</v>
      </c>
      <c r="N14">
        <v>1124</v>
      </c>
      <c r="O14">
        <v>1124</v>
      </c>
      <c r="P14" s="1">
        <v>0.96232899999999999</v>
      </c>
    </row>
    <row r="15" spans="1:16" x14ac:dyDescent="0.25">
      <c r="A15" t="s">
        <v>16</v>
      </c>
      <c r="B15" s="15">
        <v>574341364</v>
      </c>
      <c r="C15">
        <v>764</v>
      </c>
      <c r="D15">
        <v>1736</v>
      </c>
      <c r="E15" s="1">
        <v>0.30559999999999998</v>
      </c>
      <c r="F15" s="1">
        <v>0.69440000000000002</v>
      </c>
      <c r="G15">
        <v>60</v>
      </c>
      <c r="H15">
        <v>1</v>
      </c>
      <c r="I15">
        <v>764</v>
      </c>
      <c r="J15" s="19">
        <v>1</v>
      </c>
      <c r="K15">
        <v>4</v>
      </c>
      <c r="L15">
        <v>178.75</v>
      </c>
      <c r="M15">
        <v>615</v>
      </c>
      <c r="N15">
        <v>10</v>
      </c>
      <c r="O15">
        <v>715</v>
      </c>
      <c r="P15" s="1">
        <v>0.93586400000000003</v>
      </c>
    </row>
    <row r="16" spans="1:16" x14ac:dyDescent="0.25">
      <c r="A16" t="s">
        <v>16</v>
      </c>
      <c r="B16" s="15">
        <v>1365350123</v>
      </c>
      <c r="C16">
        <v>1279</v>
      </c>
      <c r="D16">
        <v>1221</v>
      </c>
      <c r="E16" s="1">
        <v>0.51160000000000005</v>
      </c>
      <c r="F16" s="1">
        <v>0.4884</v>
      </c>
      <c r="G16">
        <v>48</v>
      </c>
      <c r="H16">
        <v>1</v>
      </c>
      <c r="I16">
        <v>1279</v>
      </c>
      <c r="J16" s="19">
        <v>1</v>
      </c>
      <c r="K16">
        <v>1</v>
      </c>
      <c r="L16">
        <v>1240</v>
      </c>
      <c r="M16">
        <v>1240</v>
      </c>
      <c r="N16">
        <v>1240</v>
      </c>
      <c r="O16">
        <v>1240</v>
      </c>
      <c r="P16" s="1">
        <v>0.96950700000000001</v>
      </c>
    </row>
    <row r="17" spans="1:16" x14ac:dyDescent="0.25">
      <c r="A17" t="s">
        <v>16</v>
      </c>
      <c r="B17" s="15">
        <v>852488641</v>
      </c>
      <c r="C17">
        <v>943</v>
      </c>
      <c r="D17">
        <v>1557</v>
      </c>
      <c r="E17" s="1">
        <v>0.37719999999999998</v>
      </c>
      <c r="F17" s="1">
        <v>0.62280000000000002</v>
      </c>
      <c r="G17">
        <v>52</v>
      </c>
      <c r="H17">
        <v>1</v>
      </c>
      <c r="I17">
        <v>943</v>
      </c>
      <c r="J17" s="19">
        <v>1</v>
      </c>
      <c r="K17">
        <v>1</v>
      </c>
      <c r="L17">
        <v>911</v>
      </c>
      <c r="M17">
        <v>911</v>
      </c>
      <c r="N17">
        <v>911</v>
      </c>
      <c r="O17">
        <v>911</v>
      </c>
      <c r="P17" s="1">
        <v>0.96606599999999998</v>
      </c>
    </row>
    <row r="18" spans="1:16" x14ac:dyDescent="0.25">
      <c r="A18" t="s">
        <v>16</v>
      </c>
      <c r="B18" s="15">
        <v>363072621</v>
      </c>
      <c r="C18">
        <v>765</v>
      </c>
      <c r="D18">
        <v>1735</v>
      </c>
      <c r="E18" s="1">
        <v>0.30599999999999999</v>
      </c>
      <c r="F18" s="1">
        <v>0.69399999999999995</v>
      </c>
      <c r="G18">
        <v>36</v>
      </c>
      <c r="H18">
        <v>1</v>
      </c>
      <c r="I18">
        <v>765</v>
      </c>
      <c r="J18" s="19">
        <v>1</v>
      </c>
      <c r="K18">
        <v>1</v>
      </c>
      <c r="L18">
        <v>738</v>
      </c>
      <c r="M18">
        <v>738</v>
      </c>
      <c r="N18">
        <v>738</v>
      </c>
      <c r="O18">
        <v>738</v>
      </c>
      <c r="P18" s="1">
        <v>0.96470599999999995</v>
      </c>
    </row>
    <row r="19" spans="1:16" x14ac:dyDescent="0.25">
      <c r="A19" t="s">
        <v>16</v>
      </c>
      <c r="B19" s="15">
        <v>490794174</v>
      </c>
      <c r="C19">
        <v>606</v>
      </c>
      <c r="D19">
        <v>1894</v>
      </c>
      <c r="E19" s="1">
        <v>0.2424</v>
      </c>
      <c r="F19" s="1">
        <v>0.75760000000000005</v>
      </c>
      <c r="G19">
        <v>38</v>
      </c>
      <c r="H19">
        <v>1</v>
      </c>
      <c r="I19">
        <v>606</v>
      </c>
      <c r="J19" s="19">
        <v>1</v>
      </c>
      <c r="K19">
        <v>1</v>
      </c>
      <c r="L19">
        <v>593</v>
      </c>
      <c r="M19">
        <v>593</v>
      </c>
      <c r="N19">
        <v>593</v>
      </c>
      <c r="O19">
        <v>593</v>
      </c>
      <c r="P19" s="1">
        <v>0.97854799999999997</v>
      </c>
    </row>
    <row r="20" spans="1:16" x14ac:dyDescent="0.25">
      <c r="A20" t="s">
        <v>16</v>
      </c>
      <c r="B20" s="15">
        <v>125198750</v>
      </c>
      <c r="C20">
        <v>1071</v>
      </c>
      <c r="D20">
        <v>1429</v>
      </c>
      <c r="E20" s="1">
        <v>0.4284</v>
      </c>
      <c r="F20" s="1">
        <v>0.5716</v>
      </c>
      <c r="G20">
        <v>51</v>
      </c>
      <c r="H20">
        <v>1</v>
      </c>
      <c r="I20">
        <v>1071</v>
      </c>
      <c r="J20" s="19">
        <v>1</v>
      </c>
      <c r="K20">
        <v>1</v>
      </c>
      <c r="L20">
        <v>1028</v>
      </c>
      <c r="M20">
        <v>1028</v>
      </c>
      <c r="N20">
        <v>1028</v>
      </c>
      <c r="O20">
        <v>1028</v>
      </c>
      <c r="P20" s="1">
        <v>0.95985100000000001</v>
      </c>
    </row>
    <row r="21" spans="1:16" x14ac:dyDescent="0.25">
      <c r="A21" t="s">
        <v>16</v>
      </c>
      <c r="B21" s="15">
        <v>72900540</v>
      </c>
      <c r="C21">
        <v>1195</v>
      </c>
      <c r="D21">
        <v>1305</v>
      </c>
      <c r="E21" s="1">
        <v>0.47799999999999998</v>
      </c>
      <c r="F21" s="1">
        <v>0.52200000000000002</v>
      </c>
      <c r="G21">
        <v>49</v>
      </c>
      <c r="H21">
        <v>1</v>
      </c>
      <c r="I21">
        <v>1195</v>
      </c>
      <c r="J21" s="19">
        <v>1</v>
      </c>
      <c r="K21">
        <v>1</v>
      </c>
      <c r="L21">
        <v>1151</v>
      </c>
      <c r="M21">
        <v>1151</v>
      </c>
      <c r="N21">
        <v>1151</v>
      </c>
      <c r="O21">
        <v>1151</v>
      </c>
      <c r="P21" s="1">
        <v>0.96318000000000004</v>
      </c>
    </row>
    <row r="22" spans="1:16" x14ac:dyDescent="0.25">
      <c r="A22" t="s">
        <v>16</v>
      </c>
      <c r="B22" s="15">
        <v>116221350</v>
      </c>
      <c r="C22">
        <v>943</v>
      </c>
      <c r="D22">
        <v>1557</v>
      </c>
      <c r="E22" s="1">
        <v>0.37719999999999998</v>
      </c>
      <c r="F22" s="1">
        <v>0.62280000000000002</v>
      </c>
      <c r="G22">
        <v>49</v>
      </c>
      <c r="H22">
        <v>1</v>
      </c>
      <c r="I22">
        <v>943</v>
      </c>
      <c r="J22" s="19">
        <v>1</v>
      </c>
      <c r="K22">
        <v>1</v>
      </c>
      <c r="L22">
        <v>893</v>
      </c>
      <c r="M22">
        <v>893</v>
      </c>
      <c r="N22">
        <v>893</v>
      </c>
      <c r="O22">
        <v>893</v>
      </c>
      <c r="P22" s="1">
        <v>0.94697799999999999</v>
      </c>
    </row>
    <row r="23" spans="1:16" x14ac:dyDescent="0.25">
      <c r="A23" t="s">
        <v>16</v>
      </c>
      <c r="B23" s="15">
        <v>1519017184</v>
      </c>
      <c r="C23">
        <v>951</v>
      </c>
      <c r="D23">
        <v>1549</v>
      </c>
      <c r="E23" s="1">
        <v>0.38040000000000002</v>
      </c>
      <c r="F23" s="1">
        <v>0.61960000000000004</v>
      </c>
      <c r="G23">
        <v>45</v>
      </c>
      <c r="H23">
        <v>1</v>
      </c>
      <c r="I23">
        <v>951</v>
      </c>
      <c r="J23" s="19">
        <v>1</v>
      </c>
      <c r="K23">
        <v>1</v>
      </c>
      <c r="L23">
        <v>903</v>
      </c>
      <c r="M23">
        <v>903</v>
      </c>
      <c r="N23">
        <v>903</v>
      </c>
      <c r="O23">
        <v>903</v>
      </c>
      <c r="P23" s="1">
        <v>0.94952700000000001</v>
      </c>
    </row>
    <row r="24" spans="1:16" x14ac:dyDescent="0.25">
      <c r="A24" t="s">
        <v>16</v>
      </c>
      <c r="B24" s="15">
        <v>1778715183</v>
      </c>
      <c r="C24">
        <v>757</v>
      </c>
      <c r="D24">
        <v>1743</v>
      </c>
      <c r="E24" s="1">
        <v>0.30280000000000001</v>
      </c>
      <c r="F24" s="1">
        <v>0.69720000000000004</v>
      </c>
      <c r="G24">
        <v>32</v>
      </c>
      <c r="H24">
        <v>1</v>
      </c>
      <c r="I24">
        <v>757</v>
      </c>
      <c r="J24" s="19">
        <v>1</v>
      </c>
      <c r="K24">
        <v>1</v>
      </c>
      <c r="L24">
        <v>726</v>
      </c>
      <c r="M24">
        <v>726</v>
      </c>
      <c r="N24">
        <v>726</v>
      </c>
      <c r="O24">
        <v>726</v>
      </c>
      <c r="P24" s="1">
        <v>0.95904900000000004</v>
      </c>
    </row>
    <row r="25" spans="1:16" x14ac:dyDescent="0.25">
      <c r="A25" t="s">
        <v>16</v>
      </c>
      <c r="B25" s="15">
        <v>1315010531</v>
      </c>
      <c r="C25">
        <v>1327</v>
      </c>
      <c r="D25">
        <v>1173</v>
      </c>
      <c r="E25" s="1">
        <v>0.53080000000000005</v>
      </c>
      <c r="F25" s="1">
        <v>0.46920000000000001</v>
      </c>
      <c r="G25">
        <v>52</v>
      </c>
      <c r="H25">
        <v>1</v>
      </c>
      <c r="I25">
        <v>1327</v>
      </c>
      <c r="J25" s="19">
        <v>1</v>
      </c>
      <c r="K25">
        <v>1</v>
      </c>
      <c r="L25">
        <v>1263</v>
      </c>
      <c r="M25">
        <v>1263</v>
      </c>
      <c r="N25">
        <v>1263</v>
      </c>
      <c r="O25">
        <v>1263</v>
      </c>
      <c r="P25" s="1">
        <v>0.95177100000000003</v>
      </c>
    </row>
    <row r="26" spans="1:16" x14ac:dyDescent="0.25">
      <c r="A26" t="s">
        <v>16</v>
      </c>
      <c r="B26" s="15">
        <v>624327257</v>
      </c>
      <c r="C26">
        <v>988</v>
      </c>
      <c r="D26">
        <v>1512</v>
      </c>
      <c r="E26" s="1">
        <v>0.3952</v>
      </c>
      <c r="F26" s="1">
        <v>0.6048</v>
      </c>
      <c r="G26">
        <v>49</v>
      </c>
      <c r="H26">
        <v>1</v>
      </c>
      <c r="I26">
        <v>988</v>
      </c>
      <c r="J26" s="19">
        <v>1</v>
      </c>
      <c r="K26">
        <v>1</v>
      </c>
      <c r="L26">
        <v>934</v>
      </c>
      <c r="M26">
        <v>934</v>
      </c>
      <c r="N26">
        <v>934</v>
      </c>
      <c r="O26">
        <v>934</v>
      </c>
      <c r="P26" s="1">
        <v>0.94534399999999996</v>
      </c>
    </row>
    <row r="27" spans="1:16" x14ac:dyDescent="0.25">
      <c r="A27" t="s">
        <v>16</v>
      </c>
      <c r="B27" s="15">
        <v>881581491</v>
      </c>
      <c r="C27">
        <v>908</v>
      </c>
      <c r="D27">
        <v>1592</v>
      </c>
      <c r="E27" s="1">
        <v>0.36320000000000002</v>
      </c>
      <c r="F27" s="1">
        <v>0.63680000000000003</v>
      </c>
      <c r="G27">
        <v>52</v>
      </c>
      <c r="H27">
        <v>1</v>
      </c>
      <c r="I27">
        <v>908</v>
      </c>
      <c r="J27" s="19">
        <v>1</v>
      </c>
      <c r="K27">
        <v>1</v>
      </c>
      <c r="L27">
        <v>872</v>
      </c>
      <c r="M27">
        <v>872</v>
      </c>
      <c r="N27">
        <v>872</v>
      </c>
      <c r="O27">
        <v>872</v>
      </c>
      <c r="P27" s="1">
        <v>0.96035199999999998</v>
      </c>
    </row>
    <row r="28" spans="1:16" x14ac:dyDescent="0.25">
      <c r="A28" t="s">
        <v>16</v>
      </c>
      <c r="B28" s="15">
        <v>774644273</v>
      </c>
      <c r="C28">
        <v>1353</v>
      </c>
      <c r="D28">
        <v>1147</v>
      </c>
      <c r="E28" s="1">
        <v>0.54120000000000001</v>
      </c>
      <c r="F28" s="1">
        <v>0.45879999999999999</v>
      </c>
      <c r="G28">
        <v>47</v>
      </c>
      <c r="H28">
        <v>1</v>
      </c>
      <c r="I28">
        <v>1353</v>
      </c>
      <c r="J28" s="19">
        <v>1</v>
      </c>
      <c r="K28">
        <v>1</v>
      </c>
      <c r="L28">
        <v>1305</v>
      </c>
      <c r="M28">
        <v>1305</v>
      </c>
      <c r="N28">
        <v>1305</v>
      </c>
      <c r="O28">
        <v>1305</v>
      </c>
      <c r="P28" s="1">
        <v>0.96452300000000002</v>
      </c>
    </row>
    <row r="29" spans="1:16" x14ac:dyDescent="0.25">
      <c r="A29" t="s">
        <v>16</v>
      </c>
      <c r="B29" s="15">
        <v>200719930</v>
      </c>
      <c r="C29">
        <v>839</v>
      </c>
      <c r="D29">
        <v>1661</v>
      </c>
      <c r="E29" s="1">
        <v>0.33560000000000001</v>
      </c>
      <c r="F29" s="1">
        <v>0.66439999999999999</v>
      </c>
      <c r="G29">
        <v>56</v>
      </c>
      <c r="H29">
        <v>1</v>
      </c>
      <c r="I29">
        <v>839</v>
      </c>
      <c r="J29" s="19">
        <v>1</v>
      </c>
      <c r="K29">
        <v>1</v>
      </c>
      <c r="L29">
        <v>784</v>
      </c>
      <c r="M29">
        <v>784</v>
      </c>
      <c r="N29">
        <v>784</v>
      </c>
      <c r="O29">
        <v>784</v>
      </c>
      <c r="P29" s="1">
        <v>0.934446</v>
      </c>
    </row>
    <row r="30" spans="1:16" x14ac:dyDescent="0.25">
      <c r="A30" t="s">
        <v>16</v>
      </c>
      <c r="B30" s="15">
        <v>186532478</v>
      </c>
      <c r="C30">
        <v>1449</v>
      </c>
      <c r="D30">
        <v>1051</v>
      </c>
      <c r="E30" s="1">
        <v>0.5796</v>
      </c>
      <c r="F30" s="1">
        <v>0.4204</v>
      </c>
      <c r="G30">
        <v>64</v>
      </c>
      <c r="H30">
        <v>1</v>
      </c>
      <c r="I30">
        <v>1449</v>
      </c>
      <c r="J30" s="19">
        <v>1</v>
      </c>
      <c r="K30">
        <v>1</v>
      </c>
      <c r="L30">
        <v>1369</v>
      </c>
      <c r="M30">
        <v>1369</v>
      </c>
      <c r="N30">
        <v>1369</v>
      </c>
      <c r="O30">
        <v>1369</v>
      </c>
      <c r="P30" s="1">
        <v>0.94479000000000002</v>
      </c>
    </row>
    <row r="31" spans="1:16" x14ac:dyDescent="0.25">
      <c r="A31" t="s">
        <v>16</v>
      </c>
      <c r="B31" s="15">
        <v>1695292717</v>
      </c>
      <c r="C31">
        <v>786</v>
      </c>
      <c r="D31">
        <v>1714</v>
      </c>
      <c r="E31" s="1">
        <v>0.31440000000000001</v>
      </c>
      <c r="F31" s="1">
        <v>0.68559999999999999</v>
      </c>
      <c r="G31">
        <v>52</v>
      </c>
      <c r="H31">
        <v>1</v>
      </c>
      <c r="I31">
        <v>786</v>
      </c>
      <c r="J31" s="19">
        <v>1</v>
      </c>
      <c r="K31">
        <v>2</v>
      </c>
      <c r="L31">
        <v>370</v>
      </c>
      <c r="M31">
        <v>723</v>
      </c>
      <c r="N31">
        <v>17</v>
      </c>
      <c r="O31">
        <v>740</v>
      </c>
      <c r="P31" s="1">
        <v>0.94147599999999998</v>
      </c>
    </row>
    <row r="32" spans="1:16" x14ac:dyDescent="0.25">
      <c r="A32" t="s">
        <v>16</v>
      </c>
      <c r="B32" s="15">
        <v>178609507</v>
      </c>
      <c r="C32">
        <v>902</v>
      </c>
      <c r="D32">
        <v>1598</v>
      </c>
      <c r="E32" s="1">
        <v>0.36080000000000001</v>
      </c>
      <c r="F32" s="1">
        <v>0.63919999999999999</v>
      </c>
      <c r="G32">
        <v>40</v>
      </c>
      <c r="H32">
        <v>1</v>
      </c>
      <c r="I32">
        <v>902</v>
      </c>
      <c r="J32" s="19">
        <v>1</v>
      </c>
      <c r="K32">
        <v>1</v>
      </c>
      <c r="L32">
        <v>877</v>
      </c>
      <c r="M32">
        <v>877</v>
      </c>
      <c r="N32">
        <v>877</v>
      </c>
      <c r="O32">
        <v>877</v>
      </c>
      <c r="P32" s="1">
        <v>0.97228400000000004</v>
      </c>
    </row>
    <row r="33" spans="1:16" x14ac:dyDescent="0.25">
      <c r="A33" t="s">
        <v>16</v>
      </c>
      <c r="B33" s="15">
        <v>135211678</v>
      </c>
      <c r="C33">
        <v>727</v>
      </c>
      <c r="D33">
        <v>1773</v>
      </c>
      <c r="E33" s="1">
        <v>0.2908</v>
      </c>
      <c r="F33" s="1">
        <v>0.70920000000000005</v>
      </c>
      <c r="G33">
        <v>43</v>
      </c>
      <c r="H33">
        <v>1</v>
      </c>
      <c r="I33">
        <v>727</v>
      </c>
      <c r="J33" s="19">
        <v>1</v>
      </c>
      <c r="K33">
        <v>1</v>
      </c>
      <c r="L33">
        <v>698</v>
      </c>
      <c r="M33">
        <v>698</v>
      </c>
      <c r="N33">
        <v>698</v>
      </c>
      <c r="O33">
        <v>698</v>
      </c>
      <c r="P33" s="1">
        <v>0.96011000000000002</v>
      </c>
    </row>
    <row r="34" spans="1:16" x14ac:dyDescent="0.25">
      <c r="A34" t="s">
        <v>16</v>
      </c>
      <c r="B34" s="15">
        <v>580565325</v>
      </c>
      <c r="C34">
        <v>520</v>
      </c>
      <c r="D34">
        <v>1980</v>
      </c>
      <c r="E34" s="1">
        <v>0.20799999999999999</v>
      </c>
      <c r="F34" s="1">
        <v>0.79200000000000004</v>
      </c>
      <c r="G34">
        <v>33</v>
      </c>
      <c r="H34">
        <v>1</v>
      </c>
      <c r="I34">
        <v>520</v>
      </c>
      <c r="J34" s="19">
        <v>1</v>
      </c>
      <c r="K34">
        <v>1</v>
      </c>
      <c r="L34">
        <v>494</v>
      </c>
      <c r="M34">
        <v>494</v>
      </c>
      <c r="N34">
        <v>494</v>
      </c>
      <c r="O34">
        <v>494</v>
      </c>
      <c r="P34" s="1">
        <v>0.95</v>
      </c>
    </row>
    <row r="35" spans="1:16" x14ac:dyDescent="0.25">
      <c r="A35" t="s">
        <v>16</v>
      </c>
      <c r="B35" s="15">
        <v>839838211</v>
      </c>
      <c r="C35">
        <v>851</v>
      </c>
      <c r="D35">
        <v>1649</v>
      </c>
      <c r="E35" s="1">
        <v>0.34039999999999998</v>
      </c>
      <c r="F35" s="1">
        <v>0.65959999999999996</v>
      </c>
      <c r="G35">
        <v>37</v>
      </c>
      <c r="H35">
        <v>1</v>
      </c>
      <c r="I35">
        <v>851</v>
      </c>
      <c r="J35" s="19">
        <v>1</v>
      </c>
      <c r="K35">
        <v>1</v>
      </c>
      <c r="L35">
        <v>823</v>
      </c>
      <c r="M35">
        <v>823</v>
      </c>
      <c r="N35">
        <v>823</v>
      </c>
      <c r="O35">
        <v>823</v>
      </c>
      <c r="P35" s="1">
        <v>0.96709800000000001</v>
      </c>
    </row>
    <row r="36" spans="1:16" x14ac:dyDescent="0.25">
      <c r="A36" t="s">
        <v>16</v>
      </c>
      <c r="B36" s="15">
        <v>1798412505</v>
      </c>
      <c r="C36">
        <v>958</v>
      </c>
      <c r="D36">
        <v>1542</v>
      </c>
      <c r="E36" s="1">
        <v>0.38319999999999999</v>
      </c>
      <c r="F36" s="1">
        <v>0.61680000000000001</v>
      </c>
      <c r="G36">
        <v>62</v>
      </c>
      <c r="H36">
        <v>1</v>
      </c>
      <c r="I36">
        <v>958</v>
      </c>
      <c r="J36" s="19">
        <v>1</v>
      </c>
      <c r="K36">
        <v>2</v>
      </c>
      <c r="L36">
        <v>454.5</v>
      </c>
      <c r="M36">
        <v>888</v>
      </c>
      <c r="N36">
        <v>21</v>
      </c>
      <c r="O36">
        <v>909</v>
      </c>
      <c r="P36" s="1">
        <v>0.94885200000000003</v>
      </c>
    </row>
    <row r="37" spans="1:16" x14ac:dyDescent="0.25">
      <c r="A37" t="s">
        <v>16</v>
      </c>
      <c r="B37" s="15">
        <v>1594144198</v>
      </c>
      <c r="C37">
        <v>1337</v>
      </c>
      <c r="D37">
        <v>1163</v>
      </c>
      <c r="E37" s="1">
        <v>0.53480000000000005</v>
      </c>
      <c r="F37" s="1">
        <v>0.4652</v>
      </c>
      <c r="G37">
        <v>50</v>
      </c>
      <c r="H37">
        <v>1</v>
      </c>
      <c r="I37">
        <v>1337</v>
      </c>
      <c r="J37" s="19">
        <v>1</v>
      </c>
      <c r="K37">
        <v>1</v>
      </c>
      <c r="L37">
        <v>1301</v>
      </c>
      <c r="M37">
        <v>1301</v>
      </c>
      <c r="N37">
        <v>1301</v>
      </c>
      <c r="O37">
        <v>1301</v>
      </c>
      <c r="P37" s="1">
        <v>0.97307399999999999</v>
      </c>
    </row>
    <row r="38" spans="1:16" x14ac:dyDescent="0.25">
      <c r="A38" t="s">
        <v>16</v>
      </c>
      <c r="B38" s="15">
        <v>1459482603</v>
      </c>
      <c r="C38">
        <v>1170</v>
      </c>
      <c r="D38">
        <v>1330</v>
      </c>
      <c r="E38" s="1">
        <v>0.46800000000000003</v>
      </c>
      <c r="F38" s="1">
        <v>0.53200000000000003</v>
      </c>
      <c r="G38">
        <v>55</v>
      </c>
      <c r="H38">
        <v>1</v>
      </c>
      <c r="I38">
        <v>1170</v>
      </c>
      <c r="J38" s="19">
        <v>1</v>
      </c>
      <c r="K38">
        <v>1</v>
      </c>
      <c r="L38">
        <v>1128</v>
      </c>
      <c r="M38">
        <v>1128</v>
      </c>
      <c r="N38">
        <v>1128</v>
      </c>
      <c r="O38">
        <v>1128</v>
      </c>
      <c r="P38" s="1">
        <v>0.96410300000000004</v>
      </c>
    </row>
    <row r="39" spans="1:16" x14ac:dyDescent="0.25">
      <c r="A39" t="s">
        <v>16</v>
      </c>
      <c r="B39" s="15">
        <v>1761983583</v>
      </c>
      <c r="C39">
        <v>864</v>
      </c>
      <c r="D39">
        <v>1636</v>
      </c>
      <c r="E39" s="1">
        <v>0.34560000000000002</v>
      </c>
      <c r="F39" s="1">
        <v>0.65439999999999998</v>
      </c>
      <c r="G39">
        <v>50</v>
      </c>
      <c r="H39">
        <v>1</v>
      </c>
      <c r="I39">
        <v>864</v>
      </c>
      <c r="J39" s="19">
        <v>1</v>
      </c>
      <c r="K39">
        <v>1</v>
      </c>
      <c r="L39">
        <v>824</v>
      </c>
      <c r="M39">
        <v>824</v>
      </c>
      <c r="N39">
        <v>824</v>
      </c>
      <c r="O39">
        <v>824</v>
      </c>
      <c r="P39" s="1">
        <v>0.953704</v>
      </c>
    </row>
    <row r="40" spans="1:16" x14ac:dyDescent="0.25">
      <c r="A40" t="s">
        <v>16</v>
      </c>
      <c r="B40" s="15">
        <v>365227024</v>
      </c>
      <c r="C40">
        <v>1113</v>
      </c>
      <c r="D40">
        <v>1387</v>
      </c>
      <c r="E40" s="1">
        <v>0.44519999999999998</v>
      </c>
      <c r="F40" s="1">
        <v>0.55479999999999996</v>
      </c>
      <c r="G40">
        <v>68</v>
      </c>
      <c r="H40">
        <v>1</v>
      </c>
      <c r="I40">
        <v>1113</v>
      </c>
      <c r="J40" s="19">
        <v>1</v>
      </c>
      <c r="K40">
        <v>1</v>
      </c>
      <c r="L40">
        <v>1049</v>
      </c>
      <c r="M40">
        <v>1049</v>
      </c>
      <c r="N40">
        <v>1049</v>
      </c>
      <c r="O40">
        <v>1049</v>
      </c>
      <c r="P40" s="1">
        <v>0.94249799999999995</v>
      </c>
    </row>
    <row r="41" spans="1:16" x14ac:dyDescent="0.25">
      <c r="A41" t="s">
        <v>16</v>
      </c>
      <c r="B41" s="15">
        <v>766580207</v>
      </c>
      <c r="C41">
        <v>1049</v>
      </c>
      <c r="D41">
        <v>1451</v>
      </c>
      <c r="E41" s="1">
        <v>0.41959999999999997</v>
      </c>
      <c r="F41" s="1">
        <v>0.58040000000000003</v>
      </c>
      <c r="G41">
        <v>65</v>
      </c>
      <c r="H41">
        <v>1</v>
      </c>
      <c r="I41">
        <v>1049</v>
      </c>
      <c r="J41" s="19">
        <v>1</v>
      </c>
      <c r="K41">
        <v>1</v>
      </c>
      <c r="L41">
        <v>993</v>
      </c>
      <c r="M41">
        <v>993</v>
      </c>
      <c r="N41">
        <v>993</v>
      </c>
      <c r="O41">
        <v>993</v>
      </c>
      <c r="P41" s="1">
        <v>0.94661600000000001</v>
      </c>
    </row>
    <row r="42" spans="1:16" x14ac:dyDescent="0.25">
      <c r="A42" t="s">
        <v>16</v>
      </c>
      <c r="B42" s="15">
        <v>1652096910</v>
      </c>
      <c r="C42">
        <v>1178</v>
      </c>
      <c r="D42">
        <v>1322</v>
      </c>
      <c r="E42" s="1">
        <v>0.47120000000000001</v>
      </c>
      <c r="F42" s="1">
        <v>0.52880000000000005</v>
      </c>
      <c r="G42">
        <v>75</v>
      </c>
      <c r="H42">
        <v>1</v>
      </c>
      <c r="I42">
        <v>1178</v>
      </c>
      <c r="J42" s="19">
        <v>1</v>
      </c>
      <c r="K42">
        <v>2</v>
      </c>
      <c r="L42">
        <v>554</v>
      </c>
      <c r="M42">
        <v>1013</v>
      </c>
      <c r="N42">
        <v>95</v>
      </c>
      <c r="O42">
        <v>1108</v>
      </c>
      <c r="P42" s="1">
        <v>0.940577</v>
      </c>
    </row>
    <row r="43" spans="1:16" x14ac:dyDescent="0.25">
      <c r="A43" t="s">
        <v>16</v>
      </c>
      <c r="B43" s="15">
        <v>1812576551</v>
      </c>
      <c r="C43">
        <v>1070</v>
      </c>
      <c r="D43">
        <v>1430</v>
      </c>
      <c r="E43" s="1">
        <v>0.42799999999999999</v>
      </c>
      <c r="F43" s="1">
        <v>0.57199999999999995</v>
      </c>
      <c r="G43">
        <v>50</v>
      </c>
      <c r="H43">
        <v>1</v>
      </c>
      <c r="I43">
        <v>1070</v>
      </c>
      <c r="J43" s="19">
        <v>1</v>
      </c>
      <c r="K43">
        <v>1</v>
      </c>
      <c r="L43">
        <v>1035</v>
      </c>
      <c r="M43">
        <v>1035</v>
      </c>
      <c r="N43">
        <v>1035</v>
      </c>
      <c r="O43">
        <v>1035</v>
      </c>
      <c r="P43" s="1">
        <v>0.96728999999999998</v>
      </c>
    </row>
    <row r="44" spans="1:16" x14ac:dyDescent="0.25">
      <c r="A44" t="s">
        <v>16</v>
      </c>
      <c r="B44" s="15">
        <v>146843779</v>
      </c>
      <c r="C44">
        <v>1408</v>
      </c>
      <c r="D44">
        <v>1092</v>
      </c>
      <c r="E44" s="1">
        <v>0.56320000000000003</v>
      </c>
      <c r="F44" s="1">
        <v>0.43680000000000002</v>
      </c>
      <c r="G44">
        <v>48</v>
      </c>
      <c r="H44">
        <v>1</v>
      </c>
      <c r="I44">
        <v>1408</v>
      </c>
      <c r="J44" s="19">
        <v>1</v>
      </c>
      <c r="K44">
        <v>1</v>
      </c>
      <c r="L44">
        <v>1348</v>
      </c>
      <c r="M44">
        <v>1348</v>
      </c>
      <c r="N44">
        <v>1348</v>
      </c>
      <c r="O44">
        <v>1348</v>
      </c>
      <c r="P44" s="1">
        <v>0.95738599999999996</v>
      </c>
    </row>
    <row r="45" spans="1:16" x14ac:dyDescent="0.25">
      <c r="A45" t="s">
        <v>16</v>
      </c>
      <c r="B45" s="15">
        <v>1752573957</v>
      </c>
      <c r="C45">
        <v>674</v>
      </c>
      <c r="D45">
        <v>1826</v>
      </c>
      <c r="E45" s="1">
        <v>0.26960000000000001</v>
      </c>
      <c r="F45" s="1">
        <v>0.73040000000000005</v>
      </c>
      <c r="G45">
        <v>49</v>
      </c>
      <c r="H45">
        <v>1</v>
      </c>
      <c r="I45">
        <v>674</v>
      </c>
      <c r="J45" s="19">
        <v>1</v>
      </c>
      <c r="K45">
        <v>1</v>
      </c>
      <c r="L45">
        <v>630</v>
      </c>
      <c r="M45">
        <v>630</v>
      </c>
      <c r="N45">
        <v>630</v>
      </c>
      <c r="O45">
        <v>630</v>
      </c>
      <c r="P45" s="1">
        <v>0.93471800000000005</v>
      </c>
    </row>
    <row r="46" spans="1:16" x14ac:dyDescent="0.25">
      <c r="A46" t="s">
        <v>16</v>
      </c>
      <c r="B46" s="15">
        <v>1861027340</v>
      </c>
      <c r="C46">
        <v>781</v>
      </c>
      <c r="D46">
        <v>1719</v>
      </c>
      <c r="E46" s="1">
        <v>0.31240000000000001</v>
      </c>
      <c r="F46" s="1">
        <v>0.68759999999999999</v>
      </c>
      <c r="G46">
        <v>38</v>
      </c>
      <c r="H46">
        <v>1</v>
      </c>
      <c r="I46">
        <v>781</v>
      </c>
      <c r="J46" s="19">
        <v>1</v>
      </c>
      <c r="K46">
        <v>1</v>
      </c>
      <c r="L46">
        <v>759</v>
      </c>
      <c r="M46">
        <v>759</v>
      </c>
      <c r="N46">
        <v>759</v>
      </c>
      <c r="O46">
        <v>759</v>
      </c>
      <c r="P46" s="1">
        <v>0.971831</v>
      </c>
    </row>
    <row r="47" spans="1:16" x14ac:dyDescent="0.25">
      <c r="A47" t="s">
        <v>16</v>
      </c>
      <c r="B47" s="15">
        <v>52118812</v>
      </c>
      <c r="C47">
        <v>679</v>
      </c>
      <c r="D47">
        <v>1821</v>
      </c>
      <c r="E47" s="1">
        <v>0.27160000000000001</v>
      </c>
      <c r="F47" s="1">
        <v>0.72840000000000005</v>
      </c>
      <c r="G47">
        <v>37</v>
      </c>
      <c r="H47">
        <v>1</v>
      </c>
      <c r="I47">
        <v>679</v>
      </c>
      <c r="J47" s="19">
        <v>1</v>
      </c>
      <c r="K47">
        <v>2</v>
      </c>
      <c r="L47">
        <v>324</v>
      </c>
      <c r="M47">
        <v>631</v>
      </c>
      <c r="N47">
        <v>17</v>
      </c>
      <c r="O47">
        <v>648</v>
      </c>
      <c r="P47" s="1">
        <v>0.954345</v>
      </c>
    </row>
    <row r="48" spans="1:16" x14ac:dyDescent="0.25">
      <c r="A48" t="s">
        <v>16</v>
      </c>
      <c r="B48" s="15">
        <v>10094446</v>
      </c>
      <c r="C48">
        <v>728</v>
      </c>
      <c r="D48">
        <v>1772</v>
      </c>
      <c r="E48" s="1">
        <v>0.29120000000000001</v>
      </c>
      <c r="F48" s="1">
        <v>0.70879999999999999</v>
      </c>
      <c r="G48">
        <v>41</v>
      </c>
      <c r="H48">
        <v>1</v>
      </c>
      <c r="I48">
        <v>728</v>
      </c>
      <c r="J48" s="19">
        <v>1</v>
      </c>
      <c r="K48">
        <v>1</v>
      </c>
      <c r="L48">
        <v>699</v>
      </c>
      <c r="M48">
        <v>699</v>
      </c>
      <c r="N48">
        <v>699</v>
      </c>
      <c r="O48">
        <v>699</v>
      </c>
      <c r="P48" s="1">
        <v>0.96016500000000005</v>
      </c>
    </row>
    <row r="49" spans="1:16" x14ac:dyDescent="0.25">
      <c r="A49" t="s">
        <v>16</v>
      </c>
      <c r="B49" s="15">
        <v>2080762442</v>
      </c>
      <c r="C49">
        <v>761</v>
      </c>
      <c r="D49">
        <v>1739</v>
      </c>
      <c r="E49" s="1">
        <v>0.3044</v>
      </c>
      <c r="F49" s="1">
        <v>0.6956</v>
      </c>
      <c r="G49">
        <v>40</v>
      </c>
      <c r="H49">
        <v>1</v>
      </c>
      <c r="I49">
        <v>761</v>
      </c>
      <c r="J49" s="19">
        <v>1</v>
      </c>
      <c r="K49">
        <v>1</v>
      </c>
      <c r="L49">
        <v>745</v>
      </c>
      <c r="M49">
        <v>745</v>
      </c>
      <c r="N49">
        <v>745</v>
      </c>
      <c r="O49">
        <v>745</v>
      </c>
      <c r="P49" s="1">
        <v>0.97897500000000004</v>
      </c>
    </row>
    <row r="50" spans="1:16" x14ac:dyDescent="0.25">
      <c r="A50" t="s">
        <v>16</v>
      </c>
      <c r="B50" s="15">
        <v>140282680</v>
      </c>
      <c r="C50">
        <v>456</v>
      </c>
      <c r="D50">
        <v>2044</v>
      </c>
      <c r="E50" s="1">
        <v>0.18240000000000001</v>
      </c>
      <c r="F50" s="1">
        <v>0.81759999999999999</v>
      </c>
      <c r="G50">
        <v>32</v>
      </c>
      <c r="H50">
        <v>1</v>
      </c>
      <c r="I50">
        <v>456</v>
      </c>
      <c r="J50" s="19">
        <v>1</v>
      </c>
      <c r="K50">
        <v>1</v>
      </c>
      <c r="L50">
        <v>444</v>
      </c>
      <c r="M50">
        <v>444</v>
      </c>
      <c r="N50">
        <v>444</v>
      </c>
      <c r="O50">
        <v>444</v>
      </c>
      <c r="P50" s="1">
        <v>0.97368399999999999</v>
      </c>
    </row>
    <row r="51" spans="1:16" x14ac:dyDescent="0.25">
      <c r="A51" t="s">
        <v>16</v>
      </c>
      <c r="B51" s="15">
        <v>1287398951</v>
      </c>
      <c r="C51">
        <v>1350</v>
      </c>
      <c r="D51">
        <v>1150</v>
      </c>
      <c r="E51" s="1">
        <v>0.54</v>
      </c>
      <c r="F51" s="1">
        <v>0.46</v>
      </c>
      <c r="G51">
        <v>50</v>
      </c>
      <c r="H51">
        <v>1</v>
      </c>
      <c r="I51">
        <v>1350</v>
      </c>
      <c r="J51" s="19">
        <v>1</v>
      </c>
      <c r="K51">
        <v>1</v>
      </c>
      <c r="L51">
        <v>1303</v>
      </c>
      <c r="M51">
        <v>1303</v>
      </c>
      <c r="N51">
        <v>1303</v>
      </c>
      <c r="O51">
        <v>1303</v>
      </c>
      <c r="P51" s="1">
        <v>0.96518499999999996</v>
      </c>
    </row>
    <row r="52" spans="1:16" x14ac:dyDescent="0.25">
      <c r="A52" t="s">
        <v>25</v>
      </c>
      <c r="C52">
        <f>SUBTOTAL(101,AgRan_dir5_room5_chance15_step750[floors])</f>
        <v>996.48</v>
      </c>
      <c r="D52">
        <f>SUBTOTAL(101,AgRan_dir5_room5_chance15_step750[walls])</f>
        <v>1503.52</v>
      </c>
      <c r="E52" s="2">
        <f>SUBTOTAL(107,AgRan_dir5_room5_chance15_step750[floor_percent])</f>
        <v>0.10628049879676776</v>
      </c>
      <c r="F52" s="2">
        <f>SUBTOTAL(101,AgRan_dir5_room5_chance15_step750[wall_percent])</f>
        <v>0.60140800000000016</v>
      </c>
      <c r="G52">
        <f>SUBTOTAL(101,AgRan_dir5_room5_chance15_step750[longest_shortest_path])</f>
        <v>49.28</v>
      </c>
      <c r="H52">
        <f>SUBTOTAL(101,AgRan_dir5_room5_chance15_step750[component_count])</f>
        <v>1</v>
      </c>
      <c r="I52">
        <f>SUBTOTAL(101,AgRan_dir5_room5_chance15_step750[max_component_size])</f>
        <v>996.48</v>
      </c>
      <c r="J52" s="19">
        <f>SUBTOTAL(101,AgRan_dir5_room5_chance15_step750[connectivity_ratio])</f>
        <v>1</v>
      </c>
      <c r="K52">
        <f>SUBTOTAL(101,AgRan_dir5_room5_chance15_step750[room_count])</f>
        <v>1.22</v>
      </c>
      <c r="L52">
        <f>SUBTOTAL(101,AgRan_dir5_room5_chance15_step750[avg_room_size])</f>
        <v>869.69500000000005</v>
      </c>
      <c r="M52">
        <f>SUBTOTAL(101,AgRan_dir5_room5_chance15_step750[max_room_size])</f>
        <v>941.76</v>
      </c>
      <c r="N52">
        <f>SUBTOTAL(101,AgRan_dir5_room5_chance15_step750[min_room_size])</f>
        <v>807.04</v>
      </c>
      <c r="O52">
        <f>SUBTOTAL(101,AgRan_dir5_room5_chance15_step750[room_tiles])</f>
        <v>953.76</v>
      </c>
      <c r="P52" s="2">
        <f>SUBTOTAL(101,AgRan_dir5_room5_chance15_step750[room_ratio])</f>
        <v>0.95734437999999999</v>
      </c>
    </row>
    <row r="53" spans="1:16" x14ac:dyDescent="0.25">
      <c r="A53" s="16" t="s">
        <v>31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1DDE-864E-4A6B-ACC5-1E2F5582D902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1447886157</v>
      </c>
      <c r="C2">
        <v>882</v>
      </c>
      <c r="D2">
        <v>1618</v>
      </c>
      <c r="E2" s="1">
        <v>0.3528</v>
      </c>
      <c r="F2" s="1">
        <v>0.6472</v>
      </c>
      <c r="G2">
        <v>45</v>
      </c>
      <c r="H2">
        <v>1</v>
      </c>
      <c r="I2">
        <v>882</v>
      </c>
      <c r="J2" s="19">
        <v>1</v>
      </c>
      <c r="K2">
        <v>1</v>
      </c>
      <c r="L2">
        <v>848</v>
      </c>
      <c r="M2">
        <v>848</v>
      </c>
      <c r="N2">
        <v>848</v>
      </c>
      <c r="O2">
        <v>848</v>
      </c>
      <c r="P2" s="1">
        <v>0.96145099999999994</v>
      </c>
    </row>
    <row r="3" spans="1:16" x14ac:dyDescent="0.25">
      <c r="A3" t="s">
        <v>16</v>
      </c>
      <c r="B3" s="15">
        <v>950633444</v>
      </c>
      <c r="C3">
        <v>962</v>
      </c>
      <c r="D3">
        <v>1538</v>
      </c>
      <c r="E3" s="1">
        <v>0.38479999999999998</v>
      </c>
      <c r="F3" s="1">
        <v>0.61519999999999997</v>
      </c>
      <c r="G3">
        <v>53</v>
      </c>
      <c r="H3">
        <v>1</v>
      </c>
      <c r="I3">
        <v>962</v>
      </c>
      <c r="J3" s="19">
        <v>1</v>
      </c>
      <c r="K3">
        <v>1</v>
      </c>
      <c r="L3">
        <v>926</v>
      </c>
      <c r="M3">
        <v>926</v>
      </c>
      <c r="N3">
        <v>926</v>
      </c>
      <c r="O3">
        <v>926</v>
      </c>
      <c r="P3" s="1">
        <v>0.96257800000000004</v>
      </c>
    </row>
    <row r="4" spans="1:16" x14ac:dyDescent="0.25">
      <c r="A4" t="s">
        <v>16</v>
      </c>
      <c r="B4" s="15">
        <v>1675638282</v>
      </c>
      <c r="C4">
        <v>837</v>
      </c>
      <c r="D4">
        <v>1663</v>
      </c>
      <c r="E4" s="1">
        <v>0.33479999999999999</v>
      </c>
      <c r="F4" s="1">
        <v>0.66520000000000001</v>
      </c>
      <c r="G4">
        <v>40</v>
      </c>
      <c r="H4">
        <v>1</v>
      </c>
      <c r="I4">
        <v>837</v>
      </c>
      <c r="J4" s="19">
        <v>1</v>
      </c>
      <c r="K4">
        <v>2</v>
      </c>
      <c r="L4">
        <v>404</v>
      </c>
      <c r="M4">
        <v>804</v>
      </c>
      <c r="N4">
        <v>4</v>
      </c>
      <c r="O4">
        <v>808</v>
      </c>
      <c r="P4" s="1">
        <v>0.96535199999999999</v>
      </c>
    </row>
    <row r="5" spans="1:16" x14ac:dyDescent="0.25">
      <c r="A5" t="s">
        <v>16</v>
      </c>
      <c r="B5" s="15">
        <v>327885327</v>
      </c>
      <c r="C5">
        <v>786</v>
      </c>
      <c r="D5">
        <v>1714</v>
      </c>
      <c r="E5" s="1">
        <v>0.31440000000000001</v>
      </c>
      <c r="F5" s="1">
        <v>0.68559999999999999</v>
      </c>
      <c r="G5">
        <v>41</v>
      </c>
      <c r="H5">
        <v>1</v>
      </c>
      <c r="I5">
        <v>786</v>
      </c>
      <c r="J5" s="19">
        <v>1</v>
      </c>
      <c r="K5">
        <v>1</v>
      </c>
      <c r="L5">
        <v>762</v>
      </c>
      <c r="M5">
        <v>762</v>
      </c>
      <c r="N5">
        <v>762</v>
      </c>
      <c r="O5">
        <v>762</v>
      </c>
      <c r="P5" s="1">
        <v>0.96946600000000005</v>
      </c>
    </row>
    <row r="6" spans="1:16" x14ac:dyDescent="0.25">
      <c r="A6" t="s">
        <v>16</v>
      </c>
      <c r="B6" s="15">
        <v>589244755</v>
      </c>
      <c r="C6">
        <v>1011</v>
      </c>
      <c r="D6">
        <v>1489</v>
      </c>
      <c r="E6" s="1">
        <v>0.40439999999999998</v>
      </c>
      <c r="F6" s="1">
        <v>0.59560000000000002</v>
      </c>
      <c r="G6">
        <v>55</v>
      </c>
      <c r="H6">
        <v>1</v>
      </c>
      <c r="I6">
        <v>1011</v>
      </c>
      <c r="J6" s="19">
        <v>1</v>
      </c>
      <c r="K6">
        <v>1</v>
      </c>
      <c r="L6">
        <v>970</v>
      </c>
      <c r="M6">
        <v>970</v>
      </c>
      <c r="N6">
        <v>970</v>
      </c>
      <c r="O6">
        <v>970</v>
      </c>
      <c r="P6" s="1">
        <v>0.95944600000000002</v>
      </c>
    </row>
    <row r="7" spans="1:16" x14ac:dyDescent="0.25">
      <c r="A7" t="s">
        <v>16</v>
      </c>
      <c r="B7" s="15">
        <v>671723881</v>
      </c>
      <c r="C7">
        <v>989</v>
      </c>
      <c r="D7">
        <v>1511</v>
      </c>
      <c r="E7" s="1">
        <v>0.39560000000000001</v>
      </c>
      <c r="F7" s="1">
        <v>0.60440000000000005</v>
      </c>
      <c r="G7">
        <v>55</v>
      </c>
      <c r="H7">
        <v>1</v>
      </c>
      <c r="I7">
        <v>989</v>
      </c>
      <c r="J7" s="19">
        <v>1</v>
      </c>
      <c r="K7">
        <v>2</v>
      </c>
      <c r="L7">
        <v>475.5</v>
      </c>
      <c r="M7">
        <v>935</v>
      </c>
      <c r="N7">
        <v>16</v>
      </c>
      <c r="O7">
        <v>951</v>
      </c>
      <c r="P7" s="1">
        <v>0.96157700000000002</v>
      </c>
    </row>
    <row r="8" spans="1:16" x14ac:dyDescent="0.25">
      <c r="A8" t="s">
        <v>16</v>
      </c>
      <c r="B8" s="15">
        <v>1552617576</v>
      </c>
      <c r="C8">
        <v>772</v>
      </c>
      <c r="D8">
        <v>1728</v>
      </c>
      <c r="E8" s="1">
        <v>0.30880000000000002</v>
      </c>
      <c r="F8" s="1">
        <v>0.69120000000000004</v>
      </c>
      <c r="G8">
        <v>48</v>
      </c>
      <c r="H8">
        <v>1</v>
      </c>
      <c r="I8">
        <v>772</v>
      </c>
      <c r="J8" s="19">
        <v>1</v>
      </c>
      <c r="K8">
        <v>1</v>
      </c>
      <c r="L8">
        <v>748</v>
      </c>
      <c r="M8">
        <v>748</v>
      </c>
      <c r="N8">
        <v>748</v>
      </c>
      <c r="O8">
        <v>748</v>
      </c>
      <c r="P8" s="1">
        <v>0.968912</v>
      </c>
    </row>
    <row r="9" spans="1:16" x14ac:dyDescent="0.25">
      <c r="A9" t="s">
        <v>16</v>
      </c>
      <c r="B9" s="15">
        <v>767871989</v>
      </c>
      <c r="C9">
        <v>712</v>
      </c>
      <c r="D9">
        <v>1788</v>
      </c>
      <c r="E9" s="1">
        <v>0.2848</v>
      </c>
      <c r="F9" s="1">
        <v>0.71519999999999995</v>
      </c>
      <c r="G9">
        <v>35</v>
      </c>
      <c r="H9">
        <v>1</v>
      </c>
      <c r="I9">
        <v>712</v>
      </c>
      <c r="J9" s="19">
        <v>1</v>
      </c>
      <c r="K9">
        <v>1</v>
      </c>
      <c r="L9">
        <v>694</v>
      </c>
      <c r="M9">
        <v>694</v>
      </c>
      <c r="N9">
        <v>694</v>
      </c>
      <c r="O9">
        <v>694</v>
      </c>
      <c r="P9" s="1">
        <v>0.974719</v>
      </c>
    </row>
    <row r="10" spans="1:16" x14ac:dyDescent="0.25">
      <c r="A10" t="s">
        <v>16</v>
      </c>
      <c r="B10" s="15">
        <v>724688161</v>
      </c>
      <c r="C10">
        <v>1140</v>
      </c>
      <c r="D10">
        <v>1360</v>
      </c>
      <c r="E10" s="1">
        <v>0.45600000000000002</v>
      </c>
      <c r="F10" s="1">
        <v>0.54400000000000004</v>
      </c>
      <c r="G10">
        <v>42</v>
      </c>
      <c r="H10">
        <v>1</v>
      </c>
      <c r="I10">
        <v>1140</v>
      </c>
      <c r="J10" s="19">
        <v>1</v>
      </c>
      <c r="K10">
        <v>1</v>
      </c>
      <c r="L10">
        <v>1102</v>
      </c>
      <c r="M10">
        <v>1102</v>
      </c>
      <c r="N10">
        <v>1102</v>
      </c>
      <c r="O10">
        <v>1102</v>
      </c>
      <c r="P10" s="1">
        <v>0.96666700000000005</v>
      </c>
    </row>
    <row r="11" spans="1:16" x14ac:dyDescent="0.25">
      <c r="A11" t="s">
        <v>16</v>
      </c>
      <c r="B11" s="15">
        <v>563253435</v>
      </c>
      <c r="C11">
        <v>1348</v>
      </c>
      <c r="D11">
        <v>1152</v>
      </c>
      <c r="E11" s="1">
        <v>0.53920000000000001</v>
      </c>
      <c r="F11" s="1">
        <v>0.46079999999999999</v>
      </c>
      <c r="G11">
        <v>63</v>
      </c>
      <c r="H11">
        <v>1</v>
      </c>
      <c r="I11">
        <v>1348</v>
      </c>
      <c r="J11" s="19">
        <v>1</v>
      </c>
      <c r="K11">
        <v>1</v>
      </c>
      <c r="L11">
        <v>1301</v>
      </c>
      <c r="M11">
        <v>1301</v>
      </c>
      <c r="N11">
        <v>1301</v>
      </c>
      <c r="O11">
        <v>1301</v>
      </c>
      <c r="P11" s="1">
        <v>0.96513400000000005</v>
      </c>
    </row>
    <row r="12" spans="1:16" x14ac:dyDescent="0.25">
      <c r="A12" t="s">
        <v>16</v>
      </c>
      <c r="B12" s="15">
        <v>1564618292</v>
      </c>
      <c r="C12">
        <v>724</v>
      </c>
      <c r="D12">
        <v>1776</v>
      </c>
      <c r="E12" s="1">
        <v>0.28960000000000002</v>
      </c>
      <c r="F12" s="1">
        <v>0.71040000000000003</v>
      </c>
      <c r="G12">
        <v>45</v>
      </c>
      <c r="H12">
        <v>1</v>
      </c>
      <c r="I12">
        <v>724</v>
      </c>
      <c r="J12" s="19">
        <v>1</v>
      </c>
      <c r="K12">
        <v>1</v>
      </c>
      <c r="L12">
        <v>690</v>
      </c>
      <c r="M12">
        <v>690</v>
      </c>
      <c r="N12">
        <v>690</v>
      </c>
      <c r="O12">
        <v>690</v>
      </c>
      <c r="P12" s="1">
        <v>0.95303899999999997</v>
      </c>
    </row>
    <row r="13" spans="1:16" x14ac:dyDescent="0.25">
      <c r="A13" t="s">
        <v>16</v>
      </c>
      <c r="B13" s="15">
        <v>1502333056</v>
      </c>
      <c r="C13">
        <v>1117</v>
      </c>
      <c r="D13">
        <v>1383</v>
      </c>
      <c r="E13" s="1">
        <v>0.44679999999999997</v>
      </c>
      <c r="F13" s="1">
        <v>0.55320000000000003</v>
      </c>
      <c r="G13">
        <v>74</v>
      </c>
      <c r="H13">
        <v>1</v>
      </c>
      <c r="I13">
        <v>1117</v>
      </c>
      <c r="J13" s="19">
        <v>1</v>
      </c>
      <c r="K13">
        <v>1</v>
      </c>
      <c r="L13">
        <v>1071</v>
      </c>
      <c r="M13">
        <v>1071</v>
      </c>
      <c r="N13">
        <v>1071</v>
      </c>
      <c r="O13">
        <v>1071</v>
      </c>
      <c r="P13" s="1">
        <v>0.95881799999999995</v>
      </c>
    </row>
    <row r="14" spans="1:16" x14ac:dyDescent="0.25">
      <c r="A14" t="s">
        <v>16</v>
      </c>
      <c r="B14" s="15">
        <v>488539948</v>
      </c>
      <c r="C14">
        <v>1226</v>
      </c>
      <c r="D14">
        <v>1274</v>
      </c>
      <c r="E14" s="1">
        <v>0.4904</v>
      </c>
      <c r="F14" s="1">
        <v>0.50960000000000005</v>
      </c>
      <c r="G14">
        <v>57</v>
      </c>
      <c r="H14">
        <v>1</v>
      </c>
      <c r="I14">
        <v>1226</v>
      </c>
      <c r="J14" s="19">
        <v>1</v>
      </c>
      <c r="K14">
        <v>1</v>
      </c>
      <c r="L14">
        <v>1165</v>
      </c>
      <c r="M14">
        <v>1165</v>
      </c>
      <c r="N14">
        <v>1165</v>
      </c>
      <c r="O14">
        <v>1165</v>
      </c>
      <c r="P14" s="1">
        <v>0.95024500000000001</v>
      </c>
    </row>
    <row r="15" spans="1:16" x14ac:dyDescent="0.25">
      <c r="A15" t="s">
        <v>16</v>
      </c>
      <c r="B15" s="15">
        <v>396243500</v>
      </c>
      <c r="C15">
        <v>1149</v>
      </c>
      <c r="D15">
        <v>1351</v>
      </c>
      <c r="E15" s="1">
        <v>0.45960000000000001</v>
      </c>
      <c r="F15" s="1">
        <v>0.54039999999999999</v>
      </c>
      <c r="G15">
        <v>53</v>
      </c>
      <c r="H15">
        <v>1</v>
      </c>
      <c r="I15">
        <v>1149</v>
      </c>
      <c r="J15" s="19">
        <v>1</v>
      </c>
      <c r="K15">
        <v>2</v>
      </c>
      <c r="L15">
        <v>545</v>
      </c>
      <c r="M15">
        <v>1065</v>
      </c>
      <c r="N15">
        <v>25</v>
      </c>
      <c r="O15">
        <v>1090</v>
      </c>
      <c r="P15" s="1">
        <v>0.94865100000000002</v>
      </c>
    </row>
    <row r="16" spans="1:16" x14ac:dyDescent="0.25">
      <c r="A16" t="s">
        <v>16</v>
      </c>
      <c r="B16" s="15">
        <v>2127540264</v>
      </c>
      <c r="C16">
        <v>1103</v>
      </c>
      <c r="D16">
        <v>1397</v>
      </c>
      <c r="E16" s="1">
        <v>0.44119999999999998</v>
      </c>
      <c r="F16" s="1">
        <v>0.55879999999999996</v>
      </c>
      <c r="G16">
        <v>39</v>
      </c>
      <c r="H16">
        <v>1</v>
      </c>
      <c r="I16">
        <v>1103</v>
      </c>
      <c r="J16" s="19">
        <v>1</v>
      </c>
      <c r="K16">
        <v>1</v>
      </c>
      <c r="L16">
        <v>1074</v>
      </c>
      <c r="M16">
        <v>1074</v>
      </c>
      <c r="N16">
        <v>1074</v>
      </c>
      <c r="O16">
        <v>1074</v>
      </c>
      <c r="P16" s="1">
        <v>0.97370800000000002</v>
      </c>
    </row>
    <row r="17" spans="1:16" x14ac:dyDescent="0.25">
      <c r="A17" t="s">
        <v>16</v>
      </c>
      <c r="B17" s="15">
        <v>2131572410</v>
      </c>
      <c r="C17">
        <v>1187</v>
      </c>
      <c r="D17">
        <v>1313</v>
      </c>
      <c r="E17" s="1">
        <v>0.4748</v>
      </c>
      <c r="F17" s="1">
        <v>0.5252</v>
      </c>
      <c r="G17">
        <v>49</v>
      </c>
      <c r="H17">
        <v>1</v>
      </c>
      <c r="I17">
        <v>1187</v>
      </c>
      <c r="J17" s="19">
        <v>1</v>
      </c>
      <c r="K17">
        <v>1</v>
      </c>
      <c r="L17">
        <v>1151</v>
      </c>
      <c r="M17">
        <v>1151</v>
      </c>
      <c r="N17">
        <v>1151</v>
      </c>
      <c r="O17">
        <v>1151</v>
      </c>
      <c r="P17" s="1">
        <v>0.96967099999999995</v>
      </c>
    </row>
    <row r="18" spans="1:16" x14ac:dyDescent="0.25">
      <c r="A18" t="s">
        <v>16</v>
      </c>
      <c r="B18" s="15">
        <v>883696871</v>
      </c>
      <c r="C18">
        <v>1129</v>
      </c>
      <c r="D18">
        <v>1371</v>
      </c>
      <c r="E18" s="1">
        <v>0.4516</v>
      </c>
      <c r="F18" s="1">
        <v>0.5484</v>
      </c>
      <c r="G18">
        <v>43</v>
      </c>
      <c r="H18">
        <v>1</v>
      </c>
      <c r="I18">
        <v>1129</v>
      </c>
      <c r="J18" s="19">
        <v>1</v>
      </c>
      <c r="K18">
        <v>1</v>
      </c>
      <c r="L18">
        <v>1104</v>
      </c>
      <c r="M18">
        <v>1104</v>
      </c>
      <c r="N18">
        <v>1104</v>
      </c>
      <c r="O18">
        <v>1104</v>
      </c>
      <c r="P18" s="1">
        <v>0.97785699999999998</v>
      </c>
    </row>
    <row r="19" spans="1:16" x14ac:dyDescent="0.25">
      <c r="A19" t="s">
        <v>16</v>
      </c>
      <c r="B19" s="15">
        <v>1040528766</v>
      </c>
      <c r="C19">
        <v>932</v>
      </c>
      <c r="D19">
        <v>1568</v>
      </c>
      <c r="E19" s="1">
        <v>0.37280000000000002</v>
      </c>
      <c r="F19" s="1">
        <v>0.62719999999999998</v>
      </c>
      <c r="G19">
        <v>43</v>
      </c>
      <c r="H19">
        <v>1</v>
      </c>
      <c r="I19">
        <v>932</v>
      </c>
      <c r="J19" s="19">
        <v>1</v>
      </c>
      <c r="K19">
        <v>1</v>
      </c>
      <c r="L19">
        <v>907</v>
      </c>
      <c r="M19">
        <v>907</v>
      </c>
      <c r="N19">
        <v>907</v>
      </c>
      <c r="O19">
        <v>907</v>
      </c>
      <c r="P19" s="1">
        <v>0.97317600000000004</v>
      </c>
    </row>
    <row r="20" spans="1:16" x14ac:dyDescent="0.25">
      <c r="A20" t="s">
        <v>16</v>
      </c>
      <c r="B20" s="15">
        <v>1436172441</v>
      </c>
      <c r="C20">
        <v>1123</v>
      </c>
      <c r="D20">
        <v>1377</v>
      </c>
      <c r="E20" s="1">
        <v>0.44919999999999999</v>
      </c>
      <c r="F20" s="1">
        <v>0.55079999999999996</v>
      </c>
      <c r="G20">
        <v>48</v>
      </c>
      <c r="H20">
        <v>1</v>
      </c>
      <c r="I20">
        <v>1123</v>
      </c>
      <c r="J20" s="19">
        <v>1</v>
      </c>
      <c r="K20">
        <v>1</v>
      </c>
      <c r="L20">
        <v>1082</v>
      </c>
      <c r="M20">
        <v>1082</v>
      </c>
      <c r="N20">
        <v>1082</v>
      </c>
      <c r="O20">
        <v>1082</v>
      </c>
      <c r="P20" s="1">
        <v>0.96349099999999999</v>
      </c>
    </row>
    <row r="21" spans="1:16" x14ac:dyDescent="0.25">
      <c r="A21" t="s">
        <v>16</v>
      </c>
      <c r="B21" s="15">
        <v>1665117809</v>
      </c>
      <c r="C21">
        <v>913</v>
      </c>
      <c r="D21">
        <v>1587</v>
      </c>
      <c r="E21" s="1">
        <v>0.36520000000000002</v>
      </c>
      <c r="F21" s="1">
        <v>0.63480000000000003</v>
      </c>
      <c r="G21">
        <v>47</v>
      </c>
      <c r="H21">
        <v>1</v>
      </c>
      <c r="I21">
        <v>913</v>
      </c>
      <c r="J21" s="19">
        <v>1</v>
      </c>
      <c r="K21">
        <v>1</v>
      </c>
      <c r="L21">
        <v>885</v>
      </c>
      <c r="M21">
        <v>885</v>
      </c>
      <c r="N21">
        <v>885</v>
      </c>
      <c r="O21">
        <v>885</v>
      </c>
      <c r="P21" s="1">
        <v>0.96933199999999997</v>
      </c>
    </row>
    <row r="22" spans="1:16" x14ac:dyDescent="0.25">
      <c r="A22" t="s">
        <v>16</v>
      </c>
      <c r="B22" s="15">
        <v>2073416130</v>
      </c>
      <c r="C22">
        <v>988</v>
      </c>
      <c r="D22">
        <v>1512</v>
      </c>
      <c r="E22" s="1">
        <v>0.3952</v>
      </c>
      <c r="F22" s="1">
        <v>0.6048</v>
      </c>
      <c r="G22">
        <v>55</v>
      </c>
      <c r="H22">
        <v>1</v>
      </c>
      <c r="I22">
        <v>988</v>
      </c>
      <c r="J22" s="19">
        <v>1</v>
      </c>
      <c r="K22">
        <v>1</v>
      </c>
      <c r="L22">
        <v>954</v>
      </c>
      <c r="M22">
        <v>954</v>
      </c>
      <c r="N22">
        <v>954</v>
      </c>
      <c r="O22">
        <v>954</v>
      </c>
      <c r="P22" s="1">
        <v>0.96558699999999997</v>
      </c>
    </row>
    <row r="23" spans="1:16" x14ac:dyDescent="0.25">
      <c r="A23" t="s">
        <v>16</v>
      </c>
      <c r="B23" s="15">
        <v>1013713769</v>
      </c>
      <c r="C23">
        <v>786</v>
      </c>
      <c r="D23">
        <v>1714</v>
      </c>
      <c r="E23" s="1">
        <v>0.31440000000000001</v>
      </c>
      <c r="F23" s="1">
        <v>0.68559999999999999</v>
      </c>
      <c r="G23">
        <v>49</v>
      </c>
      <c r="H23">
        <v>1</v>
      </c>
      <c r="I23">
        <v>786</v>
      </c>
      <c r="J23" s="19">
        <v>1</v>
      </c>
      <c r="K23">
        <v>1</v>
      </c>
      <c r="L23">
        <v>762</v>
      </c>
      <c r="M23">
        <v>762</v>
      </c>
      <c r="N23">
        <v>762</v>
      </c>
      <c r="O23">
        <v>762</v>
      </c>
      <c r="P23" s="1">
        <v>0.96946600000000005</v>
      </c>
    </row>
    <row r="24" spans="1:16" x14ac:dyDescent="0.25">
      <c r="A24" t="s">
        <v>16</v>
      </c>
      <c r="B24" s="15">
        <v>1268274271</v>
      </c>
      <c r="C24">
        <v>1123</v>
      </c>
      <c r="D24">
        <v>1377</v>
      </c>
      <c r="E24" s="1">
        <v>0.44919999999999999</v>
      </c>
      <c r="F24" s="1">
        <v>0.55079999999999996</v>
      </c>
      <c r="G24">
        <v>49</v>
      </c>
      <c r="H24">
        <v>1</v>
      </c>
      <c r="I24">
        <v>1123</v>
      </c>
      <c r="J24" s="19">
        <v>1</v>
      </c>
      <c r="K24">
        <v>1</v>
      </c>
      <c r="L24">
        <v>1074</v>
      </c>
      <c r="M24">
        <v>1074</v>
      </c>
      <c r="N24">
        <v>1074</v>
      </c>
      <c r="O24">
        <v>1074</v>
      </c>
      <c r="P24" s="1">
        <v>0.95636699999999997</v>
      </c>
    </row>
    <row r="25" spans="1:16" x14ac:dyDescent="0.25">
      <c r="A25" t="s">
        <v>16</v>
      </c>
      <c r="B25" s="15">
        <v>1212355033</v>
      </c>
      <c r="C25">
        <v>1258</v>
      </c>
      <c r="D25">
        <v>1242</v>
      </c>
      <c r="E25" s="1">
        <v>0.50319999999999998</v>
      </c>
      <c r="F25" s="1">
        <v>0.49680000000000002</v>
      </c>
      <c r="G25">
        <v>45</v>
      </c>
      <c r="H25">
        <v>1</v>
      </c>
      <c r="I25">
        <v>1258</v>
      </c>
      <c r="J25" s="19">
        <v>1</v>
      </c>
      <c r="K25">
        <v>1</v>
      </c>
      <c r="L25">
        <v>1214</v>
      </c>
      <c r="M25">
        <v>1214</v>
      </c>
      <c r="N25">
        <v>1214</v>
      </c>
      <c r="O25">
        <v>1214</v>
      </c>
      <c r="P25" s="1">
        <v>0.96502399999999999</v>
      </c>
    </row>
    <row r="26" spans="1:16" x14ac:dyDescent="0.25">
      <c r="A26" t="s">
        <v>16</v>
      </c>
      <c r="B26" s="15">
        <v>1678641106</v>
      </c>
      <c r="C26">
        <v>1080</v>
      </c>
      <c r="D26">
        <v>1420</v>
      </c>
      <c r="E26" s="1">
        <v>0.432</v>
      </c>
      <c r="F26" s="1">
        <v>0.56799999999999995</v>
      </c>
      <c r="G26">
        <v>70</v>
      </c>
      <c r="H26">
        <v>1</v>
      </c>
      <c r="I26">
        <v>1080</v>
      </c>
      <c r="J26" s="19">
        <v>1</v>
      </c>
      <c r="K26">
        <v>1</v>
      </c>
      <c r="L26">
        <v>1023</v>
      </c>
      <c r="M26">
        <v>1023</v>
      </c>
      <c r="N26">
        <v>1023</v>
      </c>
      <c r="O26">
        <v>1023</v>
      </c>
      <c r="P26" s="1">
        <v>0.94722200000000001</v>
      </c>
    </row>
    <row r="27" spans="1:16" x14ac:dyDescent="0.25">
      <c r="A27" t="s">
        <v>16</v>
      </c>
      <c r="B27" s="15">
        <v>2043074313</v>
      </c>
      <c r="C27">
        <v>1046</v>
      </c>
      <c r="D27">
        <v>1454</v>
      </c>
      <c r="E27" s="1">
        <v>0.41839999999999999</v>
      </c>
      <c r="F27" s="1">
        <v>0.58160000000000001</v>
      </c>
      <c r="G27">
        <v>45</v>
      </c>
      <c r="H27">
        <v>1</v>
      </c>
      <c r="I27">
        <v>1046</v>
      </c>
      <c r="J27" s="19">
        <v>1</v>
      </c>
      <c r="K27">
        <v>1</v>
      </c>
      <c r="L27">
        <v>1021</v>
      </c>
      <c r="M27">
        <v>1021</v>
      </c>
      <c r="N27">
        <v>1021</v>
      </c>
      <c r="O27">
        <v>1021</v>
      </c>
      <c r="P27" s="1">
        <v>0.97609900000000005</v>
      </c>
    </row>
    <row r="28" spans="1:16" x14ac:dyDescent="0.25">
      <c r="A28" t="s">
        <v>16</v>
      </c>
      <c r="B28" s="15">
        <v>334785484</v>
      </c>
      <c r="C28">
        <v>1200</v>
      </c>
      <c r="D28">
        <v>1300</v>
      </c>
      <c r="E28" s="1">
        <v>0.48</v>
      </c>
      <c r="F28" s="1">
        <v>0.52</v>
      </c>
      <c r="G28">
        <v>54</v>
      </c>
      <c r="H28">
        <v>1</v>
      </c>
      <c r="I28">
        <v>1200</v>
      </c>
      <c r="J28" s="19">
        <v>1</v>
      </c>
      <c r="K28">
        <v>1</v>
      </c>
      <c r="L28">
        <v>1158</v>
      </c>
      <c r="M28">
        <v>1158</v>
      </c>
      <c r="N28">
        <v>1158</v>
      </c>
      <c r="O28">
        <v>1158</v>
      </c>
      <c r="P28" s="1">
        <v>0.96499999999999997</v>
      </c>
    </row>
    <row r="29" spans="1:16" x14ac:dyDescent="0.25">
      <c r="A29" t="s">
        <v>16</v>
      </c>
      <c r="B29" s="15">
        <v>299356757</v>
      </c>
      <c r="C29">
        <v>624</v>
      </c>
      <c r="D29">
        <v>1876</v>
      </c>
      <c r="E29" s="1">
        <v>0.24959999999999999</v>
      </c>
      <c r="F29" s="1">
        <v>0.75039999999999996</v>
      </c>
      <c r="G29">
        <v>41</v>
      </c>
      <c r="H29">
        <v>1</v>
      </c>
      <c r="I29">
        <v>624</v>
      </c>
      <c r="J29" s="19">
        <v>1</v>
      </c>
      <c r="K29">
        <v>1</v>
      </c>
      <c r="L29">
        <v>601</v>
      </c>
      <c r="M29">
        <v>601</v>
      </c>
      <c r="N29">
        <v>601</v>
      </c>
      <c r="O29">
        <v>601</v>
      </c>
      <c r="P29" s="1">
        <v>0.96314100000000002</v>
      </c>
    </row>
    <row r="30" spans="1:16" x14ac:dyDescent="0.25">
      <c r="A30" t="s">
        <v>16</v>
      </c>
      <c r="B30" s="15">
        <v>410186948</v>
      </c>
      <c r="C30">
        <v>758</v>
      </c>
      <c r="D30">
        <v>1742</v>
      </c>
      <c r="E30" s="1">
        <v>0.30320000000000003</v>
      </c>
      <c r="F30" s="1">
        <v>0.69679999999999997</v>
      </c>
      <c r="G30">
        <v>49</v>
      </c>
      <c r="H30">
        <v>1</v>
      </c>
      <c r="I30">
        <v>758</v>
      </c>
      <c r="J30" s="19">
        <v>1</v>
      </c>
      <c r="K30">
        <v>1</v>
      </c>
      <c r="L30">
        <v>738</v>
      </c>
      <c r="M30">
        <v>738</v>
      </c>
      <c r="N30">
        <v>738</v>
      </c>
      <c r="O30">
        <v>738</v>
      </c>
      <c r="P30" s="1">
        <v>0.97361500000000001</v>
      </c>
    </row>
    <row r="31" spans="1:16" x14ac:dyDescent="0.25">
      <c r="A31" t="s">
        <v>16</v>
      </c>
      <c r="B31" s="15">
        <v>1885585132</v>
      </c>
      <c r="C31">
        <v>851</v>
      </c>
      <c r="D31">
        <v>1649</v>
      </c>
      <c r="E31" s="1">
        <v>0.34039999999999998</v>
      </c>
      <c r="F31" s="1">
        <v>0.65959999999999996</v>
      </c>
      <c r="G31">
        <v>35</v>
      </c>
      <c r="H31">
        <v>1</v>
      </c>
      <c r="I31">
        <v>851</v>
      </c>
      <c r="J31" s="19">
        <v>1</v>
      </c>
      <c r="K31">
        <v>1</v>
      </c>
      <c r="L31">
        <v>825</v>
      </c>
      <c r="M31">
        <v>825</v>
      </c>
      <c r="N31">
        <v>825</v>
      </c>
      <c r="O31">
        <v>825</v>
      </c>
      <c r="P31" s="1">
        <v>0.96944799999999998</v>
      </c>
    </row>
    <row r="32" spans="1:16" x14ac:dyDescent="0.25">
      <c r="A32" t="s">
        <v>16</v>
      </c>
      <c r="B32" s="15">
        <v>450599040</v>
      </c>
      <c r="C32">
        <v>660</v>
      </c>
      <c r="D32">
        <v>1840</v>
      </c>
      <c r="E32" s="1">
        <v>0.26400000000000001</v>
      </c>
      <c r="F32" s="1">
        <v>0.73599999999999999</v>
      </c>
      <c r="G32">
        <v>32</v>
      </c>
      <c r="H32">
        <v>1</v>
      </c>
      <c r="I32">
        <v>660</v>
      </c>
      <c r="J32" s="19">
        <v>1</v>
      </c>
      <c r="K32">
        <v>1</v>
      </c>
      <c r="L32">
        <v>640</v>
      </c>
      <c r="M32">
        <v>640</v>
      </c>
      <c r="N32">
        <v>640</v>
      </c>
      <c r="O32">
        <v>640</v>
      </c>
      <c r="P32" s="1">
        <v>0.96969700000000003</v>
      </c>
    </row>
    <row r="33" spans="1:16" x14ac:dyDescent="0.25">
      <c r="A33" t="s">
        <v>16</v>
      </c>
      <c r="B33" s="15">
        <v>2056678270</v>
      </c>
      <c r="C33">
        <v>910</v>
      </c>
      <c r="D33">
        <v>1590</v>
      </c>
      <c r="E33" s="1">
        <v>0.36399999999999999</v>
      </c>
      <c r="F33" s="1">
        <v>0.63600000000000001</v>
      </c>
      <c r="G33">
        <v>38</v>
      </c>
      <c r="H33">
        <v>1</v>
      </c>
      <c r="I33">
        <v>910</v>
      </c>
      <c r="J33" s="19">
        <v>1</v>
      </c>
      <c r="K33">
        <v>1</v>
      </c>
      <c r="L33">
        <v>880</v>
      </c>
      <c r="M33">
        <v>880</v>
      </c>
      <c r="N33">
        <v>880</v>
      </c>
      <c r="O33">
        <v>880</v>
      </c>
      <c r="P33" s="1">
        <v>0.96703300000000003</v>
      </c>
    </row>
    <row r="34" spans="1:16" x14ac:dyDescent="0.25">
      <c r="A34" t="s">
        <v>16</v>
      </c>
      <c r="B34" s="15">
        <v>1856836539</v>
      </c>
      <c r="C34">
        <v>670</v>
      </c>
      <c r="D34">
        <v>1830</v>
      </c>
      <c r="E34" s="1">
        <v>0.26800000000000002</v>
      </c>
      <c r="F34" s="1">
        <v>0.73199999999999998</v>
      </c>
      <c r="G34">
        <v>41</v>
      </c>
      <c r="H34">
        <v>1</v>
      </c>
      <c r="I34">
        <v>670</v>
      </c>
      <c r="J34" s="19">
        <v>1</v>
      </c>
      <c r="K34">
        <v>1</v>
      </c>
      <c r="L34">
        <v>652</v>
      </c>
      <c r="M34">
        <v>652</v>
      </c>
      <c r="N34">
        <v>652</v>
      </c>
      <c r="O34">
        <v>652</v>
      </c>
      <c r="P34" s="1">
        <v>0.97313400000000005</v>
      </c>
    </row>
    <row r="35" spans="1:16" x14ac:dyDescent="0.25">
      <c r="A35" t="s">
        <v>16</v>
      </c>
      <c r="B35" s="15">
        <v>1988511619</v>
      </c>
      <c r="C35">
        <v>1147</v>
      </c>
      <c r="D35">
        <v>1353</v>
      </c>
      <c r="E35" s="1">
        <v>0.45879999999999999</v>
      </c>
      <c r="F35" s="1">
        <v>0.54120000000000001</v>
      </c>
      <c r="G35">
        <v>49</v>
      </c>
      <c r="H35">
        <v>1</v>
      </c>
      <c r="I35">
        <v>1147</v>
      </c>
      <c r="J35" s="19">
        <v>1</v>
      </c>
      <c r="K35">
        <v>1</v>
      </c>
      <c r="L35">
        <v>1108</v>
      </c>
      <c r="M35">
        <v>1108</v>
      </c>
      <c r="N35">
        <v>1108</v>
      </c>
      <c r="O35">
        <v>1108</v>
      </c>
      <c r="P35" s="1">
        <v>0.96599800000000002</v>
      </c>
    </row>
    <row r="36" spans="1:16" x14ac:dyDescent="0.25">
      <c r="A36" t="s">
        <v>16</v>
      </c>
      <c r="B36" s="15">
        <v>398548627</v>
      </c>
      <c r="C36">
        <v>973</v>
      </c>
      <c r="D36">
        <v>1527</v>
      </c>
      <c r="E36" s="1">
        <v>0.38919999999999999</v>
      </c>
      <c r="F36" s="1">
        <v>0.61080000000000001</v>
      </c>
      <c r="G36">
        <v>45</v>
      </c>
      <c r="H36">
        <v>1</v>
      </c>
      <c r="I36">
        <v>973</v>
      </c>
      <c r="J36" s="19">
        <v>1</v>
      </c>
      <c r="K36">
        <v>1</v>
      </c>
      <c r="L36">
        <v>950</v>
      </c>
      <c r="M36">
        <v>950</v>
      </c>
      <c r="N36">
        <v>950</v>
      </c>
      <c r="O36">
        <v>950</v>
      </c>
      <c r="P36" s="1">
        <v>0.97636199999999995</v>
      </c>
    </row>
    <row r="37" spans="1:16" x14ac:dyDescent="0.25">
      <c r="A37" t="s">
        <v>16</v>
      </c>
      <c r="B37" s="15">
        <v>1678596143</v>
      </c>
      <c r="C37">
        <v>1481</v>
      </c>
      <c r="D37">
        <v>1019</v>
      </c>
      <c r="E37" s="1">
        <v>0.59240000000000004</v>
      </c>
      <c r="F37" s="1">
        <v>0.40760000000000002</v>
      </c>
      <c r="G37">
        <v>56</v>
      </c>
      <c r="H37">
        <v>1</v>
      </c>
      <c r="I37">
        <v>1481</v>
      </c>
      <c r="J37" s="19">
        <v>1</v>
      </c>
      <c r="K37">
        <v>1</v>
      </c>
      <c r="L37">
        <v>1430</v>
      </c>
      <c r="M37">
        <v>1430</v>
      </c>
      <c r="N37">
        <v>1430</v>
      </c>
      <c r="O37">
        <v>1430</v>
      </c>
      <c r="P37" s="1">
        <v>0.96556399999999998</v>
      </c>
    </row>
    <row r="38" spans="1:16" x14ac:dyDescent="0.25">
      <c r="A38" t="s">
        <v>16</v>
      </c>
      <c r="B38" s="15">
        <v>1006394474</v>
      </c>
      <c r="C38">
        <v>811</v>
      </c>
      <c r="D38">
        <v>1689</v>
      </c>
      <c r="E38" s="1">
        <v>0.32440000000000002</v>
      </c>
      <c r="F38" s="1">
        <v>0.67559999999999998</v>
      </c>
      <c r="G38">
        <v>32</v>
      </c>
      <c r="H38">
        <v>1</v>
      </c>
      <c r="I38">
        <v>811</v>
      </c>
      <c r="J38" s="19">
        <v>1</v>
      </c>
      <c r="K38">
        <v>1</v>
      </c>
      <c r="L38">
        <v>784</v>
      </c>
      <c r="M38">
        <v>784</v>
      </c>
      <c r="N38">
        <v>784</v>
      </c>
      <c r="O38">
        <v>784</v>
      </c>
      <c r="P38" s="1">
        <v>0.96670800000000001</v>
      </c>
    </row>
    <row r="39" spans="1:16" x14ac:dyDescent="0.25">
      <c r="A39" t="s">
        <v>16</v>
      </c>
      <c r="B39" s="15">
        <v>416026900</v>
      </c>
      <c r="C39">
        <v>773</v>
      </c>
      <c r="D39">
        <v>1727</v>
      </c>
      <c r="E39" s="1">
        <v>0.30919999999999997</v>
      </c>
      <c r="F39" s="1">
        <v>0.69079999999999997</v>
      </c>
      <c r="G39">
        <v>45</v>
      </c>
      <c r="H39">
        <v>1</v>
      </c>
      <c r="I39">
        <v>773</v>
      </c>
      <c r="J39" s="19">
        <v>1</v>
      </c>
      <c r="K39">
        <v>1</v>
      </c>
      <c r="L39">
        <v>751</v>
      </c>
      <c r="M39">
        <v>751</v>
      </c>
      <c r="N39">
        <v>751</v>
      </c>
      <c r="O39">
        <v>751</v>
      </c>
      <c r="P39" s="1">
        <v>0.97153900000000004</v>
      </c>
    </row>
    <row r="40" spans="1:16" x14ac:dyDescent="0.25">
      <c r="A40" t="s">
        <v>16</v>
      </c>
      <c r="B40" s="15">
        <v>882358078</v>
      </c>
      <c r="C40">
        <v>964</v>
      </c>
      <c r="D40">
        <v>1536</v>
      </c>
      <c r="E40" s="1">
        <v>0.3856</v>
      </c>
      <c r="F40" s="1">
        <v>0.61439999999999995</v>
      </c>
      <c r="G40">
        <v>51</v>
      </c>
      <c r="H40">
        <v>1</v>
      </c>
      <c r="I40">
        <v>964</v>
      </c>
      <c r="J40" s="19">
        <v>1</v>
      </c>
      <c r="K40">
        <v>1</v>
      </c>
      <c r="L40">
        <v>933</v>
      </c>
      <c r="M40">
        <v>933</v>
      </c>
      <c r="N40">
        <v>933</v>
      </c>
      <c r="O40">
        <v>933</v>
      </c>
      <c r="P40" s="1">
        <v>0.96784199999999998</v>
      </c>
    </row>
    <row r="41" spans="1:16" x14ac:dyDescent="0.25">
      <c r="A41" t="s">
        <v>16</v>
      </c>
      <c r="B41" s="15">
        <v>705116238</v>
      </c>
      <c r="C41">
        <v>1387</v>
      </c>
      <c r="D41">
        <v>1113</v>
      </c>
      <c r="E41" s="1">
        <v>0.55479999999999996</v>
      </c>
      <c r="F41" s="1">
        <v>0.44519999999999998</v>
      </c>
      <c r="G41">
        <v>63</v>
      </c>
      <c r="H41">
        <v>1</v>
      </c>
      <c r="I41">
        <v>1387</v>
      </c>
      <c r="J41" s="19">
        <v>1</v>
      </c>
      <c r="K41">
        <v>2</v>
      </c>
      <c r="L41">
        <v>668</v>
      </c>
      <c r="M41">
        <v>1278</v>
      </c>
      <c r="N41">
        <v>58</v>
      </c>
      <c r="O41">
        <v>1336</v>
      </c>
      <c r="P41" s="1">
        <v>0.96323000000000003</v>
      </c>
    </row>
    <row r="42" spans="1:16" x14ac:dyDescent="0.25">
      <c r="A42" t="s">
        <v>16</v>
      </c>
      <c r="B42" s="15">
        <v>105763571</v>
      </c>
      <c r="C42">
        <v>1136</v>
      </c>
      <c r="D42">
        <v>1364</v>
      </c>
      <c r="E42" s="1">
        <v>0.45440000000000003</v>
      </c>
      <c r="F42" s="1">
        <v>0.54559999999999997</v>
      </c>
      <c r="G42">
        <v>61</v>
      </c>
      <c r="H42">
        <v>1</v>
      </c>
      <c r="I42">
        <v>1136</v>
      </c>
      <c r="J42" s="19">
        <v>1</v>
      </c>
      <c r="K42">
        <v>1</v>
      </c>
      <c r="L42">
        <v>1097</v>
      </c>
      <c r="M42">
        <v>1097</v>
      </c>
      <c r="N42">
        <v>1097</v>
      </c>
      <c r="O42">
        <v>1097</v>
      </c>
      <c r="P42" s="1">
        <v>0.965669</v>
      </c>
    </row>
    <row r="43" spans="1:16" x14ac:dyDescent="0.25">
      <c r="A43" t="s">
        <v>16</v>
      </c>
      <c r="B43" s="15">
        <v>1827864181</v>
      </c>
      <c r="C43">
        <v>647</v>
      </c>
      <c r="D43">
        <v>1853</v>
      </c>
      <c r="E43" s="1">
        <v>0.25879999999999997</v>
      </c>
      <c r="F43" s="1">
        <v>0.74119999999999997</v>
      </c>
      <c r="G43">
        <v>60</v>
      </c>
      <c r="H43">
        <v>1</v>
      </c>
      <c r="I43">
        <v>647</v>
      </c>
      <c r="J43" s="19">
        <v>1</v>
      </c>
      <c r="K43">
        <v>2</v>
      </c>
      <c r="L43">
        <v>308.5</v>
      </c>
      <c r="M43">
        <v>420</v>
      </c>
      <c r="N43">
        <v>197</v>
      </c>
      <c r="O43">
        <v>617</v>
      </c>
      <c r="P43" s="1">
        <v>0.95363200000000004</v>
      </c>
    </row>
    <row r="44" spans="1:16" x14ac:dyDescent="0.25">
      <c r="A44" t="s">
        <v>16</v>
      </c>
      <c r="B44" s="15">
        <v>899192294</v>
      </c>
      <c r="C44">
        <v>1182</v>
      </c>
      <c r="D44">
        <v>1318</v>
      </c>
      <c r="E44" s="1">
        <v>0.4728</v>
      </c>
      <c r="F44" s="1">
        <v>0.5272</v>
      </c>
      <c r="G44">
        <v>49</v>
      </c>
      <c r="H44">
        <v>1</v>
      </c>
      <c r="I44">
        <v>1182</v>
      </c>
      <c r="J44" s="19">
        <v>1</v>
      </c>
      <c r="K44">
        <v>2</v>
      </c>
      <c r="L44">
        <v>564</v>
      </c>
      <c r="M44">
        <v>1120</v>
      </c>
      <c r="N44">
        <v>8</v>
      </c>
      <c r="O44">
        <v>1128</v>
      </c>
      <c r="P44" s="1">
        <v>0.95431500000000002</v>
      </c>
    </row>
    <row r="45" spans="1:16" x14ac:dyDescent="0.25">
      <c r="A45" t="s">
        <v>16</v>
      </c>
      <c r="B45" s="15">
        <v>1364358499</v>
      </c>
      <c r="C45">
        <v>885</v>
      </c>
      <c r="D45">
        <v>1615</v>
      </c>
      <c r="E45" s="1">
        <v>0.35399999999999998</v>
      </c>
      <c r="F45" s="1">
        <v>0.64600000000000002</v>
      </c>
      <c r="G45">
        <v>39</v>
      </c>
      <c r="H45">
        <v>1</v>
      </c>
      <c r="I45">
        <v>885</v>
      </c>
      <c r="J45" s="19">
        <v>1</v>
      </c>
      <c r="K45">
        <v>1</v>
      </c>
      <c r="L45">
        <v>864</v>
      </c>
      <c r="M45">
        <v>864</v>
      </c>
      <c r="N45">
        <v>864</v>
      </c>
      <c r="O45">
        <v>864</v>
      </c>
      <c r="P45" s="1">
        <v>0.976271</v>
      </c>
    </row>
    <row r="46" spans="1:16" x14ac:dyDescent="0.25">
      <c r="A46" t="s">
        <v>16</v>
      </c>
      <c r="B46" s="15">
        <v>574804353</v>
      </c>
      <c r="C46">
        <v>794</v>
      </c>
      <c r="D46">
        <v>1706</v>
      </c>
      <c r="E46" s="1">
        <v>0.31759999999999999</v>
      </c>
      <c r="F46" s="1">
        <v>0.68240000000000001</v>
      </c>
      <c r="G46">
        <v>41</v>
      </c>
      <c r="H46">
        <v>1</v>
      </c>
      <c r="I46">
        <v>794</v>
      </c>
      <c r="J46" s="19">
        <v>1</v>
      </c>
      <c r="K46">
        <v>1</v>
      </c>
      <c r="L46">
        <v>768</v>
      </c>
      <c r="M46">
        <v>768</v>
      </c>
      <c r="N46">
        <v>768</v>
      </c>
      <c r="O46">
        <v>768</v>
      </c>
      <c r="P46" s="1">
        <v>0.96725399999999995</v>
      </c>
    </row>
    <row r="47" spans="1:16" x14ac:dyDescent="0.25">
      <c r="A47" t="s">
        <v>16</v>
      </c>
      <c r="B47" s="15">
        <v>47824870</v>
      </c>
      <c r="C47">
        <v>934</v>
      </c>
      <c r="D47">
        <v>1566</v>
      </c>
      <c r="E47" s="1">
        <v>0.37359999999999999</v>
      </c>
      <c r="F47" s="1">
        <v>0.62639999999999996</v>
      </c>
      <c r="G47">
        <v>41</v>
      </c>
      <c r="H47">
        <v>1</v>
      </c>
      <c r="I47">
        <v>934</v>
      </c>
      <c r="J47" s="19">
        <v>1</v>
      </c>
      <c r="K47">
        <v>1</v>
      </c>
      <c r="L47">
        <v>913</v>
      </c>
      <c r="M47">
        <v>913</v>
      </c>
      <c r="N47">
        <v>913</v>
      </c>
      <c r="O47">
        <v>913</v>
      </c>
      <c r="P47" s="1">
        <v>0.97751600000000005</v>
      </c>
    </row>
    <row r="48" spans="1:16" x14ac:dyDescent="0.25">
      <c r="A48" t="s">
        <v>16</v>
      </c>
      <c r="B48" s="15">
        <v>1737150509</v>
      </c>
      <c r="C48">
        <v>1183</v>
      </c>
      <c r="D48">
        <v>1317</v>
      </c>
      <c r="E48" s="1">
        <v>0.47320000000000001</v>
      </c>
      <c r="F48" s="1">
        <v>0.52680000000000005</v>
      </c>
      <c r="G48">
        <v>67</v>
      </c>
      <c r="H48">
        <v>1</v>
      </c>
      <c r="I48">
        <v>1183</v>
      </c>
      <c r="J48" s="19">
        <v>1</v>
      </c>
      <c r="K48">
        <v>1</v>
      </c>
      <c r="L48">
        <v>1134</v>
      </c>
      <c r="M48">
        <v>1134</v>
      </c>
      <c r="N48">
        <v>1134</v>
      </c>
      <c r="O48">
        <v>1134</v>
      </c>
      <c r="P48" s="1">
        <v>0.95857999999999999</v>
      </c>
    </row>
    <row r="49" spans="1:16" x14ac:dyDescent="0.25">
      <c r="A49" t="s">
        <v>16</v>
      </c>
      <c r="B49" s="15">
        <v>659148595</v>
      </c>
      <c r="C49">
        <v>1018</v>
      </c>
      <c r="D49">
        <v>1482</v>
      </c>
      <c r="E49" s="1">
        <v>0.40720000000000001</v>
      </c>
      <c r="F49" s="1">
        <v>0.59279999999999999</v>
      </c>
      <c r="G49">
        <v>52</v>
      </c>
      <c r="H49">
        <v>1</v>
      </c>
      <c r="I49">
        <v>1018</v>
      </c>
      <c r="J49" s="19">
        <v>1</v>
      </c>
      <c r="K49">
        <v>1</v>
      </c>
      <c r="L49">
        <v>987</v>
      </c>
      <c r="M49">
        <v>987</v>
      </c>
      <c r="N49">
        <v>987</v>
      </c>
      <c r="O49">
        <v>987</v>
      </c>
      <c r="P49" s="1">
        <v>0.96954799999999997</v>
      </c>
    </row>
    <row r="50" spans="1:16" x14ac:dyDescent="0.25">
      <c r="A50" t="s">
        <v>16</v>
      </c>
      <c r="B50" s="15">
        <v>1283285404</v>
      </c>
      <c r="C50">
        <v>942</v>
      </c>
      <c r="D50">
        <v>1558</v>
      </c>
      <c r="E50" s="1">
        <v>0.37680000000000002</v>
      </c>
      <c r="F50" s="1">
        <v>0.62319999999999998</v>
      </c>
      <c r="G50">
        <v>49</v>
      </c>
      <c r="H50">
        <v>1</v>
      </c>
      <c r="I50">
        <v>942</v>
      </c>
      <c r="J50" s="19">
        <v>1</v>
      </c>
      <c r="K50">
        <v>1</v>
      </c>
      <c r="L50">
        <v>916</v>
      </c>
      <c r="M50">
        <v>916</v>
      </c>
      <c r="N50">
        <v>916</v>
      </c>
      <c r="O50">
        <v>916</v>
      </c>
      <c r="P50" s="1">
        <v>0.97239900000000001</v>
      </c>
    </row>
    <row r="51" spans="1:16" x14ac:dyDescent="0.25">
      <c r="A51" t="s">
        <v>16</v>
      </c>
      <c r="B51" s="15">
        <v>1918327003</v>
      </c>
      <c r="C51">
        <v>1093</v>
      </c>
      <c r="D51">
        <v>1407</v>
      </c>
      <c r="E51" s="1">
        <v>0.43719999999999998</v>
      </c>
      <c r="F51" s="1">
        <v>0.56279999999999997</v>
      </c>
      <c r="G51">
        <v>44</v>
      </c>
      <c r="H51">
        <v>1</v>
      </c>
      <c r="I51">
        <v>1093</v>
      </c>
      <c r="J51" s="19">
        <v>1</v>
      </c>
      <c r="K51">
        <v>1</v>
      </c>
      <c r="L51">
        <v>1059</v>
      </c>
      <c r="M51">
        <v>1059</v>
      </c>
      <c r="N51">
        <v>1059</v>
      </c>
      <c r="O51">
        <v>1059</v>
      </c>
      <c r="P51" s="1">
        <v>0.968893</v>
      </c>
    </row>
    <row r="52" spans="1:16" x14ac:dyDescent="0.25">
      <c r="A52" t="s">
        <v>25</v>
      </c>
      <c r="C52">
        <f>SUBTOTAL(101,AgRan_dir5_room5_chance25_step750[floors])</f>
        <v>986.92</v>
      </c>
      <c r="D52">
        <f>SUBTOTAL(101,AgRan_dir5_room5_chance25_step750[walls])</f>
        <v>1513.08</v>
      </c>
      <c r="E52" s="2">
        <f>SUBTOTAL(101,AgRan_dir5_room5_chance25_step750[floor_percent])</f>
        <v>0.39476799999999995</v>
      </c>
      <c r="F52" s="2">
        <f>SUBTOTAL(101,AgRan_dir5_room5_chance25_step750[wall_percent])</f>
        <v>0.6052320000000001</v>
      </c>
      <c r="G52">
        <f>SUBTOTAL(101,AgRan_dir5_room5_chance25_step750[longest_shortest_path])</f>
        <v>48.44</v>
      </c>
      <c r="H52">
        <f>SUBTOTAL(101,AgRan_dir5_room5_chance25_step750[component_count])</f>
        <v>1</v>
      </c>
      <c r="I52">
        <f>SUBTOTAL(101,AgRan_dir5_room5_chance25_step750[max_component_size])</f>
        <v>986.92</v>
      </c>
      <c r="J52" s="19">
        <f>SUBTOTAL(101,AgRan_dir5_room5_chance25_step750[connectivity_ratio])</f>
        <v>1</v>
      </c>
      <c r="K52">
        <f>SUBTOTAL(101,AgRan_dir5_room5_chance25_step750[room_count])</f>
        <v>1.1200000000000001</v>
      </c>
      <c r="L52">
        <f>SUBTOTAL(101,AgRan_dir5_room5_chance25_step750[avg_room_size])</f>
        <v>893.62</v>
      </c>
      <c r="M52">
        <f>SUBTOTAL(101,AgRan_dir5_room5_chance25_step750[max_room_size])</f>
        <v>946.76</v>
      </c>
      <c r="N52">
        <f>SUBTOTAL(101,AgRan_dir5_room5_chance25_step750[min_room_size])</f>
        <v>840.48</v>
      </c>
      <c r="O52">
        <f>SUBTOTAL(101,AgRan_dir5_room5_chance25_step750[room_tiles])</f>
        <v>952.92</v>
      </c>
      <c r="P52" s="2">
        <f>SUBTOTAL(101,AgRan_dir5_room5_chance25_step750[room_ratio])</f>
        <v>0.96590886000000009</v>
      </c>
    </row>
    <row r="53" spans="1:16" x14ac:dyDescent="0.25">
      <c r="A53" s="16" t="s">
        <v>30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F1BD-0E72-4F38-98DB-97932E85EBC0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1938377513</v>
      </c>
      <c r="C2">
        <v>906</v>
      </c>
      <c r="D2">
        <v>1594</v>
      </c>
      <c r="E2" s="1">
        <v>0.3624</v>
      </c>
      <c r="F2" s="1">
        <v>0.63759999999999994</v>
      </c>
      <c r="G2">
        <v>38</v>
      </c>
      <c r="H2">
        <v>1</v>
      </c>
      <c r="I2">
        <v>906</v>
      </c>
      <c r="J2" s="19">
        <v>1</v>
      </c>
      <c r="K2">
        <v>1</v>
      </c>
      <c r="L2">
        <v>879</v>
      </c>
      <c r="M2">
        <v>879</v>
      </c>
      <c r="N2">
        <v>879</v>
      </c>
      <c r="O2">
        <v>879</v>
      </c>
      <c r="P2" s="1">
        <v>0.97019900000000003</v>
      </c>
    </row>
    <row r="3" spans="1:16" x14ac:dyDescent="0.25">
      <c r="A3" t="s">
        <v>16</v>
      </c>
      <c r="B3" s="15">
        <v>941611624</v>
      </c>
      <c r="C3">
        <v>739</v>
      </c>
      <c r="D3">
        <v>1761</v>
      </c>
      <c r="E3" s="1">
        <v>0.29559999999999997</v>
      </c>
      <c r="F3" s="1">
        <v>0.70440000000000003</v>
      </c>
      <c r="G3">
        <v>30</v>
      </c>
      <c r="H3">
        <v>1</v>
      </c>
      <c r="I3">
        <v>739</v>
      </c>
      <c r="J3" s="19">
        <v>1</v>
      </c>
      <c r="K3">
        <v>1</v>
      </c>
      <c r="L3">
        <v>721</v>
      </c>
      <c r="M3">
        <v>721</v>
      </c>
      <c r="N3">
        <v>721</v>
      </c>
      <c r="O3">
        <v>721</v>
      </c>
      <c r="P3" s="1">
        <v>0.97564300000000004</v>
      </c>
    </row>
    <row r="4" spans="1:16" x14ac:dyDescent="0.25">
      <c r="A4" t="s">
        <v>16</v>
      </c>
      <c r="B4" s="15">
        <v>276590431</v>
      </c>
      <c r="C4">
        <v>1198</v>
      </c>
      <c r="D4">
        <v>1302</v>
      </c>
      <c r="E4" s="1">
        <v>0.47920000000000001</v>
      </c>
      <c r="F4" s="1">
        <v>0.52080000000000004</v>
      </c>
      <c r="G4">
        <v>59</v>
      </c>
      <c r="H4">
        <v>1</v>
      </c>
      <c r="I4">
        <v>1198</v>
      </c>
      <c r="J4" s="19">
        <v>1</v>
      </c>
      <c r="K4">
        <v>1</v>
      </c>
      <c r="L4">
        <v>1160</v>
      </c>
      <c r="M4">
        <v>1160</v>
      </c>
      <c r="N4">
        <v>1160</v>
      </c>
      <c r="O4">
        <v>1160</v>
      </c>
      <c r="P4" s="1">
        <v>0.96828000000000003</v>
      </c>
    </row>
    <row r="5" spans="1:16" x14ac:dyDescent="0.25">
      <c r="A5" t="s">
        <v>16</v>
      </c>
      <c r="B5" s="15">
        <v>1824890700</v>
      </c>
      <c r="C5">
        <v>1168</v>
      </c>
      <c r="D5">
        <v>1332</v>
      </c>
      <c r="E5" s="1">
        <v>0.4672</v>
      </c>
      <c r="F5" s="1">
        <v>0.53280000000000005</v>
      </c>
      <c r="G5">
        <v>47</v>
      </c>
      <c r="H5">
        <v>1</v>
      </c>
      <c r="I5">
        <v>1168</v>
      </c>
      <c r="J5" s="19">
        <v>1</v>
      </c>
      <c r="K5">
        <v>1</v>
      </c>
      <c r="L5">
        <v>1130</v>
      </c>
      <c r="M5">
        <v>1130</v>
      </c>
      <c r="N5">
        <v>1130</v>
      </c>
      <c r="O5">
        <v>1130</v>
      </c>
      <c r="P5" s="1">
        <v>0.96746600000000005</v>
      </c>
    </row>
    <row r="6" spans="1:16" x14ac:dyDescent="0.25">
      <c r="A6" t="s">
        <v>16</v>
      </c>
      <c r="B6" s="15">
        <v>884406160</v>
      </c>
      <c r="C6">
        <v>1084</v>
      </c>
      <c r="D6">
        <v>1416</v>
      </c>
      <c r="E6" s="1">
        <v>0.43359999999999999</v>
      </c>
      <c r="F6" s="1">
        <v>0.56640000000000001</v>
      </c>
      <c r="G6">
        <v>49</v>
      </c>
      <c r="H6">
        <v>1</v>
      </c>
      <c r="I6">
        <v>1084</v>
      </c>
      <c r="J6" s="19">
        <v>1</v>
      </c>
      <c r="K6">
        <v>1</v>
      </c>
      <c r="L6">
        <v>1055</v>
      </c>
      <c r="M6">
        <v>1055</v>
      </c>
      <c r="N6">
        <v>1055</v>
      </c>
      <c r="O6">
        <v>1055</v>
      </c>
      <c r="P6" s="1">
        <v>0.97324699999999997</v>
      </c>
    </row>
    <row r="7" spans="1:16" x14ac:dyDescent="0.25">
      <c r="A7" t="s">
        <v>16</v>
      </c>
      <c r="B7" s="15">
        <v>1637938567</v>
      </c>
      <c r="C7">
        <v>638</v>
      </c>
      <c r="D7">
        <v>1862</v>
      </c>
      <c r="E7" s="1">
        <v>0.25519999999999998</v>
      </c>
      <c r="F7" s="1">
        <v>0.74480000000000002</v>
      </c>
      <c r="G7">
        <v>37</v>
      </c>
      <c r="H7">
        <v>1</v>
      </c>
      <c r="I7">
        <v>638</v>
      </c>
      <c r="J7" s="19">
        <v>1</v>
      </c>
      <c r="K7">
        <v>1</v>
      </c>
      <c r="L7">
        <v>621</v>
      </c>
      <c r="M7">
        <v>621</v>
      </c>
      <c r="N7">
        <v>621</v>
      </c>
      <c r="O7">
        <v>621</v>
      </c>
      <c r="P7" s="1">
        <v>0.97335400000000005</v>
      </c>
    </row>
    <row r="8" spans="1:16" x14ac:dyDescent="0.25">
      <c r="A8" t="s">
        <v>16</v>
      </c>
      <c r="B8" s="15">
        <v>728314096</v>
      </c>
      <c r="C8">
        <v>1053</v>
      </c>
      <c r="D8">
        <v>1447</v>
      </c>
      <c r="E8" s="1">
        <v>0.42120000000000002</v>
      </c>
      <c r="F8" s="1">
        <v>0.57879999999999998</v>
      </c>
      <c r="G8">
        <v>50</v>
      </c>
      <c r="H8">
        <v>1</v>
      </c>
      <c r="I8">
        <v>1053</v>
      </c>
      <c r="J8" s="19">
        <v>1</v>
      </c>
      <c r="K8">
        <v>1</v>
      </c>
      <c r="L8">
        <v>1013</v>
      </c>
      <c r="M8">
        <v>1013</v>
      </c>
      <c r="N8">
        <v>1013</v>
      </c>
      <c r="O8">
        <v>1013</v>
      </c>
      <c r="P8" s="1">
        <v>0.96201300000000001</v>
      </c>
    </row>
    <row r="9" spans="1:16" x14ac:dyDescent="0.25">
      <c r="A9" t="s">
        <v>16</v>
      </c>
      <c r="B9" s="15">
        <v>1793242700</v>
      </c>
      <c r="C9">
        <v>1328</v>
      </c>
      <c r="D9">
        <v>1172</v>
      </c>
      <c r="E9" s="1">
        <v>0.53120000000000001</v>
      </c>
      <c r="F9" s="1">
        <v>0.46879999999999999</v>
      </c>
      <c r="G9">
        <v>68</v>
      </c>
      <c r="H9">
        <v>1</v>
      </c>
      <c r="I9">
        <v>1328</v>
      </c>
      <c r="J9" s="19">
        <v>1</v>
      </c>
      <c r="K9">
        <v>1</v>
      </c>
      <c r="L9">
        <v>1283</v>
      </c>
      <c r="M9">
        <v>1283</v>
      </c>
      <c r="N9">
        <v>1283</v>
      </c>
      <c r="O9">
        <v>1283</v>
      </c>
      <c r="P9" s="1">
        <v>0.96611400000000003</v>
      </c>
    </row>
    <row r="10" spans="1:16" x14ac:dyDescent="0.25">
      <c r="A10" t="s">
        <v>16</v>
      </c>
      <c r="B10" s="15">
        <v>1062815454</v>
      </c>
      <c r="C10">
        <v>991</v>
      </c>
      <c r="D10">
        <v>1509</v>
      </c>
      <c r="E10" s="1">
        <v>0.39639999999999997</v>
      </c>
      <c r="F10" s="1">
        <v>0.60360000000000003</v>
      </c>
      <c r="G10">
        <v>39</v>
      </c>
      <c r="H10">
        <v>1</v>
      </c>
      <c r="I10">
        <v>991</v>
      </c>
      <c r="J10" s="19">
        <v>1</v>
      </c>
      <c r="K10">
        <v>1</v>
      </c>
      <c r="L10">
        <v>956</v>
      </c>
      <c r="M10">
        <v>956</v>
      </c>
      <c r="N10">
        <v>956</v>
      </c>
      <c r="O10">
        <v>956</v>
      </c>
      <c r="P10" s="1">
        <v>0.96468200000000004</v>
      </c>
    </row>
    <row r="11" spans="1:16" x14ac:dyDescent="0.25">
      <c r="A11" t="s">
        <v>16</v>
      </c>
      <c r="B11" s="15">
        <v>1851843499</v>
      </c>
      <c r="C11">
        <v>411</v>
      </c>
      <c r="D11">
        <v>2089</v>
      </c>
      <c r="E11" s="1">
        <v>0.16439999999999999</v>
      </c>
      <c r="F11" s="1">
        <v>0.83560000000000001</v>
      </c>
      <c r="G11">
        <v>23</v>
      </c>
      <c r="H11">
        <v>1</v>
      </c>
      <c r="I11">
        <v>411</v>
      </c>
      <c r="J11" s="19">
        <v>1</v>
      </c>
      <c r="K11">
        <v>1</v>
      </c>
      <c r="L11">
        <v>401</v>
      </c>
      <c r="M11">
        <v>401</v>
      </c>
      <c r="N11">
        <v>401</v>
      </c>
      <c r="O11">
        <v>401</v>
      </c>
      <c r="P11" s="1">
        <v>0.97566900000000001</v>
      </c>
    </row>
    <row r="12" spans="1:16" x14ac:dyDescent="0.25">
      <c r="A12" t="s">
        <v>16</v>
      </c>
      <c r="B12" s="15">
        <v>699219142</v>
      </c>
      <c r="C12">
        <v>871</v>
      </c>
      <c r="D12">
        <v>1629</v>
      </c>
      <c r="E12" s="1">
        <v>0.34839999999999999</v>
      </c>
      <c r="F12" s="1">
        <v>0.65159999999999996</v>
      </c>
      <c r="G12">
        <v>33</v>
      </c>
      <c r="H12">
        <v>1</v>
      </c>
      <c r="I12">
        <v>871</v>
      </c>
      <c r="J12" s="19">
        <v>1</v>
      </c>
      <c r="K12">
        <v>1</v>
      </c>
      <c r="L12">
        <v>842</v>
      </c>
      <c r="M12">
        <v>842</v>
      </c>
      <c r="N12">
        <v>842</v>
      </c>
      <c r="O12">
        <v>842</v>
      </c>
      <c r="P12" s="1">
        <v>0.96670500000000004</v>
      </c>
    </row>
    <row r="13" spans="1:16" x14ac:dyDescent="0.25">
      <c r="A13" t="s">
        <v>16</v>
      </c>
      <c r="B13" s="15">
        <v>1001548141</v>
      </c>
      <c r="C13">
        <v>809</v>
      </c>
      <c r="D13">
        <v>1691</v>
      </c>
      <c r="E13" s="1">
        <v>0.3236</v>
      </c>
      <c r="F13" s="1">
        <v>0.6764</v>
      </c>
      <c r="G13">
        <v>49</v>
      </c>
      <c r="H13">
        <v>1</v>
      </c>
      <c r="I13">
        <v>809</v>
      </c>
      <c r="J13" s="19">
        <v>1</v>
      </c>
      <c r="K13">
        <v>1</v>
      </c>
      <c r="L13">
        <v>788</v>
      </c>
      <c r="M13">
        <v>788</v>
      </c>
      <c r="N13">
        <v>788</v>
      </c>
      <c r="O13">
        <v>788</v>
      </c>
      <c r="P13" s="1">
        <v>0.97404199999999996</v>
      </c>
    </row>
    <row r="14" spans="1:16" x14ac:dyDescent="0.25">
      <c r="A14" t="s">
        <v>16</v>
      </c>
      <c r="B14" s="15">
        <v>2082446890</v>
      </c>
      <c r="C14">
        <v>582</v>
      </c>
      <c r="D14">
        <v>1918</v>
      </c>
      <c r="E14" s="1">
        <v>0.23280000000000001</v>
      </c>
      <c r="F14" s="1">
        <v>0.76719999999999999</v>
      </c>
      <c r="G14">
        <v>33</v>
      </c>
      <c r="H14">
        <v>1</v>
      </c>
      <c r="I14">
        <v>582</v>
      </c>
      <c r="J14" s="19">
        <v>1</v>
      </c>
      <c r="K14">
        <v>1</v>
      </c>
      <c r="L14">
        <v>565</v>
      </c>
      <c r="M14">
        <v>565</v>
      </c>
      <c r="N14">
        <v>565</v>
      </c>
      <c r="O14">
        <v>565</v>
      </c>
      <c r="P14" s="1">
        <v>0.97079000000000004</v>
      </c>
    </row>
    <row r="15" spans="1:16" x14ac:dyDescent="0.25">
      <c r="A15" t="s">
        <v>16</v>
      </c>
      <c r="B15" s="15">
        <v>352671779</v>
      </c>
      <c r="C15">
        <v>901</v>
      </c>
      <c r="D15">
        <v>1599</v>
      </c>
      <c r="E15" s="1">
        <v>0.3604</v>
      </c>
      <c r="F15" s="1">
        <v>0.63959999999999995</v>
      </c>
      <c r="G15">
        <v>53</v>
      </c>
      <c r="H15">
        <v>1</v>
      </c>
      <c r="I15">
        <v>901</v>
      </c>
      <c r="J15" s="19">
        <v>1</v>
      </c>
      <c r="K15">
        <v>1</v>
      </c>
      <c r="L15">
        <v>869</v>
      </c>
      <c r="M15">
        <v>869</v>
      </c>
      <c r="N15">
        <v>869</v>
      </c>
      <c r="O15">
        <v>869</v>
      </c>
      <c r="P15" s="1">
        <v>0.96448400000000001</v>
      </c>
    </row>
    <row r="16" spans="1:16" x14ac:dyDescent="0.25">
      <c r="A16" t="s">
        <v>16</v>
      </c>
      <c r="B16" s="15">
        <v>769235475</v>
      </c>
      <c r="C16">
        <v>1373</v>
      </c>
      <c r="D16">
        <v>1127</v>
      </c>
      <c r="E16" s="1">
        <v>0.54920000000000002</v>
      </c>
      <c r="F16" s="1">
        <v>0.45079999999999998</v>
      </c>
      <c r="G16">
        <v>53</v>
      </c>
      <c r="H16">
        <v>1</v>
      </c>
      <c r="I16">
        <v>1373</v>
      </c>
      <c r="J16" s="19">
        <v>1</v>
      </c>
      <c r="K16">
        <v>1</v>
      </c>
      <c r="L16">
        <v>1330</v>
      </c>
      <c r="M16">
        <v>1330</v>
      </c>
      <c r="N16">
        <v>1330</v>
      </c>
      <c r="O16">
        <v>1330</v>
      </c>
      <c r="P16" s="1">
        <v>0.96868200000000004</v>
      </c>
    </row>
    <row r="17" spans="1:16" x14ac:dyDescent="0.25">
      <c r="A17" t="s">
        <v>16</v>
      </c>
      <c r="B17" s="15">
        <v>1789757976</v>
      </c>
      <c r="C17">
        <v>633</v>
      </c>
      <c r="D17">
        <v>1867</v>
      </c>
      <c r="E17" s="1">
        <v>0.25319999999999998</v>
      </c>
      <c r="F17" s="1">
        <v>0.74680000000000002</v>
      </c>
      <c r="G17">
        <v>44</v>
      </c>
      <c r="H17">
        <v>1</v>
      </c>
      <c r="I17">
        <v>633</v>
      </c>
      <c r="J17" s="19">
        <v>1</v>
      </c>
      <c r="K17">
        <v>1</v>
      </c>
      <c r="L17">
        <v>606</v>
      </c>
      <c r="M17">
        <v>606</v>
      </c>
      <c r="N17">
        <v>606</v>
      </c>
      <c r="O17">
        <v>606</v>
      </c>
      <c r="P17" s="1">
        <v>0.95734600000000003</v>
      </c>
    </row>
    <row r="18" spans="1:16" x14ac:dyDescent="0.25">
      <c r="A18" t="s">
        <v>16</v>
      </c>
      <c r="B18" s="15">
        <v>2002278058</v>
      </c>
      <c r="C18">
        <v>770</v>
      </c>
      <c r="D18">
        <v>1730</v>
      </c>
      <c r="E18" s="1">
        <v>0.308</v>
      </c>
      <c r="F18" s="1">
        <v>0.69199999999999995</v>
      </c>
      <c r="G18">
        <v>30</v>
      </c>
      <c r="H18">
        <v>1</v>
      </c>
      <c r="I18">
        <v>770</v>
      </c>
      <c r="J18" s="19">
        <v>1</v>
      </c>
      <c r="K18">
        <v>1</v>
      </c>
      <c r="L18">
        <v>749</v>
      </c>
      <c r="M18">
        <v>749</v>
      </c>
      <c r="N18">
        <v>749</v>
      </c>
      <c r="O18">
        <v>749</v>
      </c>
      <c r="P18" s="1">
        <v>0.97272700000000001</v>
      </c>
    </row>
    <row r="19" spans="1:16" x14ac:dyDescent="0.25">
      <c r="A19" t="s">
        <v>16</v>
      </c>
      <c r="B19" s="15">
        <v>490053620</v>
      </c>
      <c r="C19">
        <v>922</v>
      </c>
      <c r="D19">
        <v>1578</v>
      </c>
      <c r="E19" s="1">
        <v>0.36880000000000002</v>
      </c>
      <c r="F19" s="1">
        <v>0.63119999999999998</v>
      </c>
      <c r="G19">
        <v>65</v>
      </c>
      <c r="H19">
        <v>1</v>
      </c>
      <c r="I19">
        <v>922</v>
      </c>
      <c r="J19" s="19">
        <v>1</v>
      </c>
      <c r="K19">
        <v>2</v>
      </c>
      <c r="L19">
        <v>437</v>
      </c>
      <c r="M19">
        <v>484</v>
      </c>
      <c r="N19">
        <v>390</v>
      </c>
      <c r="O19">
        <v>874</v>
      </c>
      <c r="P19" s="1">
        <v>0.94793899999999998</v>
      </c>
    </row>
    <row r="20" spans="1:16" x14ac:dyDescent="0.25">
      <c r="A20" t="s">
        <v>16</v>
      </c>
      <c r="B20" s="15">
        <v>940617177</v>
      </c>
      <c r="C20">
        <v>1033</v>
      </c>
      <c r="D20">
        <v>1467</v>
      </c>
      <c r="E20" s="1">
        <v>0.41320000000000001</v>
      </c>
      <c r="F20" s="1">
        <v>0.58679999999999999</v>
      </c>
      <c r="G20">
        <v>49</v>
      </c>
      <c r="H20">
        <v>1</v>
      </c>
      <c r="I20">
        <v>1033</v>
      </c>
      <c r="J20" s="19">
        <v>1</v>
      </c>
      <c r="K20">
        <v>1</v>
      </c>
      <c r="L20">
        <v>999</v>
      </c>
      <c r="M20">
        <v>999</v>
      </c>
      <c r="N20">
        <v>999</v>
      </c>
      <c r="O20">
        <v>999</v>
      </c>
      <c r="P20" s="1">
        <v>0.967086</v>
      </c>
    </row>
    <row r="21" spans="1:16" x14ac:dyDescent="0.25">
      <c r="A21" t="s">
        <v>16</v>
      </c>
      <c r="B21" s="15">
        <v>1182589738</v>
      </c>
      <c r="C21">
        <v>1071</v>
      </c>
      <c r="D21">
        <v>1429</v>
      </c>
      <c r="E21" s="1">
        <v>0.4284</v>
      </c>
      <c r="F21" s="1">
        <v>0.5716</v>
      </c>
      <c r="G21">
        <v>42</v>
      </c>
      <c r="H21">
        <v>1</v>
      </c>
      <c r="I21">
        <v>1071</v>
      </c>
      <c r="J21" s="19">
        <v>1</v>
      </c>
      <c r="K21">
        <v>1</v>
      </c>
      <c r="L21">
        <v>1035</v>
      </c>
      <c r="M21">
        <v>1035</v>
      </c>
      <c r="N21">
        <v>1035</v>
      </c>
      <c r="O21">
        <v>1035</v>
      </c>
      <c r="P21" s="1">
        <v>0.966387</v>
      </c>
    </row>
    <row r="22" spans="1:16" x14ac:dyDescent="0.25">
      <c r="A22" t="s">
        <v>16</v>
      </c>
      <c r="B22" s="15">
        <v>2008639622</v>
      </c>
      <c r="C22">
        <v>946</v>
      </c>
      <c r="D22">
        <v>1554</v>
      </c>
      <c r="E22" s="1">
        <v>0.37840000000000001</v>
      </c>
      <c r="F22" s="1">
        <v>0.62160000000000004</v>
      </c>
      <c r="G22">
        <v>55</v>
      </c>
      <c r="H22">
        <v>1</v>
      </c>
      <c r="I22">
        <v>946</v>
      </c>
      <c r="J22" s="19">
        <v>1</v>
      </c>
      <c r="K22">
        <v>1</v>
      </c>
      <c r="L22">
        <v>917</v>
      </c>
      <c r="M22">
        <v>917</v>
      </c>
      <c r="N22">
        <v>917</v>
      </c>
      <c r="O22">
        <v>917</v>
      </c>
      <c r="P22" s="1">
        <v>0.96934500000000001</v>
      </c>
    </row>
    <row r="23" spans="1:16" x14ac:dyDescent="0.25">
      <c r="A23" t="s">
        <v>16</v>
      </c>
      <c r="B23" s="15">
        <v>1875572658</v>
      </c>
      <c r="C23">
        <v>1037</v>
      </c>
      <c r="D23">
        <v>1463</v>
      </c>
      <c r="E23" s="1">
        <v>0.4148</v>
      </c>
      <c r="F23" s="1">
        <v>0.58520000000000005</v>
      </c>
      <c r="G23">
        <v>46</v>
      </c>
      <c r="H23">
        <v>1</v>
      </c>
      <c r="I23">
        <v>1037</v>
      </c>
      <c r="J23" s="19">
        <v>1</v>
      </c>
      <c r="K23">
        <v>1</v>
      </c>
      <c r="L23">
        <v>1006</v>
      </c>
      <c r="M23">
        <v>1006</v>
      </c>
      <c r="N23">
        <v>1006</v>
      </c>
      <c r="O23">
        <v>1006</v>
      </c>
      <c r="P23" s="1">
        <v>0.97010600000000002</v>
      </c>
    </row>
    <row r="24" spans="1:16" x14ac:dyDescent="0.25">
      <c r="A24" t="s">
        <v>16</v>
      </c>
      <c r="B24" s="15">
        <v>346879168</v>
      </c>
      <c r="C24">
        <v>1061</v>
      </c>
      <c r="D24">
        <v>1439</v>
      </c>
      <c r="E24" s="1">
        <v>0.4244</v>
      </c>
      <c r="F24" s="1">
        <v>0.5756</v>
      </c>
      <c r="G24">
        <v>45</v>
      </c>
      <c r="H24">
        <v>1</v>
      </c>
      <c r="I24">
        <v>1061</v>
      </c>
      <c r="J24" s="19">
        <v>1</v>
      </c>
      <c r="K24">
        <v>1</v>
      </c>
      <c r="L24">
        <v>1028</v>
      </c>
      <c r="M24">
        <v>1028</v>
      </c>
      <c r="N24">
        <v>1028</v>
      </c>
      <c r="O24">
        <v>1028</v>
      </c>
      <c r="P24" s="1">
        <v>0.96889700000000001</v>
      </c>
    </row>
    <row r="25" spans="1:16" x14ac:dyDescent="0.25">
      <c r="A25" t="s">
        <v>16</v>
      </c>
      <c r="B25" s="15">
        <v>1325571511</v>
      </c>
      <c r="C25">
        <v>1044</v>
      </c>
      <c r="D25">
        <v>1456</v>
      </c>
      <c r="E25" s="1">
        <v>0.41760000000000003</v>
      </c>
      <c r="F25" s="1">
        <v>0.58240000000000003</v>
      </c>
      <c r="G25">
        <v>44</v>
      </c>
      <c r="H25">
        <v>1</v>
      </c>
      <c r="I25">
        <v>1044</v>
      </c>
      <c r="J25" s="19">
        <v>1</v>
      </c>
      <c r="K25">
        <v>1</v>
      </c>
      <c r="L25">
        <v>1012</v>
      </c>
      <c r="M25">
        <v>1012</v>
      </c>
      <c r="N25">
        <v>1012</v>
      </c>
      <c r="O25">
        <v>1012</v>
      </c>
      <c r="P25" s="1">
        <v>0.96934900000000002</v>
      </c>
    </row>
    <row r="26" spans="1:16" x14ac:dyDescent="0.25">
      <c r="A26" t="s">
        <v>16</v>
      </c>
      <c r="B26" s="15">
        <v>1167022810</v>
      </c>
      <c r="C26">
        <v>732</v>
      </c>
      <c r="D26">
        <v>1768</v>
      </c>
      <c r="E26" s="1">
        <v>0.2928</v>
      </c>
      <c r="F26" s="1">
        <v>0.70720000000000005</v>
      </c>
      <c r="G26">
        <v>38</v>
      </c>
      <c r="H26">
        <v>1</v>
      </c>
      <c r="I26">
        <v>732</v>
      </c>
      <c r="J26" s="19">
        <v>1</v>
      </c>
      <c r="K26">
        <v>1</v>
      </c>
      <c r="L26">
        <v>706</v>
      </c>
      <c r="M26">
        <v>706</v>
      </c>
      <c r="N26">
        <v>706</v>
      </c>
      <c r="O26">
        <v>706</v>
      </c>
      <c r="P26" s="1">
        <v>0.96448100000000003</v>
      </c>
    </row>
    <row r="27" spans="1:16" x14ac:dyDescent="0.25">
      <c r="A27" t="s">
        <v>16</v>
      </c>
      <c r="B27" s="15">
        <v>599312497</v>
      </c>
      <c r="C27">
        <v>349</v>
      </c>
      <c r="D27">
        <v>2151</v>
      </c>
      <c r="E27" s="1">
        <v>0.1396</v>
      </c>
      <c r="F27" s="1">
        <v>0.86040000000000005</v>
      </c>
      <c r="G27">
        <v>21</v>
      </c>
      <c r="H27">
        <v>1</v>
      </c>
      <c r="I27">
        <v>349</v>
      </c>
      <c r="J27" s="19">
        <v>1</v>
      </c>
      <c r="K27">
        <v>1</v>
      </c>
      <c r="L27">
        <v>338</v>
      </c>
      <c r="M27">
        <v>338</v>
      </c>
      <c r="N27">
        <v>338</v>
      </c>
      <c r="O27">
        <v>338</v>
      </c>
      <c r="P27" s="1">
        <v>0.96848100000000004</v>
      </c>
    </row>
    <row r="28" spans="1:16" x14ac:dyDescent="0.25">
      <c r="A28" t="s">
        <v>16</v>
      </c>
      <c r="B28" s="15">
        <v>1714479614</v>
      </c>
      <c r="C28">
        <v>1059</v>
      </c>
      <c r="D28">
        <v>1441</v>
      </c>
      <c r="E28" s="1">
        <v>0.42359999999999998</v>
      </c>
      <c r="F28" s="1">
        <v>0.57640000000000002</v>
      </c>
      <c r="G28">
        <v>42</v>
      </c>
      <c r="H28">
        <v>1</v>
      </c>
      <c r="I28">
        <v>1059</v>
      </c>
      <c r="J28" s="19">
        <v>1</v>
      </c>
      <c r="K28">
        <v>1</v>
      </c>
      <c r="L28">
        <v>1025</v>
      </c>
      <c r="M28">
        <v>1025</v>
      </c>
      <c r="N28">
        <v>1025</v>
      </c>
      <c r="O28">
        <v>1025</v>
      </c>
      <c r="P28" s="1">
        <v>0.96789400000000003</v>
      </c>
    </row>
    <row r="29" spans="1:16" x14ac:dyDescent="0.25">
      <c r="A29" t="s">
        <v>16</v>
      </c>
      <c r="B29" s="15">
        <v>972583802</v>
      </c>
      <c r="C29">
        <v>758</v>
      </c>
      <c r="D29">
        <v>1742</v>
      </c>
      <c r="E29" s="1">
        <v>0.30320000000000003</v>
      </c>
      <c r="F29" s="1">
        <v>0.69679999999999997</v>
      </c>
      <c r="G29">
        <v>34</v>
      </c>
      <c r="H29">
        <v>1</v>
      </c>
      <c r="I29">
        <v>758</v>
      </c>
      <c r="J29" s="19">
        <v>1</v>
      </c>
      <c r="K29">
        <v>1</v>
      </c>
      <c r="L29">
        <v>738</v>
      </c>
      <c r="M29">
        <v>738</v>
      </c>
      <c r="N29">
        <v>738</v>
      </c>
      <c r="O29">
        <v>738</v>
      </c>
      <c r="P29" s="1">
        <v>0.97361500000000001</v>
      </c>
    </row>
    <row r="30" spans="1:16" x14ac:dyDescent="0.25">
      <c r="A30" t="s">
        <v>16</v>
      </c>
      <c r="B30" s="15">
        <v>788682520</v>
      </c>
      <c r="C30">
        <v>1039</v>
      </c>
      <c r="D30">
        <v>1461</v>
      </c>
      <c r="E30" s="1">
        <v>0.41560000000000002</v>
      </c>
      <c r="F30" s="1">
        <v>0.58440000000000003</v>
      </c>
      <c r="G30">
        <v>70</v>
      </c>
      <c r="H30">
        <v>1</v>
      </c>
      <c r="I30">
        <v>1039</v>
      </c>
      <c r="J30" s="19">
        <v>1</v>
      </c>
      <c r="K30">
        <v>2</v>
      </c>
      <c r="L30">
        <v>498.5</v>
      </c>
      <c r="M30">
        <v>592</v>
      </c>
      <c r="N30">
        <v>405</v>
      </c>
      <c r="O30">
        <v>997</v>
      </c>
      <c r="P30" s="1">
        <v>0.95957700000000001</v>
      </c>
    </row>
    <row r="31" spans="1:16" x14ac:dyDescent="0.25">
      <c r="A31" t="s">
        <v>16</v>
      </c>
      <c r="B31" s="15">
        <v>2092750384</v>
      </c>
      <c r="C31">
        <v>1126</v>
      </c>
      <c r="D31">
        <v>1374</v>
      </c>
      <c r="E31" s="1">
        <v>0.45040000000000002</v>
      </c>
      <c r="F31" s="1">
        <v>0.54959999999999998</v>
      </c>
      <c r="G31">
        <v>43</v>
      </c>
      <c r="H31">
        <v>1</v>
      </c>
      <c r="I31">
        <v>1126</v>
      </c>
      <c r="J31" s="19">
        <v>1</v>
      </c>
      <c r="K31">
        <v>1</v>
      </c>
      <c r="L31">
        <v>1089</v>
      </c>
      <c r="M31">
        <v>1089</v>
      </c>
      <c r="N31">
        <v>1089</v>
      </c>
      <c r="O31">
        <v>1089</v>
      </c>
      <c r="P31" s="1">
        <v>0.96714</v>
      </c>
    </row>
    <row r="32" spans="1:16" x14ac:dyDescent="0.25">
      <c r="A32" t="s">
        <v>16</v>
      </c>
      <c r="B32" s="15">
        <v>1313809108</v>
      </c>
      <c r="C32">
        <v>613</v>
      </c>
      <c r="D32">
        <v>1887</v>
      </c>
      <c r="E32" s="1">
        <v>0.2452</v>
      </c>
      <c r="F32" s="1">
        <v>0.75480000000000003</v>
      </c>
      <c r="G32">
        <v>27</v>
      </c>
      <c r="H32">
        <v>1</v>
      </c>
      <c r="I32">
        <v>613</v>
      </c>
      <c r="J32" s="19">
        <v>1</v>
      </c>
      <c r="K32">
        <v>1</v>
      </c>
      <c r="L32">
        <v>597</v>
      </c>
      <c r="M32">
        <v>597</v>
      </c>
      <c r="N32">
        <v>597</v>
      </c>
      <c r="O32">
        <v>597</v>
      </c>
      <c r="P32" s="1">
        <v>0.97389899999999996</v>
      </c>
    </row>
    <row r="33" spans="1:16" x14ac:dyDescent="0.25">
      <c r="A33" t="s">
        <v>16</v>
      </c>
      <c r="B33" s="15">
        <v>279592257</v>
      </c>
      <c r="C33">
        <v>1050</v>
      </c>
      <c r="D33">
        <v>1450</v>
      </c>
      <c r="E33" s="1">
        <v>0.42</v>
      </c>
      <c r="F33" s="1">
        <v>0.57999999999999996</v>
      </c>
      <c r="G33">
        <v>49</v>
      </c>
      <c r="H33">
        <v>1</v>
      </c>
      <c r="I33">
        <v>1050</v>
      </c>
      <c r="J33" s="19">
        <v>1</v>
      </c>
      <c r="K33">
        <v>1</v>
      </c>
      <c r="L33">
        <v>1020</v>
      </c>
      <c r="M33">
        <v>1020</v>
      </c>
      <c r="N33">
        <v>1020</v>
      </c>
      <c r="O33">
        <v>1020</v>
      </c>
      <c r="P33" s="1">
        <v>0.97142899999999999</v>
      </c>
    </row>
    <row r="34" spans="1:16" x14ac:dyDescent="0.25">
      <c r="A34" t="s">
        <v>16</v>
      </c>
      <c r="B34" s="15">
        <v>1736147740</v>
      </c>
      <c r="C34">
        <v>861</v>
      </c>
      <c r="D34">
        <v>1639</v>
      </c>
      <c r="E34" s="1">
        <v>0.34439999999999998</v>
      </c>
      <c r="F34" s="1">
        <v>0.65559999999999996</v>
      </c>
      <c r="G34">
        <v>51</v>
      </c>
      <c r="H34">
        <v>1</v>
      </c>
      <c r="I34">
        <v>861</v>
      </c>
      <c r="J34" s="19">
        <v>1</v>
      </c>
      <c r="K34">
        <v>1</v>
      </c>
      <c r="L34">
        <v>832</v>
      </c>
      <c r="M34">
        <v>832</v>
      </c>
      <c r="N34">
        <v>832</v>
      </c>
      <c r="O34">
        <v>832</v>
      </c>
      <c r="P34" s="1">
        <v>0.96631800000000001</v>
      </c>
    </row>
    <row r="35" spans="1:16" x14ac:dyDescent="0.25">
      <c r="A35" t="s">
        <v>16</v>
      </c>
      <c r="B35" s="15">
        <v>1098209750</v>
      </c>
      <c r="C35">
        <v>790</v>
      </c>
      <c r="D35">
        <v>1710</v>
      </c>
      <c r="E35" s="1">
        <v>0.316</v>
      </c>
      <c r="F35" s="1">
        <v>0.68400000000000005</v>
      </c>
      <c r="G35">
        <v>49</v>
      </c>
      <c r="H35">
        <v>1</v>
      </c>
      <c r="I35">
        <v>790</v>
      </c>
      <c r="J35" s="19">
        <v>1</v>
      </c>
      <c r="K35">
        <v>1</v>
      </c>
      <c r="L35">
        <v>771</v>
      </c>
      <c r="M35">
        <v>771</v>
      </c>
      <c r="N35">
        <v>771</v>
      </c>
      <c r="O35">
        <v>771</v>
      </c>
      <c r="P35" s="1">
        <v>0.97594899999999996</v>
      </c>
    </row>
    <row r="36" spans="1:16" x14ac:dyDescent="0.25">
      <c r="A36" t="s">
        <v>16</v>
      </c>
      <c r="B36" s="15">
        <v>324733365</v>
      </c>
      <c r="C36">
        <v>1097</v>
      </c>
      <c r="D36">
        <v>1403</v>
      </c>
      <c r="E36" s="1">
        <v>0.43880000000000002</v>
      </c>
      <c r="F36" s="1">
        <v>0.56120000000000003</v>
      </c>
      <c r="G36">
        <v>57</v>
      </c>
      <c r="H36">
        <v>1</v>
      </c>
      <c r="I36">
        <v>1097</v>
      </c>
      <c r="J36" s="19">
        <v>1</v>
      </c>
      <c r="K36">
        <v>1</v>
      </c>
      <c r="L36">
        <v>1060</v>
      </c>
      <c r="M36">
        <v>1060</v>
      </c>
      <c r="N36">
        <v>1060</v>
      </c>
      <c r="O36">
        <v>1060</v>
      </c>
      <c r="P36" s="1">
        <v>0.96627200000000002</v>
      </c>
    </row>
    <row r="37" spans="1:16" x14ac:dyDescent="0.25">
      <c r="A37" t="s">
        <v>16</v>
      </c>
      <c r="B37" s="15">
        <v>496938197</v>
      </c>
      <c r="C37">
        <v>1276</v>
      </c>
      <c r="D37">
        <v>1224</v>
      </c>
      <c r="E37" s="1">
        <v>0.51039999999999996</v>
      </c>
      <c r="F37" s="1">
        <v>0.48959999999999998</v>
      </c>
      <c r="G37">
        <v>67</v>
      </c>
      <c r="H37">
        <v>1</v>
      </c>
      <c r="I37">
        <v>1276</v>
      </c>
      <c r="J37" s="19">
        <v>1</v>
      </c>
      <c r="K37">
        <v>1</v>
      </c>
      <c r="L37">
        <v>1227</v>
      </c>
      <c r="M37">
        <v>1227</v>
      </c>
      <c r="N37">
        <v>1227</v>
      </c>
      <c r="O37">
        <v>1227</v>
      </c>
      <c r="P37" s="1">
        <v>0.96159899999999998</v>
      </c>
    </row>
    <row r="38" spans="1:16" x14ac:dyDescent="0.25">
      <c r="A38" t="s">
        <v>16</v>
      </c>
      <c r="B38" s="15">
        <v>1880774520</v>
      </c>
      <c r="C38">
        <v>1159</v>
      </c>
      <c r="D38">
        <v>1341</v>
      </c>
      <c r="E38" s="1">
        <v>0.46360000000000001</v>
      </c>
      <c r="F38" s="1">
        <v>0.53639999999999999</v>
      </c>
      <c r="G38">
        <v>64</v>
      </c>
      <c r="H38">
        <v>1</v>
      </c>
      <c r="I38">
        <v>1159</v>
      </c>
      <c r="J38" s="19">
        <v>1</v>
      </c>
      <c r="K38">
        <v>1</v>
      </c>
      <c r="L38">
        <v>1124</v>
      </c>
      <c r="M38">
        <v>1124</v>
      </c>
      <c r="N38">
        <v>1124</v>
      </c>
      <c r="O38">
        <v>1124</v>
      </c>
      <c r="P38" s="1">
        <v>0.96980200000000005</v>
      </c>
    </row>
    <row r="39" spans="1:16" x14ac:dyDescent="0.25">
      <c r="A39" t="s">
        <v>16</v>
      </c>
      <c r="B39" s="15">
        <v>2018524810</v>
      </c>
      <c r="C39">
        <v>797</v>
      </c>
      <c r="D39">
        <v>1703</v>
      </c>
      <c r="E39" s="1">
        <v>0.31879999999999997</v>
      </c>
      <c r="F39" s="1">
        <v>0.68120000000000003</v>
      </c>
      <c r="G39">
        <v>46</v>
      </c>
      <c r="H39">
        <v>1</v>
      </c>
      <c r="I39">
        <v>797</v>
      </c>
      <c r="J39" s="19">
        <v>1</v>
      </c>
      <c r="K39">
        <v>1</v>
      </c>
      <c r="L39">
        <v>775</v>
      </c>
      <c r="M39">
        <v>775</v>
      </c>
      <c r="N39">
        <v>775</v>
      </c>
      <c r="O39">
        <v>775</v>
      </c>
      <c r="P39" s="1">
        <v>0.97239600000000004</v>
      </c>
    </row>
    <row r="40" spans="1:16" x14ac:dyDescent="0.25">
      <c r="A40" t="s">
        <v>16</v>
      </c>
      <c r="B40" s="15">
        <v>1656909082</v>
      </c>
      <c r="C40">
        <v>937</v>
      </c>
      <c r="D40">
        <v>1563</v>
      </c>
      <c r="E40" s="1">
        <v>0.37480000000000002</v>
      </c>
      <c r="F40" s="1">
        <v>0.62519999999999998</v>
      </c>
      <c r="G40">
        <v>42</v>
      </c>
      <c r="H40">
        <v>1</v>
      </c>
      <c r="I40">
        <v>937</v>
      </c>
      <c r="J40" s="19">
        <v>1</v>
      </c>
      <c r="K40">
        <v>1</v>
      </c>
      <c r="L40">
        <v>911</v>
      </c>
      <c r="M40">
        <v>911</v>
      </c>
      <c r="N40">
        <v>911</v>
      </c>
      <c r="O40">
        <v>911</v>
      </c>
      <c r="P40" s="1">
        <v>0.97225200000000001</v>
      </c>
    </row>
    <row r="41" spans="1:16" x14ac:dyDescent="0.25">
      <c r="A41" t="s">
        <v>16</v>
      </c>
      <c r="B41" s="15">
        <v>722736855</v>
      </c>
      <c r="C41">
        <v>614</v>
      </c>
      <c r="D41">
        <v>1886</v>
      </c>
      <c r="E41" s="1">
        <v>0.24560000000000001</v>
      </c>
      <c r="F41" s="1">
        <v>0.75439999999999996</v>
      </c>
      <c r="G41">
        <v>28</v>
      </c>
      <c r="H41">
        <v>1</v>
      </c>
      <c r="I41">
        <v>614</v>
      </c>
      <c r="J41" s="19">
        <v>1</v>
      </c>
      <c r="K41">
        <v>1</v>
      </c>
      <c r="L41">
        <v>597</v>
      </c>
      <c r="M41">
        <v>597</v>
      </c>
      <c r="N41">
        <v>597</v>
      </c>
      <c r="O41">
        <v>597</v>
      </c>
      <c r="P41" s="1">
        <v>0.97231299999999998</v>
      </c>
    </row>
    <row r="42" spans="1:16" x14ac:dyDescent="0.25">
      <c r="A42" t="s">
        <v>16</v>
      </c>
      <c r="B42" s="15">
        <v>1474540519</v>
      </c>
      <c r="C42">
        <v>829</v>
      </c>
      <c r="D42">
        <v>1671</v>
      </c>
      <c r="E42" s="1">
        <v>0.33160000000000001</v>
      </c>
      <c r="F42" s="1">
        <v>0.66839999999999999</v>
      </c>
      <c r="G42">
        <v>50</v>
      </c>
      <c r="H42">
        <v>1</v>
      </c>
      <c r="I42">
        <v>829</v>
      </c>
      <c r="J42" s="19">
        <v>1</v>
      </c>
      <c r="K42">
        <v>1</v>
      </c>
      <c r="L42">
        <v>802</v>
      </c>
      <c r="M42">
        <v>802</v>
      </c>
      <c r="N42">
        <v>802</v>
      </c>
      <c r="O42">
        <v>802</v>
      </c>
      <c r="P42" s="1">
        <v>0.96743100000000004</v>
      </c>
    </row>
    <row r="43" spans="1:16" x14ac:dyDescent="0.25">
      <c r="A43" t="s">
        <v>16</v>
      </c>
      <c r="B43" s="15">
        <v>266999476</v>
      </c>
      <c r="C43">
        <v>835</v>
      </c>
      <c r="D43">
        <v>1665</v>
      </c>
      <c r="E43" s="1">
        <v>0.33400000000000002</v>
      </c>
      <c r="F43" s="1">
        <v>0.66600000000000004</v>
      </c>
      <c r="G43">
        <v>28</v>
      </c>
      <c r="H43">
        <v>1</v>
      </c>
      <c r="I43">
        <v>835</v>
      </c>
      <c r="J43" s="19">
        <v>1</v>
      </c>
      <c r="K43">
        <v>1</v>
      </c>
      <c r="L43">
        <v>815</v>
      </c>
      <c r="M43">
        <v>815</v>
      </c>
      <c r="N43">
        <v>815</v>
      </c>
      <c r="O43">
        <v>815</v>
      </c>
      <c r="P43" s="1">
        <v>0.97604800000000003</v>
      </c>
    </row>
    <row r="44" spans="1:16" x14ac:dyDescent="0.25">
      <c r="A44" t="s">
        <v>16</v>
      </c>
      <c r="B44" s="15">
        <v>1175833038</v>
      </c>
      <c r="C44">
        <v>765</v>
      </c>
      <c r="D44">
        <v>1735</v>
      </c>
      <c r="E44" s="1">
        <v>0.30599999999999999</v>
      </c>
      <c r="F44" s="1">
        <v>0.69399999999999995</v>
      </c>
      <c r="G44">
        <v>69</v>
      </c>
      <c r="H44">
        <v>1</v>
      </c>
      <c r="I44">
        <v>765</v>
      </c>
      <c r="J44" s="19">
        <v>1</v>
      </c>
      <c r="K44">
        <v>3</v>
      </c>
      <c r="L44">
        <v>238.33333300000001</v>
      </c>
      <c r="M44">
        <v>428</v>
      </c>
      <c r="N44">
        <v>7</v>
      </c>
      <c r="O44">
        <v>715</v>
      </c>
      <c r="P44" s="1">
        <v>0.93464100000000006</v>
      </c>
    </row>
    <row r="45" spans="1:16" x14ac:dyDescent="0.25">
      <c r="A45" t="s">
        <v>16</v>
      </c>
      <c r="B45" s="15">
        <v>1015396519</v>
      </c>
      <c r="C45">
        <v>815</v>
      </c>
      <c r="D45">
        <v>1685</v>
      </c>
      <c r="E45" s="1">
        <v>0.32600000000000001</v>
      </c>
      <c r="F45" s="1">
        <v>0.67400000000000004</v>
      </c>
      <c r="G45">
        <v>40</v>
      </c>
      <c r="H45">
        <v>1</v>
      </c>
      <c r="I45">
        <v>815</v>
      </c>
      <c r="J45" s="19">
        <v>1</v>
      </c>
      <c r="K45">
        <v>1</v>
      </c>
      <c r="L45">
        <v>792</v>
      </c>
      <c r="M45">
        <v>792</v>
      </c>
      <c r="N45">
        <v>792</v>
      </c>
      <c r="O45">
        <v>792</v>
      </c>
      <c r="P45" s="1">
        <v>0.97177899999999995</v>
      </c>
    </row>
    <row r="46" spans="1:16" x14ac:dyDescent="0.25">
      <c r="A46" t="s">
        <v>16</v>
      </c>
      <c r="B46" s="15">
        <v>257990286</v>
      </c>
      <c r="C46">
        <v>592</v>
      </c>
      <c r="D46">
        <v>1908</v>
      </c>
      <c r="E46" s="1">
        <v>0.23680000000000001</v>
      </c>
      <c r="F46" s="1">
        <v>0.76319999999999999</v>
      </c>
      <c r="G46">
        <v>37</v>
      </c>
      <c r="H46">
        <v>1</v>
      </c>
      <c r="I46">
        <v>592</v>
      </c>
      <c r="J46" s="19">
        <v>1</v>
      </c>
      <c r="K46">
        <v>1</v>
      </c>
      <c r="L46">
        <v>572</v>
      </c>
      <c r="M46">
        <v>572</v>
      </c>
      <c r="N46">
        <v>572</v>
      </c>
      <c r="O46">
        <v>572</v>
      </c>
      <c r="P46" s="1">
        <v>0.96621599999999996</v>
      </c>
    </row>
    <row r="47" spans="1:16" x14ac:dyDescent="0.25">
      <c r="A47" t="s">
        <v>16</v>
      </c>
      <c r="B47" s="15">
        <v>1834721672</v>
      </c>
      <c r="C47">
        <v>548</v>
      </c>
      <c r="D47">
        <v>1952</v>
      </c>
      <c r="E47" s="1">
        <v>0.21920000000000001</v>
      </c>
      <c r="F47" s="1">
        <v>0.78080000000000005</v>
      </c>
      <c r="G47">
        <v>29</v>
      </c>
      <c r="H47">
        <v>1</v>
      </c>
      <c r="I47">
        <v>548</v>
      </c>
      <c r="J47" s="19">
        <v>1</v>
      </c>
      <c r="K47">
        <v>1</v>
      </c>
      <c r="L47">
        <v>528</v>
      </c>
      <c r="M47">
        <v>528</v>
      </c>
      <c r="N47">
        <v>528</v>
      </c>
      <c r="O47">
        <v>528</v>
      </c>
      <c r="P47" s="1">
        <v>0.96350400000000003</v>
      </c>
    </row>
    <row r="48" spans="1:16" x14ac:dyDescent="0.25">
      <c r="A48" t="s">
        <v>16</v>
      </c>
      <c r="B48" s="15">
        <v>1773019874</v>
      </c>
      <c r="C48">
        <v>565</v>
      </c>
      <c r="D48">
        <v>1935</v>
      </c>
      <c r="E48" s="1">
        <v>0.22600000000000001</v>
      </c>
      <c r="F48" s="1">
        <v>0.77400000000000002</v>
      </c>
      <c r="G48">
        <v>31</v>
      </c>
      <c r="H48">
        <v>1</v>
      </c>
      <c r="I48">
        <v>565</v>
      </c>
      <c r="J48" s="19">
        <v>1</v>
      </c>
      <c r="K48">
        <v>1</v>
      </c>
      <c r="L48">
        <v>549</v>
      </c>
      <c r="M48">
        <v>549</v>
      </c>
      <c r="N48">
        <v>549</v>
      </c>
      <c r="O48">
        <v>549</v>
      </c>
      <c r="P48" s="1">
        <v>0.97168100000000002</v>
      </c>
    </row>
    <row r="49" spans="1:16" x14ac:dyDescent="0.25">
      <c r="A49" t="s">
        <v>16</v>
      </c>
      <c r="B49" s="15">
        <v>136630089</v>
      </c>
      <c r="C49">
        <v>662</v>
      </c>
      <c r="D49">
        <v>1838</v>
      </c>
      <c r="E49" s="1">
        <v>0.26479999999999998</v>
      </c>
      <c r="F49" s="1">
        <v>0.73519999999999996</v>
      </c>
      <c r="G49">
        <v>36</v>
      </c>
      <c r="H49">
        <v>1</v>
      </c>
      <c r="I49">
        <v>662</v>
      </c>
      <c r="J49" s="19">
        <v>1</v>
      </c>
      <c r="K49">
        <v>1</v>
      </c>
      <c r="L49">
        <v>642</v>
      </c>
      <c r="M49">
        <v>642</v>
      </c>
      <c r="N49">
        <v>642</v>
      </c>
      <c r="O49">
        <v>642</v>
      </c>
      <c r="P49" s="1">
        <v>0.96978900000000001</v>
      </c>
    </row>
    <row r="50" spans="1:16" x14ac:dyDescent="0.25">
      <c r="A50" t="s">
        <v>16</v>
      </c>
      <c r="B50" s="15">
        <v>1255612544</v>
      </c>
      <c r="C50">
        <v>826</v>
      </c>
      <c r="D50">
        <v>1674</v>
      </c>
      <c r="E50" s="1">
        <v>0.33040000000000003</v>
      </c>
      <c r="F50" s="1">
        <v>0.66959999999999997</v>
      </c>
      <c r="G50">
        <v>31</v>
      </c>
      <c r="H50">
        <v>1</v>
      </c>
      <c r="I50">
        <v>826</v>
      </c>
      <c r="J50" s="19">
        <v>1</v>
      </c>
      <c r="K50">
        <v>1</v>
      </c>
      <c r="L50">
        <v>801</v>
      </c>
      <c r="M50">
        <v>801</v>
      </c>
      <c r="N50">
        <v>801</v>
      </c>
      <c r="O50">
        <v>801</v>
      </c>
      <c r="P50" s="1">
        <v>0.96973399999999998</v>
      </c>
    </row>
    <row r="51" spans="1:16" x14ac:dyDescent="0.25">
      <c r="A51" t="s">
        <v>16</v>
      </c>
      <c r="B51" s="15">
        <v>1448300170</v>
      </c>
      <c r="C51">
        <v>1018</v>
      </c>
      <c r="D51">
        <v>1482</v>
      </c>
      <c r="E51" s="1">
        <v>0.40720000000000001</v>
      </c>
      <c r="F51" s="1">
        <v>0.59279999999999999</v>
      </c>
      <c r="G51">
        <v>42</v>
      </c>
      <c r="H51">
        <v>1</v>
      </c>
      <c r="I51">
        <v>1018</v>
      </c>
      <c r="J51" s="19">
        <v>1</v>
      </c>
      <c r="K51">
        <v>1</v>
      </c>
      <c r="L51">
        <v>978</v>
      </c>
      <c r="M51">
        <v>978</v>
      </c>
      <c r="N51">
        <v>978</v>
      </c>
      <c r="O51">
        <v>978</v>
      </c>
      <c r="P51" s="1">
        <v>0.96070699999999998</v>
      </c>
    </row>
    <row r="52" spans="1:16" x14ac:dyDescent="0.25">
      <c r="A52" t="s">
        <v>25</v>
      </c>
      <c r="C52">
        <f>SUBTOTAL(101,AgRan_dir5_room5_chance50_step750[floors])</f>
        <v>885.62</v>
      </c>
      <c r="D52">
        <f>SUBTOTAL(101,AgRan_dir5_room5_chance50_step750[walls])</f>
        <v>1614.38</v>
      </c>
      <c r="E52" s="2">
        <f>SUBTOTAL(101,AgRan_dir5_room5_chance50_step750[floor_percent])</f>
        <v>0.35424800000000006</v>
      </c>
      <c r="F52" s="2">
        <f>SUBTOTAL(101,AgRan_dir5_room5_chance50_step750[wall_percent])</f>
        <v>0.64575199999999977</v>
      </c>
      <c r="G52">
        <f>SUBTOTAL(101,AgRan_dir5_room5_chance50_step750[longest_shortest_path])</f>
        <v>44.04</v>
      </c>
      <c r="H52">
        <f>SUBTOTAL(101,AgRan_dir5_room5_chance50_step750[component_count])</f>
        <v>1</v>
      </c>
      <c r="I52">
        <f>SUBTOTAL(101,AgRan_dir5_room5_chance50_step750[max_component_size])</f>
        <v>885.62</v>
      </c>
      <c r="J52" s="19">
        <f>SUBTOTAL(101,AgRan_dir5_room5_chance50_step750[connectivity_ratio])</f>
        <v>1</v>
      </c>
      <c r="K52">
        <f>SUBTOTAL(101,AgRan_dir5_room5_chance50_step750[room_count])</f>
        <v>1.08</v>
      </c>
      <c r="L52">
        <f>SUBTOTAL(101,AgRan_dir5_room5_chance50_step750[avg_room_size])</f>
        <v>828.55666666000002</v>
      </c>
      <c r="M52">
        <f>SUBTOTAL(101,AgRan_dir5_room5_chance50_step750[max_room_size])</f>
        <v>835.16</v>
      </c>
      <c r="N52">
        <f>SUBTOTAL(101,AgRan_dir5_room5_chance50_step750[min_room_size])</f>
        <v>821.12</v>
      </c>
      <c r="O52">
        <f>SUBTOTAL(101,AgRan_dir5_room5_chance50_step750[room_tiles])</f>
        <v>856.8</v>
      </c>
      <c r="P52" s="2">
        <f>SUBTOTAL(101,AgRan_dir5_room5_chance50_step750[room_ratio])</f>
        <v>0.96770998000000008</v>
      </c>
    </row>
    <row r="53" spans="1:16" x14ac:dyDescent="0.25">
      <c r="A53" s="16" t="s">
        <v>29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FB60-0420-4948-B506-34AD5C7665C1}">
  <dimension ref="A1:P53"/>
  <sheetViews>
    <sheetView workbookViewId="0">
      <selection activeCell="J1" sqref="J1:J1048576"/>
    </sheetView>
  </sheetViews>
  <sheetFormatPr defaultRowHeight="15" x14ac:dyDescent="0.25"/>
  <cols>
    <col min="1" max="1" width="30.5703125" bestFit="1" customWidth="1"/>
    <col min="2" max="2" width="11" style="15" bestFit="1" customWidth="1"/>
    <col min="3" max="3" width="8.5703125" bestFit="1" customWidth="1"/>
    <col min="4" max="4" width="7.85546875" bestFit="1" customWidth="1"/>
    <col min="5" max="5" width="15.5703125" bestFit="1" customWidth="1"/>
    <col min="6" max="6" width="14.7109375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19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bestFit="1" customWidth="1"/>
  </cols>
  <sheetData>
    <row r="1" spans="1:16" x14ac:dyDescent="0.25">
      <c r="A1" t="s">
        <v>0</v>
      </c>
      <c r="B1" s="1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5">
        <v>688216787</v>
      </c>
      <c r="C2">
        <v>946</v>
      </c>
      <c r="D2">
        <v>1554</v>
      </c>
      <c r="E2" s="1">
        <v>0.37840000000000001</v>
      </c>
      <c r="F2" s="1">
        <v>0.62160000000000004</v>
      </c>
      <c r="G2">
        <v>49</v>
      </c>
      <c r="H2">
        <v>1</v>
      </c>
      <c r="I2">
        <v>946</v>
      </c>
      <c r="J2" s="19">
        <v>1</v>
      </c>
      <c r="K2">
        <v>1</v>
      </c>
      <c r="L2">
        <v>916</v>
      </c>
      <c r="M2">
        <v>916</v>
      </c>
      <c r="N2">
        <v>916</v>
      </c>
      <c r="O2">
        <v>916</v>
      </c>
      <c r="P2" s="1">
        <v>0.96828800000000004</v>
      </c>
    </row>
    <row r="3" spans="1:16" x14ac:dyDescent="0.25">
      <c r="A3" t="s">
        <v>16</v>
      </c>
      <c r="B3" s="15">
        <v>602904942</v>
      </c>
      <c r="C3">
        <v>889</v>
      </c>
      <c r="D3">
        <v>1611</v>
      </c>
      <c r="E3" s="1">
        <v>0.35560000000000003</v>
      </c>
      <c r="F3" s="1">
        <v>0.64439999999999997</v>
      </c>
      <c r="G3">
        <v>39</v>
      </c>
      <c r="H3">
        <v>1</v>
      </c>
      <c r="I3">
        <v>889</v>
      </c>
      <c r="J3" s="19">
        <v>1</v>
      </c>
      <c r="K3">
        <v>1</v>
      </c>
      <c r="L3">
        <v>859</v>
      </c>
      <c r="M3">
        <v>859</v>
      </c>
      <c r="N3">
        <v>859</v>
      </c>
      <c r="O3">
        <v>859</v>
      </c>
      <c r="P3" s="1">
        <v>0.96625399999999995</v>
      </c>
    </row>
    <row r="4" spans="1:16" x14ac:dyDescent="0.25">
      <c r="A4" t="s">
        <v>16</v>
      </c>
      <c r="B4" s="15">
        <v>517296696</v>
      </c>
      <c r="C4">
        <v>969</v>
      </c>
      <c r="D4">
        <v>1531</v>
      </c>
      <c r="E4" s="1">
        <v>0.3876</v>
      </c>
      <c r="F4" s="1">
        <v>0.61240000000000006</v>
      </c>
      <c r="G4">
        <v>40</v>
      </c>
      <c r="H4">
        <v>1</v>
      </c>
      <c r="I4">
        <v>969</v>
      </c>
      <c r="J4" s="19">
        <v>1</v>
      </c>
      <c r="K4">
        <v>1</v>
      </c>
      <c r="L4">
        <v>946</v>
      </c>
      <c r="M4">
        <v>946</v>
      </c>
      <c r="N4">
        <v>946</v>
      </c>
      <c r="O4">
        <v>946</v>
      </c>
      <c r="P4" s="1">
        <v>0.97626400000000002</v>
      </c>
    </row>
    <row r="5" spans="1:16" x14ac:dyDescent="0.25">
      <c r="A5" t="s">
        <v>16</v>
      </c>
      <c r="B5" s="15">
        <v>328174256</v>
      </c>
      <c r="C5">
        <v>398</v>
      </c>
      <c r="D5">
        <v>2102</v>
      </c>
      <c r="E5" s="1">
        <v>0.15920000000000001</v>
      </c>
      <c r="F5" s="1">
        <v>0.84079999999999999</v>
      </c>
      <c r="G5">
        <v>24</v>
      </c>
      <c r="H5">
        <v>1</v>
      </c>
      <c r="I5">
        <v>398</v>
      </c>
      <c r="J5" s="19">
        <v>1</v>
      </c>
      <c r="K5">
        <v>1</v>
      </c>
      <c r="L5">
        <v>385</v>
      </c>
      <c r="M5">
        <v>385</v>
      </c>
      <c r="N5">
        <v>385</v>
      </c>
      <c r="O5">
        <v>385</v>
      </c>
      <c r="P5" s="1">
        <v>0.967337</v>
      </c>
    </row>
    <row r="6" spans="1:16" x14ac:dyDescent="0.25">
      <c r="A6" t="s">
        <v>16</v>
      </c>
      <c r="B6" s="15">
        <v>50579926</v>
      </c>
      <c r="C6">
        <v>648</v>
      </c>
      <c r="D6">
        <v>1852</v>
      </c>
      <c r="E6" s="1">
        <v>0.25919999999999999</v>
      </c>
      <c r="F6" s="1">
        <v>0.74080000000000001</v>
      </c>
      <c r="G6">
        <v>41</v>
      </c>
      <c r="H6">
        <v>1</v>
      </c>
      <c r="I6">
        <v>648</v>
      </c>
      <c r="J6" s="19">
        <v>1</v>
      </c>
      <c r="K6">
        <v>1</v>
      </c>
      <c r="L6">
        <v>633</v>
      </c>
      <c r="M6">
        <v>633</v>
      </c>
      <c r="N6">
        <v>633</v>
      </c>
      <c r="O6">
        <v>633</v>
      </c>
      <c r="P6" s="1">
        <v>0.97685200000000005</v>
      </c>
    </row>
    <row r="7" spans="1:16" x14ac:dyDescent="0.25">
      <c r="A7" t="s">
        <v>16</v>
      </c>
      <c r="B7" s="15">
        <v>1746178945</v>
      </c>
      <c r="C7">
        <v>980</v>
      </c>
      <c r="D7">
        <v>1520</v>
      </c>
      <c r="E7" s="1">
        <v>0.39200000000000002</v>
      </c>
      <c r="F7" s="1">
        <v>0.60799999999999998</v>
      </c>
      <c r="G7">
        <v>49</v>
      </c>
      <c r="H7">
        <v>1</v>
      </c>
      <c r="I7">
        <v>980</v>
      </c>
      <c r="J7" s="19">
        <v>1</v>
      </c>
      <c r="K7">
        <v>1</v>
      </c>
      <c r="L7">
        <v>951</v>
      </c>
      <c r="M7">
        <v>951</v>
      </c>
      <c r="N7">
        <v>951</v>
      </c>
      <c r="O7">
        <v>951</v>
      </c>
      <c r="P7" s="1">
        <v>0.97040800000000005</v>
      </c>
    </row>
    <row r="8" spans="1:16" x14ac:dyDescent="0.25">
      <c r="A8" t="s">
        <v>16</v>
      </c>
      <c r="B8" s="15">
        <v>1384125939</v>
      </c>
      <c r="C8">
        <v>816</v>
      </c>
      <c r="D8">
        <v>1684</v>
      </c>
      <c r="E8" s="1">
        <v>0.32640000000000002</v>
      </c>
      <c r="F8" s="1">
        <v>0.67359999999999998</v>
      </c>
      <c r="G8">
        <v>49</v>
      </c>
      <c r="H8">
        <v>1</v>
      </c>
      <c r="I8">
        <v>816</v>
      </c>
      <c r="J8" s="19">
        <v>1</v>
      </c>
      <c r="K8">
        <v>1</v>
      </c>
      <c r="L8">
        <v>786</v>
      </c>
      <c r="M8">
        <v>786</v>
      </c>
      <c r="N8">
        <v>786</v>
      </c>
      <c r="O8">
        <v>786</v>
      </c>
      <c r="P8" s="1">
        <v>0.96323499999999995</v>
      </c>
    </row>
    <row r="9" spans="1:16" x14ac:dyDescent="0.25">
      <c r="A9" t="s">
        <v>16</v>
      </c>
      <c r="B9" s="15">
        <v>2026545191</v>
      </c>
      <c r="C9">
        <v>709</v>
      </c>
      <c r="D9">
        <v>1791</v>
      </c>
      <c r="E9" s="1">
        <v>0.28360000000000002</v>
      </c>
      <c r="F9" s="1">
        <v>0.71640000000000004</v>
      </c>
      <c r="G9">
        <v>31</v>
      </c>
      <c r="H9">
        <v>1</v>
      </c>
      <c r="I9">
        <v>709</v>
      </c>
      <c r="J9" s="19">
        <v>1</v>
      </c>
      <c r="K9">
        <v>1</v>
      </c>
      <c r="L9">
        <v>694</v>
      </c>
      <c r="M9">
        <v>694</v>
      </c>
      <c r="N9">
        <v>694</v>
      </c>
      <c r="O9">
        <v>694</v>
      </c>
      <c r="P9" s="1">
        <v>0.97884300000000002</v>
      </c>
    </row>
    <row r="10" spans="1:16" x14ac:dyDescent="0.25">
      <c r="A10" t="s">
        <v>16</v>
      </c>
      <c r="B10" s="15">
        <v>2086111690</v>
      </c>
      <c r="C10">
        <v>848</v>
      </c>
      <c r="D10">
        <v>1652</v>
      </c>
      <c r="E10" s="1">
        <v>0.3392</v>
      </c>
      <c r="F10" s="1">
        <v>0.66080000000000005</v>
      </c>
      <c r="G10">
        <v>44</v>
      </c>
      <c r="H10">
        <v>1</v>
      </c>
      <c r="I10">
        <v>848</v>
      </c>
      <c r="J10" s="19">
        <v>1</v>
      </c>
      <c r="K10">
        <v>1</v>
      </c>
      <c r="L10">
        <v>816</v>
      </c>
      <c r="M10">
        <v>816</v>
      </c>
      <c r="N10">
        <v>816</v>
      </c>
      <c r="O10">
        <v>816</v>
      </c>
      <c r="P10" s="1">
        <v>0.96226400000000001</v>
      </c>
    </row>
    <row r="11" spans="1:16" x14ac:dyDescent="0.25">
      <c r="A11" t="s">
        <v>16</v>
      </c>
      <c r="B11" s="15">
        <v>911448591</v>
      </c>
      <c r="C11">
        <v>656</v>
      </c>
      <c r="D11">
        <v>1844</v>
      </c>
      <c r="E11" s="1">
        <v>0.26240000000000002</v>
      </c>
      <c r="F11" s="1">
        <v>0.73760000000000003</v>
      </c>
      <c r="G11">
        <v>28</v>
      </c>
      <c r="H11">
        <v>1</v>
      </c>
      <c r="I11">
        <v>656</v>
      </c>
      <c r="J11" s="19">
        <v>1</v>
      </c>
      <c r="K11">
        <v>1</v>
      </c>
      <c r="L11">
        <v>635</v>
      </c>
      <c r="M11">
        <v>635</v>
      </c>
      <c r="N11">
        <v>635</v>
      </c>
      <c r="O11">
        <v>635</v>
      </c>
      <c r="P11" s="1">
        <v>0.96798799999999996</v>
      </c>
    </row>
    <row r="12" spans="1:16" x14ac:dyDescent="0.25">
      <c r="A12" t="s">
        <v>16</v>
      </c>
      <c r="B12" s="15">
        <v>1804521875</v>
      </c>
      <c r="C12">
        <v>1319</v>
      </c>
      <c r="D12">
        <v>1181</v>
      </c>
      <c r="E12" s="1">
        <v>0.52759999999999996</v>
      </c>
      <c r="F12" s="1">
        <v>0.47239999999999999</v>
      </c>
      <c r="G12">
        <v>77</v>
      </c>
      <c r="H12">
        <v>1</v>
      </c>
      <c r="I12">
        <v>1319</v>
      </c>
      <c r="J12" s="19">
        <v>1</v>
      </c>
      <c r="K12">
        <v>1</v>
      </c>
      <c r="L12">
        <v>1277</v>
      </c>
      <c r="M12">
        <v>1277</v>
      </c>
      <c r="N12">
        <v>1277</v>
      </c>
      <c r="O12">
        <v>1277</v>
      </c>
      <c r="P12" s="1">
        <v>0.96815799999999996</v>
      </c>
    </row>
    <row r="13" spans="1:16" x14ac:dyDescent="0.25">
      <c r="A13" t="s">
        <v>16</v>
      </c>
      <c r="B13" s="15">
        <v>382164808</v>
      </c>
      <c r="C13">
        <v>447</v>
      </c>
      <c r="D13">
        <v>2053</v>
      </c>
      <c r="E13" s="1">
        <v>0.17879999999999999</v>
      </c>
      <c r="F13" s="1">
        <v>0.82120000000000004</v>
      </c>
      <c r="G13">
        <v>27</v>
      </c>
      <c r="H13">
        <v>1</v>
      </c>
      <c r="I13">
        <v>447</v>
      </c>
      <c r="J13" s="19">
        <v>1</v>
      </c>
      <c r="K13">
        <v>1</v>
      </c>
      <c r="L13">
        <v>434</v>
      </c>
      <c r="M13">
        <v>434</v>
      </c>
      <c r="N13">
        <v>434</v>
      </c>
      <c r="O13">
        <v>434</v>
      </c>
      <c r="P13" s="1">
        <v>0.97091700000000003</v>
      </c>
    </row>
    <row r="14" spans="1:16" x14ac:dyDescent="0.25">
      <c r="A14" t="s">
        <v>16</v>
      </c>
      <c r="B14" s="15">
        <v>59043401</v>
      </c>
      <c r="C14">
        <v>639</v>
      </c>
      <c r="D14">
        <v>1861</v>
      </c>
      <c r="E14" s="1">
        <v>0.25559999999999999</v>
      </c>
      <c r="F14" s="1">
        <v>0.74439999999999995</v>
      </c>
      <c r="G14">
        <v>26</v>
      </c>
      <c r="H14">
        <v>1</v>
      </c>
      <c r="I14">
        <v>639</v>
      </c>
      <c r="J14" s="19">
        <v>1</v>
      </c>
      <c r="K14">
        <v>1</v>
      </c>
      <c r="L14">
        <v>625</v>
      </c>
      <c r="M14">
        <v>625</v>
      </c>
      <c r="N14">
        <v>625</v>
      </c>
      <c r="O14">
        <v>625</v>
      </c>
      <c r="P14" s="1">
        <v>0.97809100000000004</v>
      </c>
    </row>
    <row r="15" spans="1:16" x14ac:dyDescent="0.25">
      <c r="A15" t="s">
        <v>16</v>
      </c>
      <c r="B15" s="15">
        <v>1183249964</v>
      </c>
      <c r="C15">
        <v>419</v>
      </c>
      <c r="D15">
        <v>2081</v>
      </c>
      <c r="E15" s="1">
        <v>0.1676</v>
      </c>
      <c r="F15" s="1">
        <v>0.83240000000000003</v>
      </c>
      <c r="G15">
        <v>26</v>
      </c>
      <c r="H15">
        <v>1</v>
      </c>
      <c r="I15">
        <v>419</v>
      </c>
      <c r="J15" s="19">
        <v>1</v>
      </c>
      <c r="K15">
        <v>1</v>
      </c>
      <c r="L15">
        <v>408</v>
      </c>
      <c r="M15">
        <v>408</v>
      </c>
      <c r="N15">
        <v>408</v>
      </c>
      <c r="O15">
        <v>408</v>
      </c>
      <c r="P15" s="1">
        <v>0.97374700000000003</v>
      </c>
    </row>
    <row r="16" spans="1:16" x14ac:dyDescent="0.25">
      <c r="A16" t="s">
        <v>16</v>
      </c>
      <c r="B16" s="15">
        <v>810168391</v>
      </c>
      <c r="C16">
        <v>731</v>
      </c>
      <c r="D16">
        <v>1769</v>
      </c>
      <c r="E16" s="1">
        <v>0.29239999999999999</v>
      </c>
      <c r="F16" s="1">
        <v>0.70760000000000001</v>
      </c>
      <c r="G16">
        <v>37</v>
      </c>
      <c r="H16">
        <v>1</v>
      </c>
      <c r="I16">
        <v>731</v>
      </c>
      <c r="J16" s="19">
        <v>1</v>
      </c>
      <c r="K16">
        <v>1</v>
      </c>
      <c r="L16">
        <v>712</v>
      </c>
      <c r="M16">
        <v>712</v>
      </c>
      <c r="N16">
        <v>712</v>
      </c>
      <c r="O16">
        <v>712</v>
      </c>
      <c r="P16" s="1">
        <v>0.97400799999999998</v>
      </c>
    </row>
    <row r="17" spans="1:16" x14ac:dyDescent="0.25">
      <c r="A17" t="s">
        <v>16</v>
      </c>
      <c r="B17" s="15">
        <v>923741444</v>
      </c>
      <c r="C17">
        <v>853</v>
      </c>
      <c r="D17">
        <v>1647</v>
      </c>
      <c r="E17" s="1">
        <v>0.3412</v>
      </c>
      <c r="F17" s="1">
        <v>0.65880000000000005</v>
      </c>
      <c r="G17">
        <v>49</v>
      </c>
      <c r="H17">
        <v>1</v>
      </c>
      <c r="I17">
        <v>853</v>
      </c>
      <c r="J17" s="19">
        <v>1</v>
      </c>
      <c r="K17">
        <v>1</v>
      </c>
      <c r="L17">
        <v>826</v>
      </c>
      <c r="M17">
        <v>826</v>
      </c>
      <c r="N17">
        <v>826</v>
      </c>
      <c r="O17">
        <v>826</v>
      </c>
      <c r="P17" s="1">
        <v>0.96834699999999996</v>
      </c>
    </row>
    <row r="18" spans="1:16" x14ac:dyDescent="0.25">
      <c r="A18" t="s">
        <v>16</v>
      </c>
      <c r="B18" s="15">
        <v>1354277874</v>
      </c>
      <c r="C18">
        <v>491</v>
      </c>
      <c r="D18">
        <v>2009</v>
      </c>
      <c r="E18" s="1">
        <v>0.19639999999999999</v>
      </c>
      <c r="F18" s="1">
        <v>0.80359999999999998</v>
      </c>
      <c r="G18">
        <v>24</v>
      </c>
      <c r="H18">
        <v>1</v>
      </c>
      <c r="I18">
        <v>491</v>
      </c>
      <c r="J18" s="19">
        <v>1</v>
      </c>
      <c r="K18">
        <v>1</v>
      </c>
      <c r="L18">
        <v>479</v>
      </c>
      <c r="M18">
        <v>479</v>
      </c>
      <c r="N18">
        <v>479</v>
      </c>
      <c r="O18">
        <v>479</v>
      </c>
      <c r="P18" s="1">
        <v>0.97555999999999998</v>
      </c>
    </row>
    <row r="19" spans="1:16" x14ac:dyDescent="0.25">
      <c r="A19" t="s">
        <v>16</v>
      </c>
      <c r="B19" s="15">
        <v>180011123</v>
      </c>
      <c r="C19">
        <v>774</v>
      </c>
      <c r="D19">
        <v>1726</v>
      </c>
      <c r="E19" s="1">
        <v>0.30959999999999999</v>
      </c>
      <c r="F19" s="1">
        <v>0.69040000000000001</v>
      </c>
      <c r="G19">
        <v>35</v>
      </c>
      <c r="H19">
        <v>1</v>
      </c>
      <c r="I19">
        <v>774</v>
      </c>
      <c r="J19" s="19">
        <v>1</v>
      </c>
      <c r="K19">
        <v>1</v>
      </c>
      <c r="L19">
        <v>753</v>
      </c>
      <c r="M19">
        <v>753</v>
      </c>
      <c r="N19">
        <v>753</v>
      </c>
      <c r="O19">
        <v>753</v>
      </c>
      <c r="P19" s="1">
        <v>0.97286799999999996</v>
      </c>
    </row>
    <row r="20" spans="1:16" x14ac:dyDescent="0.25">
      <c r="A20" t="s">
        <v>16</v>
      </c>
      <c r="B20" s="15">
        <v>1152757672</v>
      </c>
      <c r="C20">
        <v>917</v>
      </c>
      <c r="D20">
        <v>1583</v>
      </c>
      <c r="E20" s="1">
        <v>0.36680000000000001</v>
      </c>
      <c r="F20" s="1">
        <v>0.63319999999999999</v>
      </c>
      <c r="G20">
        <v>43</v>
      </c>
      <c r="H20">
        <v>1</v>
      </c>
      <c r="I20">
        <v>917</v>
      </c>
      <c r="J20" s="19">
        <v>1</v>
      </c>
      <c r="K20">
        <v>1</v>
      </c>
      <c r="L20">
        <v>885</v>
      </c>
      <c r="M20">
        <v>885</v>
      </c>
      <c r="N20">
        <v>885</v>
      </c>
      <c r="O20">
        <v>885</v>
      </c>
      <c r="P20" s="1">
        <v>0.96510399999999996</v>
      </c>
    </row>
    <row r="21" spans="1:16" x14ac:dyDescent="0.25">
      <c r="A21" t="s">
        <v>16</v>
      </c>
      <c r="B21" s="15">
        <v>908633861</v>
      </c>
      <c r="C21">
        <v>954</v>
      </c>
      <c r="D21">
        <v>1546</v>
      </c>
      <c r="E21" s="1">
        <v>0.38159999999999999</v>
      </c>
      <c r="F21" s="1">
        <v>0.61839999999999995</v>
      </c>
      <c r="G21">
        <v>51</v>
      </c>
      <c r="H21">
        <v>1</v>
      </c>
      <c r="I21">
        <v>954</v>
      </c>
      <c r="J21" s="19">
        <v>1</v>
      </c>
      <c r="K21">
        <v>1</v>
      </c>
      <c r="L21">
        <v>924</v>
      </c>
      <c r="M21">
        <v>924</v>
      </c>
      <c r="N21">
        <v>924</v>
      </c>
      <c r="O21">
        <v>924</v>
      </c>
      <c r="P21" s="1">
        <v>0.968553</v>
      </c>
    </row>
    <row r="22" spans="1:16" x14ac:dyDescent="0.25">
      <c r="A22" t="s">
        <v>16</v>
      </c>
      <c r="B22" s="15">
        <v>1814236692</v>
      </c>
      <c r="C22">
        <v>668</v>
      </c>
      <c r="D22">
        <v>1832</v>
      </c>
      <c r="E22" s="1">
        <v>0.26719999999999999</v>
      </c>
      <c r="F22" s="1">
        <v>0.73280000000000001</v>
      </c>
      <c r="G22">
        <v>39</v>
      </c>
      <c r="H22">
        <v>1</v>
      </c>
      <c r="I22">
        <v>668</v>
      </c>
      <c r="J22" s="19">
        <v>1</v>
      </c>
      <c r="K22">
        <v>1</v>
      </c>
      <c r="L22">
        <v>648</v>
      </c>
      <c r="M22">
        <v>648</v>
      </c>
      <c r="N22">
        <v>648</v>
      </c>
      <c r="O22">
        <v>648</v>
      </c>
      <c r="P22" s="1">
        <v>0.97006000000000003</v>
      </c>
    </row>
    <row r="23" spans="1:16" x14ac:dyDescent="0.25">
      <c r="A23" t="s">
        <v>16</v>
      </c>
      <c r="B23" s="15">
        <v>120365966</v>
      </c>
      <c r="C23">
        <v>901</v>
      </c>
      <c r="D23">
        <v>1599</v>
      </c>
      <c r="E23" s="1">
        <v>0.3604</v>
      </c>
      <c r="F23" s="1">
        <v>0.63959999999999995</v>
      </c>
      <c r="G23">
        <v>44</v>
      </c>
      <c r="H23">
        <v>1</v>
      </c>
      <c r="I23">
        <v>901</v>
      </c>
      <c r="J23" s="19">
        <v>1</v>
      </c>
      <c r="K23">
        <v>1</v>
      </c>
      <c r="L23">
        <v>870</v>
      </c>
      <c r="M23">
        <v>870</v>
      </c>
      <c r="N23">
        <v>870</v>
      </c>
      <c r="O23">
        <v>870</v>
      </c>
      <c r="P23" s="1">
        <v>0.96559399999999995</v>
      </c>
    </row>
    <row r="24" spans="1:16" x14ac:dyDescent="0.25">
      <c r="A24" t="s">
        <v>16</v>
      </c>
      <c r="B24" s="15">
        <v>2048066359</v>
      </c>
      <c r="C24">
        <v>822</v>
      </c>
      <c r="D24">
        <v>1678</v>
      </c>
      <c r="E24" s="1">
        <v>0.32879999999999998</v>
      </c>
      <c r="F24" s="1">
        <v>0.67120000000000002</v>
      </c>
      <c r="G24">
        <v>56</v>
      </c>
      <c r="H24">
        <v>1</v>
      </c>
      <c r="I24">
        <v>822</v>
      </c>
      <c r="J24" s="19">
        <v>1</v>
      </c>
      <c r="K24">
        <v>1</v>
      </c>
      <c r="L24">
        <v>792</v>
      </c>
      <c r="M24">
        <v>792</v>
      </c>
      <c r="N24">
        <v>792</v>
      </c>
      <c r="O24">
        <v>792</v>
      </c>
      <c r="P24" s="1">
        <v>0.96350400000000003</v>
      </c>
    </row>
    <row r="25" spans="1:16" x14ac:dyDescent="0.25">
      <c r="A25" t="s">
        <v>16</v>
      </c>
      <c r="B25" s="15">
        <v>1482682016</v>
      </c>
      <c r="C25">
        <v>860</v>
      </c>
      <c r="D25">
        <v>1640</v>
      </c>
      <c r="E25" s="1">
        <v>0.34399999999999997</v>
      </c>
      <c r="F25" s="1">
        <v>0.65600000000000003</v>
      </c>
      <c r="G25">
        <v>48</v>
      </c>
      <c r="H25">
        <v>1</v>
      </c>
      <c r="I25">
        <v>860</v>
      </c>
      <c r="J25" s="19">
        <v>1</v>
      </c>
      <c r="K25">
        <v>1</v>
      </c>
      <c r="L25">
        <v>834</v>
      </c>
      <c r="M25">
        <v>834</v>
      </c>
      <c r="N25">
        <v>834</v>
      </c>
      <c r="O25">
        <v>834</v>
      </c>
      <c r="P25" s="1">
        <v>0.96976700000000005</v>
      </c>
    </row>
    <row r="26" spans="1:16" x14ac:dyDescent="0.25">
      <c r="A26" t="s">
        <v>16</v>
      </c>
      <c r="B26" s="15">
        <v>860396083</v>
      </c>
      <c r="C26">
        <v>533</v>
      </c>
      <c r="D26">
        <v>1967</v>
      </c>
      <c r="E26" s="1">
        <v>0.2132</v>
      </c>
      <c r="F26" s="1">
        <v>0.78680000000000005</v>
      </c>
      <c r="G26">
        <v>32</v>
      </c>
      <c r="H26">
        <v>1</v>
      </c>
      <c r="I26">
        <v>533</v>
      </c>
      <c r="J26" s="19">
        <v>1</v>
      </c>
      <c r="K26">
        <v>1</v>
      </c>
      <c r="L26">
        <v>516</v>
      </c>
      <c r="M26">
        <v>516</v>
      </c>
      <c r="N26">
        <v>516</v>
      </c>
      <c r="O26">
        <v>516</v>
      </c>
      <c r="P26" s="1">
        <v>0.96810499999999999</v>
      </c>
    </row>
    <row r="27" spans="1:16" x14ac:dyDescent="0.25">
      <c r="A27" t="s">
        <v>16</v>
      </c>
      <c r="B27" s="15">
        <v>802828061</v>
      </c>
      <c r="C27">
        <v>677</v>
      </c>
      <c r="D27">
        <v>1823</v>
      </c>
      <c r="E27" s="1">
        <v>0.27079999999999999</v>
      </c>
      <c r="F27" s="1">
        <v>0.72919999999999996</v>
      </c>
      <c r="G27">
        <v>49</v>
      </c>
      <c r="H27">
        <v>1</v>
      </c>
      <c r="I27">
        <v>677</v>
      </c>
      <c r="J27" s="19">
        <v>1</v>
      </c>
      <c r="K27">
        <v>1</v>
      </c>
      <c r="L27">
        <v>652</v>
      </c>
      <c r="M27">
        <v>652</v>
      </c>
      <c r="N27">
        <v>652</v>
      </c>
      <c r="O27">
        <v>652</v>
      </c>
      <c r="P27" s="1">
        <v>0.96307200000000004</v>
      </c>
    </row>
    <row r="28" spans="1:16" x14ac:dyDescent="0.25">
      <c r="A28" t="s">
        <v>16</v>
      </c>
      <c r="B28" s="15">
        <v>797342520</v>
      </c>
      <c r="C28">
        <v>1044</v>
      </c>
      <c r="D28">
        <v>1456</v>
      </c>
      <c r="E28" s="1">
        <v>0.41760000000000003</v>
      </c>
      <c r="F28" s="1">
        <v>0.58240000000000003</v>
      </c>
      <c r="G28">
        <v>45</v>
      </c>
      <c r="H28">
        <v>1</v>
      </c>
      <c r="I28">
        <v>1044</v>
      </c>
      <c r="J28" s="19">
        <v>1</v>
      </c>
      <c r="K28">
        <v>1</v>
      </c>
      <c r="L28">
        <v>1007</v>
      </c>
      <c r="M28">
        <v>1007</v>
      </c>
      <c r="N28">
        <v>1007</v>
      </c>
      <c r="O28">
        <v>1007</v>
      </c>
      <c r="P28" s="1">
        <v>0.96455900000000006</v>
      </c>
    </row>
    <row r="29" spans="1:16" x14ac:dyDescent="0.25">
      <c r="A29" t="s">
        <v>16</v>
      </c>
      <c r="B29" s="15">
        <v>1668366134</v>
      </c>
      <c r="C29">
        <v>567</v>
      </c>
      <c r="D29">
        <v>1933</v>
      </c>
      <c r="E29" s="1">
        <v>0.2268</v>
      </c>
      <c r="F29" s="1">
        <v>0.7732</v>
      </c>
      <c r="G29">
        <v>37</v>
      </c>
      <c r="H29">
        <v>1</v>
      </c>
      <c r="I29">
        <v>567</v>
      </c>
      <c r="J29" s="19">
        <v>1</v>
      </c>
      <c r="K29">
        <v>1</v>
      </c>
      <c r="L29">
        <v>556</v>
      </c>
      <c r="M29">
        <v>556</v>
      </c>
      <c r="N29">
        <v>556</v>
      </c>
      <c r="O29">
        <v>556</v>
      </c>
      <c r="P29" s="1">
        <v>0.98060000000000003</v>
      </c>
    </row>
    <row r="30" spans="1:16" x14ac:dyDescent="0.25">
      <c r="A30" t="s">
        <v>16</v>
      </c>
      <c r="B30" s="15">
        <v>1686146138</v>
      </c>
      <c r="C30">
        <v>793</v>
      </c>
      <c r="D30">
        <v>1707</v>
      </c>
      <c r="E30" s="1">
        <v>0.31719999999999998</v>
      </c>
      <c r="F30" s="1">
        <v>0.68279999999999996</v>
      </c>
      <c r="G30">
        <v>49</v>
      </c>
      <c r="H30">
        <v>1</v>
      </c>
      <c r="I30">
        <v>793</v>
      </c>
      <c r="J30" s="19">
        <v>1</v>
      </c>
      <c r="K30">
        <v>1</v>
      </c>
      <c r="L30">
        <v>771</v>
      </c>
      <c r="M30">
        <v>771</v>
      </c>
      <c r="N30">
        <v>771</v>
      </c>
      <c r="O30">
        <v>771</v>
      </c>
      <c r="P30" s="1">
        <v>0.97225700000000004</v>
      </c>
    </row>
    <row r="31" spans="1:16" x14ac:dyDescent="0.25">
      <c r="A31" t="s">
        <v>16</v>
      </c>
      <c r="B31" s="15">
        <v>1661658313</v>
      </c>
      <c r="C31">
        <v>674</v>
      </c>
      <c r="D31">
        <v>1826</v>
      </c>
      <c r="E31" s="1">
        <v>0.26960000000000001</v>
      </c>
      <c r="F31" s="1">
        <v>0.73040000000000005</v>
      </c>
      <c r="G31">
        <v>32</v>
      </c>
      <c r="H31">
        <v>1</v>
      </c>
      <c r="I31">
        <v>674</v>
      </c>
      <c r="J31" s="19">
        <v>1</v>
      </c>
      <c r="K31">
        <v>1</v>
      </c>
      <c r="L31">
        <v>659</v>
      </c>
      <c r="M31">
        <v>659</v>
      </c>
      <c r="N31">
        <v>659</v>
      </c>
      <c r="O31">
        <v>659</v>
      </c>
      <c r="P31" s="1">
        <v>0.97774499999999998</v>
      </c>
    </row>
    <row r="32" spans="1:16" x14ac:dyDescent="0.25">
      <c r="A32" t="s">
        <v>16</v>
      </c>
      <c r="B32" s="15">
        <v>828862395</v>
      </c>
      <c r="C32">
        <v>1024</v>
      </c>
      <c r="D32">
        <v>1476</v>
      </c>
      <c r="E32" s="1">
        <v>0.40960000000000002</v>
      </c>
      <c r="F32" s="1">
        <v>0.59040000000000004</v>
      </c>
      <c r="G32">
        <v>56</v>
      </c>
      <c r="H32">
        <v>1</v>
      </c>
      <c r="I32">
        <v>1024</v>
      </c>
      <c r="J32" s="19">
        <v>1</v>
      </c>
      <c r="K32">
        <v>2</v>
      </c>
      <c r="L32">
        <v>491.5</v>
      </c>
      <c r="M32">
        <v>923</v>
      </c>
      <c r="N32">
        <v>60</v>
      </c>
      <c r="O32">
        <v>983</v>
      </c>
      <c r="P32" s="1">
        <v>0.95996099999999995</v>
      </c>
    </row>
    <row r="33" spans="1:16" x14ac:dyDescent="0.25">
      <c r="A33" t="s">
        <v>16</v>
      </c>
      <c r="B33" s="15">
        <v>857811157</v>
      </c>
      <c r="C33">
        <v>792</v>
      </c>
      <c r="D33">
        <v>1708</v>
      </c>
      <c r="E33" s="1">
        <v>0.31680000000000003</v>
      </c>
      <c r="F33" s="1">
        <v>0.68320000000000003</v>
      </c>
      <c r="G33">
        <v>33</v>
      </c>
      <c r="H33">
        <v>1</v>
      </c>
      <c r="I33">
        <v>792</v>
      </c>
      <c r="J33" s="19">
        <v>1</v>
      </c>
      <c r="K33">
        <v>1</v>
      </c>
      <c r="L33">
        <v>772</v>
      </c>
      <c r="M33">
        <v>772</v>
      </c>
      <c r="N33">
        <v>772</v>
      </c>
      <c r="O33">
        <v>772</v>
      </c>
      <c r="P33" s="1">
        <v>0.97474700000000003</v>
      </c>
    </row>
    <row r="34" spans="1:16" x14ac:dyDescent="0.25">
      <c r="A34" t="s">
        <v>16</v>
      </c>
      <c r="B34" s="15">
        <v>120980911</v>
      </c>
      <c r="C34">
        <v>1027</v>
      </c>
      <c r="D34">
        <v>1473</v>
      </c>
      <c r="E34" s="1">
        <v>0.4108</v>
      </c>
      <c r="F34" s="1">
        <v>0.58919999999999995</v>
      </c>
      <c r="G34">
        <v>49</v>
      </c>
      <c r="H34">
        <v>1</v>
      </c>
      <c r="I34">
        <v>1027</v>
      </c>
      <c r="J34" s="19">
        <v>1</v>
      </c>
      <c r="K34">
        <v>1</v>
      </c>
      <c r="L34">
        <v>991</v>
      </c>
      <c r="M34">
        <v>991</v>
      </c>
      <c r="N34">
        <v>991</v>
      </c>
      <c r="O34">
        <v>991</v>
      </c>
      <c r="P34" s="1">
        <v>0.96494599999999997</v>
      </c>
    </row>
    <row r="35" spans="1:16" x14ac:dyDescent="0.25">
      <c r="A35" t="s">
        <v>16</v>
      </c>
      <c r="B35" s="15">
        <v>139365063</v>
      </c>
      <c r="C35">
        <v>947</v>
      </c>
      <c r="D35">
        <v>1553</v>
      </c>
      <c r="E35" s="1">
        <v>0.37880000000000003</v>
      </c>
      <c r="F35" s="1">
        <v>0.62119999999999997</v>
      </c>
      <c r="G35">
        <v>43</v>
      </c>
      <c r="H35">
        <v>1</v>
      </c>
      <c r="I35">
        <v>947</v>
      </c>
      <c r="J35" s="19">
        <v>1</v>
      </c>
      <c r="K35">
        <v>1</v>
      </c>
      <c r="L35">
        <v>920</v>
      </c>
      <c r="M35">
        <v>920</v>
      </c>
      <c r="N35">
        <v>920</v>
      </c>
      <c r="O35">
        <v>920</v>
      </c>
      <c r="P35" s="1">
        <v>0.97148900000000005</v>
      </c>
    </row>
    <row r="36" spans="1:16" x14ac:dyDescent="0.25">
      <c r="A36" t="s">
        <v>16</v>
      </c>
      <c r="B36" s="15">
        <v>265982863</v>
      </c>
      <c r="C36">
        <v>565</v>
      </c>
      <c r="D36">
        <v>1935</v>
      </c>
      <c r="E36" s="1">
        <v>0.22600000000000001</v>
      </c>
      <c r="F36" s="1">
        <v>0.77400000000000002</v>
      </c>
      <c r="G36">
        <v>25</v>
      </c>
      <c r="H36">
        <v>1</v>
      </c>
      <c r="I36">
        <v>565</v>
      </c>
      <c r="J36" s="19">
        <v>1</v>
      </c>
      <c r="K36">
        <v>1</v>
      </c>
      <c r="L36">
        <v>549</v>
      </c>
      <c r="M36">
        <v>549</v>
      </c>
      <c r="N36">
        <v>549</v>
      </c>
      <c r="O36">
        <v>549</v>
      </c>
      <c r="P36" s="1">
        <v>0.97168100000000002</v>
      </c>
    </row>
    <row r="37" spans="1:16" x14ac:dyDescent="0.25">
      <c r="A37" t="s">
        <v>16</v>
      </c>
      <c r="B37" s="15">
        <v>832059681</v>
      </c>
      <c r="C37">
        <v>813</v>
      </c>
      <c r="D37">
        <v>1687</v>
      </c>
      <c r="E37" s="1">
        <v>0.32519999999999999</v>
      </c>
      <c r="F37" s="1">
        <v>0.67479999999999996</v>
      </c>
      <c r="G37">
        <v>36</v>
      </c>
      <c r="H37">
        <v>1</v>
      </c>
      <c r="I37">
        <v>813</v>
      </c>
      <c r="J37" s="19">
        <v>1</v>
      </c>
      <c r="K37">
        <v>1</v>
      </c>
      <c r="L37">
        <v>792</v>
      </c>
      <c r="M37">
        <v>792</v>
      </c>
      <c r="N37">
        <v>792</v>
      </c>
      <c r="O37">
        <v>792</v>
      </c>
      <c r="P37" s="1">
        <v>0.97416999999999998</v>
      </c>
    </row>
    <row r="38" spans="1:16" x14ac:dyDescent="0.25">
      <c r="A38" t="s">
        <v>16</v>
      </c>
      <c r="B38" s="15">
        <v>391507291</v>
      </c>
      <c r="C38">
        <v>686</v>
      </c>
      <c r="D38">
        <v>1814</v>
      </c>
      <c r="E38" s="1">
        <v>0.27439999999999998</v>
      </c>
      <c r="F38" s="1">
        <v>0.72560000000000002</v>
      </c>
      <c r="G38">
        <v>50</v>
      </c>
      <c r="H38">
        <v>1</v>
      </c>
      <c r="I38">
        <v>686</v>
      </c>
      <c r="J38" s="19">
        <v>1</v>
      </c>
      <c r="K38">
        <v>1</v>
      </c>
      <c r="L38">
        <v>666</v>
      </c>
      <c r="M38">
        <v>666</v>
      </c>
      <c r="N38">
        <v>666</v>
      </c>
      <c r="O38">
        <v>666</v>
      </c>
      <c r="P38" s="1">
        <v>0.97084499999999996</v>
      </c>
    </row>
    <row r="39" spans="1:16" x14ac:dyDescent="0.25">
      <c r="A39" t="s">
        <v>16</v>
      </c>
      <c r="B39" s="15">
        <v>1950459417</v>
      </c>
      <c r="C39">
        <v>380</v>
      </c>
      <c r="D39">
        <v>2120</v>
      </c>
      <c r="E39" s="1">
        <v>0.152</v>
      </c>
      <c r="F39" s="1">
        <v>0.84799999999999998</v>
      </c>
      <c r="G39">
        <v>28</v>
      </c>
      <c r="H39">
        <v>1</v>
      </c>
      <c r="I39">
        <v>380</v>
      </c>
      <c r="J39" s="19">
        <v>1</v>
      </c>
      <c r="K39">
        <v>1</v>
      </c>
      <c r="L39">
        <v>368</v>
      </c>
      <c r="M39">
        <v>368</v>
      </c>
      <c r="N39">
        <v>368</v>
      </c>
      <c r="O39">
        <v>368</v>
      </c>
      <c r="P39" s="1">
        <v>0.96842099999999998</v>
      </c>
    </row>
    <row r="40" spans="1:16" x14ac:dyDescent="0.25">
      <c r="A40" t="s">
        <v>16</v>
      </c>
      <c r="B40" s="15">
        <v>413091601</v>
      </c>
      <c r="C40">
        <v>1053</v>
      </c>
      <c r="D40">
        <v>1447</v>
      </c>
      <c r="E40" s="1">
        <v>0.42120000000000002</v>
      </c>
      <c r="F40" s="1">
        <v>0.57879999999999998</v>
      </c>
      <c r="G40">
        <v>49</v>
      </c>
      <c r="H40">
        <v>1</v>
      </c>
      <c r="I40">
        <v>1053</v>
      </c>
      <c r="J40" s="19">
        <v>1</v>
      </c>
      <c r="K40">
        <v>1</v>
      </c>
      <c r="L40">
        <v>1016</v>
      </c>
      <c r="M40">
        <v>1016</v>
      </c>
      <c r="N40">
        <v>1016</v>
      </c>
      <c r="O40">
        <v>1016</v>
      </c>
      <c r="P40" s="1">
        <v>0.964862</v>
      </c>
    </row>
    <row r="41" spans="1:16" x14ac:dyDescent="0.25">
      <c r="A41" t="s">
        <v>16</v>
      </c>
      <c r="B41" s="15">
        <v>2065463944</v>
      </c>
      <c r="C41">
        <v>945</v>
      </c>
      <c r="D41">
        <v>1555</v>
      </c>
      <c r="E41" s="1">
        <v>0.378</v>
      </c>
      <c r="F41" s="1">
        <v>0.622</v>
      </c>
      <c r="G41">
        <v>31</v>
      </c>
      <c r="H41">
        <v>1</v>
      </c>
      <c r="I41">
        <v>945</v>
      </c>
      <c r="J41" s="19">
        <v>1</v>
      </c>
      <c r="K41">
        <v>1</v>
      </c>
      <c r="L41">
        <v>916</v>
      </c>
      <c r="M41">
        <v>916</v>
      </c>
      <c r="N41">
        <v>916</v>
      </c>
      <c r="O41">
        <v>916</v>
      </c>
      <c r="P41" s="1">
        <v>0.96931199999999995</v>
      </c>
    </row>
    <row r="42" spans="1:16" x14ac:dyDescent="0.25">
      <c r="A42" t="s">
        <v>16</v>
      </c>
      <c r="B42" s="15">
        <v>469443260</v>
      </c>
      <c r="C42">
        <v>862</v>
      </c>
      <c r="D42">
        <v>1638</v>
      </c>
      <c r="E42" s="1">
        <v>0.3448</v>
      </c>
      <c r="F42" s="1">
        <v>0.6552</v>
      </c>
      <c r="G42">
        <v>43</v>
      </c>
      <c r="H42">
        <v>1</v>
      </c>
      <c r="I42">
        <v>862</v>
      </c>
      <c r="J42" s="19">
        <v>1</v>
      </c>
      <c r="K42">
        <v>1</v>
      </c>
      <c r="L42">
        <v>836</v>
      </c>
      <c r="M42">
        <v>836</v>
      </c>
      <c r="N42">
        <v>836</v>
      </c>
      <c r="O42">
        <v>836</v>
      </c>
      <c r="P42" s="1">
        <v>0.96983799999999998</v>
      </c>
    </row>
    <row r="43" spans="1:16" x14ac:dyDescent="0.25">
      <c r="A43" t="s">
        <v>16</v>
      </c>
      <c r="B43" s="15">
        <v>1951131133</v>
      </c>
      <c r="C43">
        <v>1052</v>
      </c>
      <c r="D43">
        <v>1448</v>
      </c>
      <c r="E43" s="1">
        <v>0.42080000000000001</v>
      </c>
      <c r="F43" s="1">
        <v>0.57920000000000005</v>
      </c>
      <c r="G43">
        <v>44</v>
      </c>
      <c r="H43">
        <v>1</v>
      </c>
      <c r="I43">
        <v>1052</v>
      </c>
      <c r="J43" s="19">
        <v>1</v>
      </c>
      <c r="K43">
        <v>1</v>
      </c>
      <c r="L43">
        <v>1026</v>
      </c>
      <c r="M43">
        <v>1026</v>
      </c>
      <c r="N43">
        <v>1026</v>
      </c>
      <c r="O43">
        <v>1026</v>
      </c>
      <c r="P43" s="1">
        <v>0.97528499999999996</v>
      </c>
    </row>
    <row r="44" spans="1:16" x14ac:dyDescent="0.25">
      <c r="A44" t="s">
        <v>16</v>
      </c>
      <c r="B44" s="15">
        <v>204417222</v>
      </c>
      <c r="C44">
        <v>435</v>
      </c>
      <c r="D44">
        <v>2065</v>
      </c>
      <c r="E44" s="1">
        <v>0.17399999999999999</v>
      </c>
      <c r="F44" s="1">
        <v>0.82599999999999996</v>
      </c>
      <c r="G44">
        <v>29</v>
      </c>
      <c r="H44">
        <v>1</v>
      </c>
      <c r="I44">
        <v>435</v>
      </c>
      <c r="J44" s="19">
        <v>1</v>
      </c>
      <c r="K44">
        <v>1</v>
      </c>
      <c r="L44">
        <v>423</v>
      </c>
      <c r="M44">
        <v>423</v>
      </c>
      <c r="N44">
        <v>423</v>
      </c>
      <c r="O44">
        <v>423</v>
      </c>
      <c r="P44" s="1">
        <v>0.972414</v>
      </c>
    </row>
    <row r="45" spans="1:16" x14ac:dyDescent="0.25">
      <c r="A45" t="s">
        <v>16</v>
      </c>
      <c r="B45" s="15">
        <v>628799634</v>
      </c>
      <c r="C45">
        <v>850</v>
      </c>
      <c r="D45">
        <v>1650</v>
      </c>
      <c r="E45" s="1">
        <v>0.34</v>
      </c>
      <c r="F45" s="1">
        <v>0.66</v>
      </c>
      <c r="G45">
        <v>41</v>
      </c>
      <c r="H45">
        <v>1</v>
      </c>
      <c r="I45">
        <v>850</v>
      </c>
      <c r="J45" s="19">
        <v>1</v>
      </c>
      <c r="K45">
        <v>1</v>
      </c>
      <c r="L45">
        <v>819</v>
      </c>
      <c r="M45">
        <v>819</v>
      </c>
      <c r="N45">
        <v>819</v>
      </c>
      <c r="O45">
        <v>819</v>
      </c>
      <c r="P45" s="1">
        <v>0.96352899999999997</v>
      </c>
    </row>
    <row r="46" spans="1:16" x14ac:dyDescent="0.25">
      <c r="A46" t="s">
        <v>16</v>
      </c>
      <c r="B46" s="15">
        <v>618137655</v>
      </c>
      <c r="C46">
        <v>716</v>
      </c>
      <c r="D46">
        <v>1784</v>
      </c>
      <c r="E46" s="1">
        <v>0.28639999999999999</v>
      </c>
      <c r="F46" s="1">
        <v>0.71360000000000001</v>
      </c>
      <c r="G46">
        <v>38</v>
      </c>
      <c r="H46">
        <v>1</v>
      </c>
      <c r="I46">
        <v>716</v>
      </c>
      <c r="J46" s="19">
        <v>1</v>
      </c>
      <c r="K46">
        <v>1</v>
      </c>
      <c r="L46">
        <v>696</v>
      </c>
      <c r="M46">
        <v>696</v>
      </c>
      <c r="N46">
        <v>696</v>
      </c>
      <c r="O46">
        <v>696</v>
      </c>
      <c r="P46" s="1">
        <v>0.97206700000000001</v>
      </c>
    </row>
    <row r="47" spans="1:16" x14ac:dyDescent="0.25">
      <c r="A47" t="s">
        <v>16</v>
      </c>
      <c r="B47" s="15">
        <v>1746846046</v>
      </c>
      <c r="C47">
        <v>928</v>
      </c>
      <c r="D47">
        <v>1572</v>
      </c>
      <c r="E47" s="1">
        <v>0.37119999999999997</v>
      </c>
      <c r="F47" s="1">
        <v>0.62880000000000003</v>
      </c>
      <c r="G47">
        <v>40</v>
      </c>
      <c r="H47">
        <v>1</v>
      </c>
      <c r="I47">
        <v>928</v>
      </c>
      <c r="J47" s="19">
        <v>1</v>
      </c>
      <c r="K47">
        <v>1</v>
      </c>
      <c r="L47">
        <v>902</v>
      </c>
      <c r="M47">
        <v>902</v>
      </c>
      <c r="N47">
        <v>902</v>
      </c>
      <c r="O47">
        <v>902</v>
      </c>
      <c r="P47" s="1">
        <v>0.97198300000000004</v>
      </c>
    </row>
    <row r="48" spans="1:16" x14ac:dyDescent="0.25">
      <c r="A48" t="s">
        <v>16</v>
      </c>
      <c r="B48" s="15">
        <v>200559681</v>
      </c>
      <c r="C48">
        <v>1018</v>
      </c>
      <c r="D48">
        <v>1482</v>
      </c>
      <c r="E48" s="1">
        <v>0.40720000000000001</v>
      </c>
      <c r="F48" s="1">
        <v>0.59279999999999999</v>
      </c>
      <c r="G48">
        <v>51</v>
      </c>
      <c r="H48">
        <v>1</v>
      </c>
      <c r="I48">
        <v>1018</v>
      </c>
      <c r="J48" s="19">
        <v>1</v>
      </c>
      <c r="K48">
        <v>1</v>
      </c>
      <c r="L48">
        <v>983</v>
      </c>
      <c r="M48">
        <v>983</v>
      </c>
      <c r="N48">
        <v>983</v>
      </c>
      <c r="O48">
        <v>983</v>
      </c>
      <c r="P48" s="1">
        <v>0.96561900000000001</v>
      </c>
    </row>
    <row r="49" spans="1:16" x14ac:dyDescent="0.25">
      <c r="A49" t="s">
        <v>16</v>
      </c>
      <c r="B49" s="15">
        <v>277080523</v>
      </c>
      <c r="C49">
        <v>763</v>
      </c>
      <c r="D49">
        <v>1737</v>
      </c>
      <c r="E49" s="1">
        <v>0.30520000000000003</v>
      </c>
      <c r="F49" s="1">
        <v>0.69479999999999997</v>
      </c>
      <c r="G49">
        <v>42</v>
      </c>
      <c r="H49">
        <v>1</v>
      </c>
      <c r="I49">
        <v>763</v>
      </c>
      <c r="J49" s="19">
        <v>1</v>
      </c>
      <c r="K49">
        <v>1</v>
      </c>
      <c r="L49">
        <v>738</v>
      </c>
      <c r="M49">
        <v>738</v>
      </c>
      <c r="N49">
        <v>738</v>
      </c>
      <c r="O49">
        <v>738</v>
      </c>
      <c r="P49" s="1">
        <v>0.96723499999999996</v>
      </c>
    </row>
    <row r="50" spans="1:16" x14ac:dyDescent="0.25">
      <c r="A50" t="s">
        <v>16</v>
      </c>
      <c r="B50" s="15">
        <v>1323904110</v>
      </c>
      <c r="C50">
        <v>830</v>
      </c>
      <c r="D50">
        <v>1670</v>
      </c>
      <c r="E50" s="1">
        <v>0.33200000000000002</v>
      </c>
      <c r="F50" s="1">
        <v>0.66800000000000004</v>
      </c>
      <c r="G50">
        <v>33</v>
      </c>
      <c r="H50">
        <v>1</v>
      </c>
      <c r="I50">
        <v>830</v>
      </c>
      <c r="J50" s="19">
        <v>1</v>
      </c>
      <c r="K50">
        <v>1</v>
      </c>
      <c r="L50">
        <v>810</v>
      </c>
      <c r="M50">
        <v>810</v>
      </c>
      <c r="N50">
        <v>810</v>
      </c>
      <c r="O50">
        <v>810</v>
      </c>
      <c r="P50" s="1">
        <v>0.97590399999999999</v>
      </c>
    </row>
    <row r="51" spans="1:16" x14ac:dyDescent="0.25">
      <c r="A51" t="s">
        <v>16</v>
      </c>
      <c r="B51" s="15">
        <v>579946588</v>
      </c>
      <c r="C51">
        <v>1198</v>
      </c>
      <c r="D51">
        <v>1302</v>
      </c>
      <c r="E51" s="1">
        <v>0.47920000000000001</v>
      </c>
      <c r="F51" s="1">
        <v>0.52080000000000004</v>
      </c>
      <c r="G51">
        <v>46</v>
      </c>
      <c r="H51">
        <v>1</v>
      </c>
      <c r="I51">
        <v>1198</v>
      </c>
      <c r="J51" s="19">
        <v>1</v>
      </c>
      <c r="K51">
        <v>1</v>
      </c>
      <c r="L51">
        <v>1164</v>
      </c>
      <c r="M51">
        <v>1164</v>
      </c>
      <c r="N51">
        <v>1164</v>
      </c>
      <c r="O51">
        <v>1164</v>
      </c>
      <c r="P51" s="1">
        <v>0.97161900000000001</v>
      </c>
    </row>
    <row r="52" spans="1:16" x14ac:dyDescent="0.25">
      <c r="A52" t="s">
        <v>25</v>
      </c>
      <c r="C52">
        <f>SUBTOTAL(101,AgRan_dir5_room5_chance100_step750[floors])</f>
        <v>796.52</v>
      </c>
      <c r="D52">
        <f>SUBTOTAL(101,AgRan_dir5_room5_chance100_step750[walls])</f>
        <v>1703.48</v>
      </c>
      <c r="E52" s="2">
        <f>SUBTOTAL(101,AgRan_dir5_room5_chance100_step750[floor_percent])</f>
        <v>0.318608</v>
      </c>
      <c r="F52" s="2">
        <f>SUBTOTAL(101,AgRan_dir5_room5_chance100_step750[wall_percent])</f>
        <v>0.68139199999999989</v>
      </c>
      <c r="G52">
        <f>SUBTOTAL(101,AgRan_dir5_room5_chance100_step750[longest_shortest_path])</f>
        <v>40.54</v>
      </c>
      <c r="H52">
        <f>SUBTOTAL(101,AgRan_dir5_room5_chance100_step750[component_count])</f>
        <v>1</v>
      </c>
      <c r="I52">
        <f>SUBTOTAL(101,AgRan_dir5_room5_chance100_step750[max_component_size])</f>
        <v>796.52</v>
      </c>
      <c r="J52" s="19">
        <f>SUBTOTAL(101,AgRan_dir5_room5_chance100_step750[connectivity_ratio])</f>
        <v>1</v>
      </c>
      <c r="K52">
        <f>SUBTOTAL(101,AgRan_dir5_room5_chance100_step750[room_count])</f>
        <v>1.02</v>
      </c>
      <c r="L52">
        <f>SUBTOTAL(101,AgRan_dir5_room5_chance100_step750[avg_room_size])</f>
        <v>762.55</v>
      </c>
      <c r="M52">
        <f>SUBTOTAL(101,AgRan_dir5_room5_chance100_step750[max_room_size])</f>
        <v>771.18</v>
      </c>
      <c r="N52">
        <f>SUBTOTAL(101,AgRan_dir5_room5_chance100_step750[min_room_size])</f>
        <v>753.92</v>
      </c>
      <c r="O52">
        <f>SUBTOTAL(101,AgRan_dir5_room5_chance100_step750[room_tiles])</f>
        <v>772.38</v>
      </c>
      <c r="P52" s="2">
        <f>SUBTOTAL(101,AgRan_dir5_room5_chance100_step750[room_ratio])</f>
        <v>0.97008551999999992</v>
      </c>
    </row>
    <row r="53" spans="1:16" x14ac:dyDescent="0.25">
      <c r="A53" s="16" t="s">
        <v>28</v>
      </c>
      <c r="B53" s="16"/>
      <c r="C53" s="16"/>
      <c r="D53" s="16"/>
      <c r="E53" s="16"/>
      <c r="F53" s="16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5C0C-AED9-4A91-BD22-B89024DADAF4}">
  <dimension ref="C1:H20"/>
  <sheetViews>
    <sheetView tabSelected="1" workbookViewId="0">
      <selection activeCell="I23" sqref="I23"/>
    </sheetView>
  </sheetViews>
  <sheetFormatPr defaultRowHeight="15" x14ac:dyDescent="0.25"/>
  <cols>
    <col min="3" max="3" width="18.28515625" bestFit="1" customWidth="1"/>
    <col min="4" max="4" width="12.28515625" bestFit="1" customWidth="1"/>
    <col min="5" max="5" width="13.5703125" bestFit="1" customWidth="1"/>
    <col min="6" max="6" width="14.7109375" bestFit="1" customWidth="1"/>
    <col min="7" max="7" width="26.7109375" bestFit="1" customWidth="1"/>
    <col min="8" max="8" width="26.42578125" bestFit="1" customWidth="1"/>
    <col min="9" max="9" width="26.140625" bestFit="1" customWidth="1"/>
    <col min="10" max="10" width="15.5703125" bestFit="1" customWidth="1"/>
  </cols>
  <sheetData>
    <row r="1" spans="3:8" x14ac:dyDescent="0.25">
      <c r="C1" s="3" t="s">
        <v>17</v>
      </c>
      <c r="D1" s="17" t="s">
        <v>18</v>
      </c>
      <c r="E1" s="17"/>
      <c r="F1" s="17"/>
      <c r="G1" s="17"/>
      <c r="H1" s="17"/>
    </row>
    <row r="2" spans="3:8" ht="15.75" thickBot="1" x14ac:dyDescent="0.3">
      <c r="C2" s="4" t="s">
        <v>24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</row>
    <row r="3" spans="3:8" x14ac:dyDescent="0.25">
      <c r="C3" s="5">
        <v>0</v>
      </c>
      <c r="D3" s="9">
        <f>SUBTOTAL(101,AgRan_dir5_room5_chance0_step750[floor_percent])</f>
        <v>9.3032000000000004E-2</v>
      </c>
      <c r="E3" s="10">
        <f>SUBTOTAL(101,AgRan_dir5_room5_chance0_step750[longest_shortest_path])</f>
        <v>117.56</v>
      </c>
      <c r="F3" s="10">
        <f>SUBTOTAL(101,AgRan_dir5_room5_chance0_step750[room_count])</f>
        <v>0.78</v>
      </c>
      <c r="G3" s="10">
        <f>SUBTOTAL(101,AgRan_dir5_room5_chance0_step750[avg_room_size])</f>
        <v>21.24</v>
      </c>
      <c r="H3" s="9">
        <f>SUBTOTAL(101,AgRan_dir5_room5_chance0_step750[room_ratio])</f>
        <v>8.7141959999999991E-2</v>
      </c>
    </row>
    <row r="4" spans="3:8" x14ac:dyDescent="0.25">
      <c r="C4" s="6">
        <v>5</v>
      </c>
      <c r="D4" s="7">
        <f>SUBTOTAL(101,AgRan_dir5_room5_chance5_step750[floor_percent])</f>
        <v>0.44701599999999991</v>
      </c>
      <c r="E4" s="8">
        <f>SUBTOTAL(101,AgRan_dir5_room5_chance5_step750[longest_shortest_path])</f>
        <v>66.06</v>
      </c>
      <c r="F4" s="8">
        <f>SUBTOTAL(101,AgRan_dir5_room5_chance5_step750[room_count])</f>
        <v>2.62</v>
      </c>
      <c r="G4" s="8">
        <f>SUBTOTAL(101,AgRan_dir5_room5_chance5_step750[avg_room_size])</f>
        <v>539.41299997999988</v>
      </c>
      <c r="H4" s="7">
        <f>SUBTOTAL(101,AgRan_dir5_room5_chance5_step750[room_ratio])</f>
        <v>0.91085511999999991</v>
      </c>
    </row>
    <row r="5" spans="3:8" x14ac:dyDescent="0.25">
      <c r="C5" s="6">
        <v>15</v>
      </c>
      <c r="D5" s="7">
        <f>SUBTOTAL(101,AgRan_dir5_room5_chance15_step750[floor_percent])</f>
        <v>0.39859200000000006</v>
      </c>
      <c r="E5" s="8">
        <f>SUBTOTAL(101,AgRan_dir5_room5_chance15_step750[longest_shortest_path])</f>
        <v>49.28</v>
      </c>
      <c r="F5" s="8">
        <f>SUBTOTAL(101,AgRan_dir5_room5_chance15_step750[room_count])</f>
        <v>1.22</v>
      </c>
      <c r="G5" s="8">
        <f>SUBTOTAL(101,AgRan_dir5_room5_chance15_step750[avg_room_size])</f>
        <v>869.69500000000005</v>
      </c>
      <c r="H5" s="7">
        <f>SUBTOTAL(101,AgRan_dir5_room5_chance15_step750[room_ratio])</f>
        <v>0.95734437999999999</v>
      </c>
    </row>
    <row r="6" spans="3:8" x14ac:dyDescent="0.25">
      <c r="C6" s="6">
        <v>25</v>
      </c>
      <c r="D6" s="7">
        <f>SUBTOTAL(101,AgRan_dir5_room5_chance25_step750[floor_percent])</f>
        <v>0.39476799999999995</v>
      </c>
      <c r="E6" s="8">
        <f>SUBTOTAL(101,AgRan_dir5_room5_chance25_step750[longest_shortest_path])</f>
        <v>48.44</v>
      </c>
      <c r="F6" s="8">
        <f>SUBTOTAL(101,AgRan_dir5_room5_chance25_step750[room_count])</f>
        <v>1.1200000000000001</v>
      </c>
      <c r="G6" s="8">
        <f>SUBTOTAL(101,AgRan_dir5_room5_chance25_step750[avg_room_size])</f>
        <v>893.62</v>
      </c>
      <c r="H6" s="7">
        <f>SUBTOTAL(101,AgRan_dir5_room5_chance25_step750[room_ratio])</f>
        <v>0.96590886000000009</v>
      </c>
    </row>
    <row r="7" spans="3:8" x14ac:dyDescent="0.25">
      <c r="C7" s="6">
        <v>50</v>
      </c>
      <c r="D7" s="7">
        <f>SUBTOTAL(101,AgRan_dir5_room5_chance50_step750[floor_percent])</f>
        <v>0.35424800000000006</v>
      </c>
      <c r="E7" s="8">
        <f>SUBTOTAL(101,AgRan_dir5_room5_chance50_step750[longest_shortest_path])</f>
        <v>44.04</v>
      </c>
      <c r="F7" s="8">
        <f>SUBTOTAL(101,AgRan_dir5_room5_chance50_step750[room_count])</f>
        <v>1.08</v>
      </c>
      <c r="G7" s="8">
        <f>SUBTOTAL(101,AgRan_dir5_room5_chance50_step750[avg_room_size])</f>
        <v>828.55666666000002</v>
      </c>
      <c r="H7" s="7">
        <f>SUBTOTAL(101,AgRan_dir5_room5_chance50_step750[room_ratio])</f>
        <v>0.96770998000000008</v>
      </c>
    </row>
    <row r="8" spans="3:8" x14ac:dyDescent="0.25">
      <c r="C8" s="6">
        <v>100</v>
      </c>
      <c r="D8" s="7">
        <f>SUBTOTAL(101,AgRan_dir5_room5_chance100_step750[floor_percent])</f>
        <v>0.318608</v>
      </c>
      <c r="E8" s="8">
        <f>SUBTOTAL(101,AgRan_dir5_room5_chance100_step750[longest_shortest_path])</f>
        <v>40.54</v>
      </c>
      <c r="F8" s="8">
        <f>SUBTOTAL(101,AgRan_dir5_room5_chance100_step750[room_count])</f>
        <v>1.02</v>
      </c>
      <c r="G8" s="8">
        <f>SUBTOTAL(101,AgRan_dir5_room5_chance100_step750[avg_room_size])</f>
        <v>762.55</v>
      </c>
      <c r="H8" s="7">
        <f>SUBTOTAL(101,AgRan_dir5_room5_chance100_step750[room_ratio])</f>
        <v>0.97008551999999992</v>
      </c>
    </row>
    <row r="13" spans="3:8" x14ac:dyDescent="0.25">
      <c r="C13" s="11"/>
      <c r="D13" s="18"/>
      <c r="E13" s="18"/>
    </row>
    <row r="14" spans="3:8" x14ac:dyDescent="0.25">
      <c r="C14" s="11"/>
      <c r="D14" s="11"/>
      <c r="E14" s="11"/>
    </row>
    <row r="15" spans="3:8" x14ac:dyDescent="0.25">
      <c r="C15" s="12"/>
      <c r="D15" s="13"/>
      <c r="E15" s="14"/>
    </row>
    <row r="16" spans="3:8" x14ac:dyDescent="0.25">
      <c r="C16" s="12"/>
      <c r="D16" s="13"/>
      <c r="E16" s="14"/>
    </row>
    <row r="17" spans="3:5" x14ac:dyDescent="0.25">
      <c r="C17" s="12"/>
      <c r="D17" s="13"/>
      <c r="E17" s="14"/>
    </row>
    <row r="18" spans="3:5" x14ac:dyDescent="0.25">
      <c r="C18" s="12"/>
      <c r="D18" s="13"/>
      <c r="E18" s="14"/>
    </row>
    <row r="19" spans="3:5" x14ac:dyDescent="0.25">
      <c r="C19" s="12"/>
      <c r="D19" s="13"/>
      <c r="E19" s="14"/>
    </row>
    <row r="20" spans="3:5" x14ac:dyDescent="0.25">
      <c r="C20" s="12"/>
      <c r="D20" s="13"/>
      <c r="E20" s="14"/>
    </row>
  </sheetData>
  <mergeCells count="2">
    <mergeCell ref="D1:H1"/>
    <mergeCell ref="D13:E13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9229A7-63CB-444E-BDB5-B4E2C69558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AgRan_dir5_room5_chance0_step75</vt:lpstr>
      <vt:lpstr>AgRan_dir5_room5_chance5_step75</vt:lpstr>
      <vt:lpstr>AgRan_dir5_room5_chance15_step7</vt:lpstr>
      <vt:lpstr>AgRan_dir5_room5_chance25_step7</vt:lpstr>
      <vt:lpstr>AgRan_dir5_room5_chance50_step7</vt:lpstr>
      <vt:lpstr>AgRan_dir5_room5_chance100_step</vt:lpstr>
      <vt:lpstr>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</dc:creator>
  <cp:lastModifiedBy>w8</cp:lastModifiedBy>
  <dcterms:created xsi:type="dcterms:W3CDTF">2026-04-18T10:31:05Z</dcterms:created>
  <dcterms:modified xsi:type="dcterms:W3CDTF">2026-04-21T09:49:46Z</dcterms:modified>
</cp:coreProperties>
</file>