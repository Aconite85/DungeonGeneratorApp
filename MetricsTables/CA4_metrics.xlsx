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škola\Bp\"/>
    </mc:Choice>
  </mc:AlternateContent>
  <xr:revisionPtr revIDLastSave="0" documentId="13_ncr:1_{F7DDFF7F-AB92-484A-AF0B-FF53EB1D1B19}" xr6:coauthVersionLast="47" xr6:coauthVersionMax="47" xr10:uidLastSave="{00000000-0000-0000-0000-000000000000}"/>
  <bookViews>
    <workbookView xWindow="-120" yWindow="-120" windowWidth="29040" windowHeight="15840" firstSheet="11" activeTab="16" xr2:uid="{16779AE6-74B8-4F40-B949-0553F1E21E89}"/>
  </bookViews>
  <sheets>
    <sheet name="CA4_wall70_it6_neigh3" sheetId="17" r:id="rId1"/>
    <sheet name="CA4_wall70_it5_neigh3" sheetId="16" r:id="rId2"/>
    <sheet name="CA4_wall70_it4_neigh3" sheetId="15" r:id="rId3"/>
    <sheet name="CA4_wall70_it3_neigh3" sheetId="14" r:id="rId4"/>
    <sheet name="CA4_wall70_it2_neigh3" sheetId="13" r:id="rId5"/>
    <sheet name="CA4_wall70_it2_neigh2" sheetId="12" r:id="rId6"/>
    <sheet name="CA4_wall70_it1_neigh3" sheetId="11" r:id="rId7"/>
    <sheet name="CA4_wall50_it6_neigh3" sheetId="10" r:id="rId8"/>
    <sheet name="CA4_wall50_it5_neigh3" sheetId="9" r:id="rId9"/>
    <sheet name="CA4_wall50_it4_neigh3" sheetId="8" r:id="rId10"/>
    <sheet name="CA4_wall50_it3_neigh3" sheetId="7" r:id="rId11"/>
    <sheet name="CA4_wall50_it2_neigh3" sheetId="6" r:id="rId12"/>
    <sheet name="CA4_wall50_it2_neigh2" sheetId="5" r:id="rId13"/>
    <sheet name="CA4_wall50_it1_neigh3" sheetId="4" r:id="rId14"/>
    <sheet name="CA4_wall30_it2_neigh3" sheetId="3" r:id="rId15"/>
    <sheet name="CA4_wall30_it2_neigh2" sheetId="2" r:id="rId16"/>
    <sheet name="Souhrn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2" l="1"/>
  <c r="E52" i="2"/>
  <c r="F52" i="2"/>
  <c r="G52" i="2"/>
  <c r="H52" i="2"/>
  <c r="I52" i="2"/>
  <c r="J52" i="2"/>
  <c r="K52" i="2"/>
  <c r="L52" i="2"/>
  <c r="M52" i="2"/>
  <c r="N52" i="2"/>
  <c r="O52" i="2"/>
  <c r="P52" i="2"/>
  <c r="C52" i="2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2" i="3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C52" i="4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C52" i="5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C52" i="6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C52" i="7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C52" i="8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C52" i="9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C52" i="11"/>
  <c r="C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D52" i="12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C52" i="13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C52" i="14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C52" i="15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C52" i="16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C52" i="17"/>
  <c r="L14" i="1"/>
  <c r="L13" i="1"/>
  <c r="L12" i="1"/>
  <c r="L11" i="1"/>
  <c r="L9" i="1"/>
  <c r="L8" i="1"/>
  <c r="L7" i="1"/>
  <c r="L6" i="1"/>
  <c r="L5" i="1"/>
  <c r="L3" i="1"/>
  <c r="K14" i="1"/>
  <c r="K13" i="1"/>
  <c r="K12" i="1"/>
  <c r="K11" i="1"/>
  <c r="K9" i="1"/>
  <c r="K8" i="1"/>
  <c r="K7" i="1"/>
  <c r="K6" i="1"/>
  <c r="K5" i="1"/>
  <c r="K3" i="1"/>
  <c r="L10" i="1"/>
  <c r="K10" i="1"/>
  <c r="L4" i="1"/>
  <c r="K4" i="1"/>
  <c r="J14" i="1"/>
  <c r="J13" i="1"/>
  <c r="J12" i="1"/>
  <c r="J11" i="1"/>
  <c r="J10" i="1"/>
  <c r="J9" i="1"/>
  <c r="J8" i="1"/>
  <c r="J7" i="1"/>
  <c r="J6" i="1"/>
  <c r="J5" i="1"/>
  <c r="J3" i="1"/>
  <c r="J4" i="1"/>
  <c r="E8" i="1"/>
  <c r="E7" i="1"/>
  <c r="E6" i="1"/>
  <c r="E5" i="1"/>
  <c r="E4" i="1"/>
  <c r="E3" i="1"/>
  <c r="D8" i="1"/>
  <c r="D7" i="1"/>
  <c r="D6" i="1"/>
  <c r="D5" i="1"/>
  <c r="D4" i="1"/>
  <c r="D3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<sst xmlns="http://schemas.openxmlformats.org/spreadsheetml/2006/main" count="1102" uniqueCount="43">
  <si>
    <t>Hodnoty parametrů; iterace = 2</t>
  </si>
  <si>
    <t>Průměrné hodnoty z 50 generovaných dungeonů</t>
  </si>
  <si>
    <t>Wall chance</t>
  </si>
  <si>
    <t>Min Neighbour Walls</t>
  </si>
  <si>
    <t>Podíl podlah</t>
  </si>
  <si>
    <t>Počet komponent</t>
  </si>
  <si>
    <t>Průchodnost</t>
  </si>
  <si>
    <t>Iterations</t>
  </si>
  <si>
    <t>algorithm</t>
  </si>
  <si>
    <t>seed</t>
  </si>
  <si>
    <t>floors</t>
  </si>
  <si>
    <t>walls</t>
  </si>
  <si>
    <t>floor_percent</t>
  </si>
  <si>
    <t>wall_percent</t>
  </si>
  <si>
    <t>longest_shortest_path</t>
  </si>
  <si>
    <t>component_count</t>
  </si>
  <si>
    <t>max_component_size</t>
  </si>
  <si>
    <t>connectivity_ratio</t>
  </si>
  <si>
    <t>room_count</t>
  </si>
  <si>
    <t>avg_room_size</t>
  </si>
  <si>
    <t>max_room_size</t>
  </si>
  <si>
    <t>min_room_size</t>
  </si>
  <si>
    <t>room_tiles</t>
  </si>
  <si>
    <t>room_ratio</t>
  </si>
  <si>
    <t>DungeonGeneratorCA</t>
  </si>
  <si>
    <t>Hodnoty parametrů; Min Neighbours = 3</t>
  </si>
  <si>
    <t>Průměr</t>
  </si>
  <si>
    <t>Hodnoty parametrů: Wall chance = 70, Iterations = 6, Min neighbour walls = 3</t>
  </si>
  <si>
    <t>Hodnoty parametrů: Wall chance = 70, Iterations = 5, Min neighbour walls = 3</t>
  </si>
  <si>
    <t>Hodnoty parametrů: Wall chance = 70, Iterations = 4, Min neighbour walls = 3</t>
  </si>
  <si>
    <t>Hodnoty parametrů: Wall chance = 70, Iterations = 3, Min neighbour walls = 3</t>
  </si>
  <si>
    <t>Hodnoty parametrů: Wall chance = 70, Iterations = 2, Min neighbour walls = 3</t>
  </si>
  <si>
    <t>Hodnoty parametrů: Wall chance = 70, Iterations = 2, Min neighbour walls = 2</t>
  </si>
  <si>
    <t>Hodnoty parametrů: Wall chance = 70, Iterations = 1, Min neighbour walls = 3</t>
  </si>
  <si>
    <t>Hodnoty parametrů: Wall chance = 50, Iterations = 6, Min neighbour walls = 3</t>
  </si>
  <si>
    <t>Hodnoty parametrů: Wall chance = 50, Iterations = 5, Min neighbour walls = 3</t>
  </si>
  <si>
    <t>Hodnoty parametrů: Wall chance = 50, Iterations = 4, Min neighbour walls = 3</t>
  </si>
  <si>
    <t>Hodnoty parametrů: Wall chance = 50, Iterations = 3, Min neighbour walls = 3</t>
  </si>
  <si>
    <t>Hodnoty parametrů: Wall chance = 50, Iterations = 2, Min neighbour walls = 3</t>
  </si>
  <si>
    <t>Hodnoty parametrů: Wall chance = 50, Iterations = 2, Min neighbour walls = 2</t>
  </si>
  <si>
    <t>Hodnoty parametrů: Wall chance = 50, Iterations = 1, Min neighbour walls = 3</t>
  </si>
  <si>
    <t>Hodnoty parametrů: Wall chance = 30, Iterations = 2, Min neighbour walls = 3</t>
  </si>
  <si>
    <t>Hodnoty parametrů: Wall chance = 30, Iterations = 2, Min neighbour walls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</si>
</sst>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0" applyBorder="1"/>
    <xf numFmtId="9" fontId="2" fillId="0" borderId="0" xfId="0" applyNumberFormat="1" applyFont="1"/>
    <xf numFmtId="2" fontId="2" fillId="0" borderId="0" xfId="0" applyNumberFormat="1" applyFont="1"/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/>
    <xf numFmtId="9" fontId="2" fillId="0" borderId="1" xfId="1" applyFont="1" applyBorder="1"/>
    <xf numFmtId="9" fontId="2" fillId="0" borderId="5" xfId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1" applyNumberFormat="1" applyFont="1"/>
  </cellXfs>
  <cellStyles count="2">
    <cellStyle name="Normální" xfId="0" builtinId="0"/>
    <cellStyle name="Procenta" xfId="1" builtinId="5"/>
  </cellStyles>
  <dxfs count="8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368B62-EEB1-4A91-B947-5405F1E962DE}" name="CA4_wall70_it6_neigh3" displayName="CA4_wall70_it6_neigh3" ref="A1:P52" totalsRowCount="1">
  <autoFilter ref="A1:P51" xr:uid="{56368B62-EEB1-4A91-B947-5405F1E962DE}"/>
  <tableColumns count="16">
    <tableColumn id="1" xr3:uid="{EF60048E-5753-4E68-9118-6275F0967CAC}" name="algorithm" totalsRowLabel="Průměr" dataDxfId="62"/>
    <tableColumn id="2" xr3:uid="{003CD8BB-8FBA-4F42-B05F-3C431FB7D4FE}" name="seed" dataDxfId="61"/>
    <tableColumn id="3" xr3:uid="{ABD71C50-33B4-4280-93B9-B0E06BF10DFE}" name="floors" totalsRowFunction="average"/>
    <tableColumn id="4" xr3:uid="{A16A8F5E-F9B6-4AD9-A1A1-42D9C0BC1012}" name="walls" totalsRowFunction="average"/>
    <tableColumn id="5" xr3:uid="{F4BABA16-CCD5-49BF-967F-09E6BD5B4209}" name="floor_percent" totalsRowFunction="average" dataCellStyle="Procenta"/>
    <tableColumn id="6" xr3:uid="{F195E061-B71D-483F-92FF-088C4B2C0E2A}" name="wall_percent" totalsRowFunction="average" dataCellStyle="Procenta"/>
    <tableColumn id="7" xr3:uid="{85A7FEAA-7B6F-484B-BB48-DF21AF82A007}" name="longest_shortest_path" totalsRowFunction="average"/>
    <tableColumn id="8" xr3:uid="{EF7EE49E-C1A6-4D9F-A433-2CBA5E36CFE8}" name="component_count" totalsRowFunction="average"/>
    <tableColumn id="9" xr3:uid="{71CB5263-A44F-46CB-9499-68FB434AF8A2}" name="max_component_size" totalsRowFunction="average"/>
    <tableColumn id="10" xr3:uid="{C21A460F-0398-4FBC-B30A-82C6ABA59A1E}" name="connectivity_ratio" totalsRowFunction="average" dataDxfId="25" totalsRowDxfId="24" dataCellStyle="Procenta"/>
    <tableColumn id="11" xr3:uid="{9DC87F26-FA94-4660-BCBA-57A182B147E9}" name="room_count" totalsRowFunction="average"/>
    <tableColumn id="12" xr3:uid="{DD6F9906-D291-414B-BCC1-6D49CE2FECC9}" name="avg_room_size" totalsRowFunction="average" dataDxfId="80"/>
    <tableColumn id="13" xr3:uid="{6FCFDA08-45C3-450A-88E6-2D8B97D972A9}" name="max_room_size" totalsRowFunction="average"/>
    <tableColumn id="14" xr3:uid="{56145E7E-CF3E-40F5-8300-E196D62C310D}" name="min_room_size" totalsRowFunction="average"/>
    <tableColumn id="15" xr3:uid="{826FC0B4-0906-4AC3-9C33-84115F88BE60}" name="room_tiles" totalsRowFunction="average"/>
    <tableColumn id="16" xr3:uid="{51210B33-6A2B-45BE-B4C2-F8B2CAA440B2}" name="room_ratio" totalsRowFunction="average" dataCellStyle="Procen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DFFC11-0CFC-440C-97C1-1B597DB41CB2}" name="CA4_wall70_it5_neigh3" displayName="CA4_wall70_it5_neigh3" ref="A1:P52" totalsRowCount="1">
  <autoFilter ref="A1:P51" xr:uid="{1EDFFC11-0CFC-440C-97C1-1B597DB41CB2}"/>
  <tableColumns count="16">
    <tableColumn id="1" xr3:uid="{22559966-1391-4EF1-9AFA-EE194BEC5BB1}" name="algorithm" totalsRowLabel="Průměr" dataDxfId="60"/>
    <tableColumn id="2" xr3:uid="{2CE24339-2251-4974-A08A-16BCCD20D2C7}" name="seed" dataDxfId="59"/>
    <tableColumn id="3" xr3:uid="{1B05AD4C-D4E2-454C-9DF7-80B096D11F6C}" name="floors" totalsRowFunction="average"/>
    <tableColumn id="4" xr3:uid="{8413150F-9CB0-4474-8F3E-D1F5A8E84D9A}" name="walls" totalsRowFunction="average"/>
    <tableColumn id="5" xr3:uid="{2539A5C7-0793-4466-92AA-117E5EFAB2A4}" name="floor_percent" totalsRowFunction="average" dataCellStyle="Procenta"/>
    <tableColumn id="6" xr3:uid="{067EDBC4-7E31-4B28-AC98-DBEA0C504ACA}" name="wall_percent" totalsRowFunction="average" dataCellStyle="Procenta"/>
    <tableColumn id="7" xr3:uid="{6973B4FF-BA30-4DDD-9C0D-8D1BC139CCA6}" name="longest_shortest_path" totalsRowFunction="average"/>
    <tableColumn id="8" xr3:uid="{AD11DEDB-4649-476E-B978-1FCEF406213B}" name="component_count" totalsRowFunction="average"/>
    <tableColumn id="9" xr3:uid="{1B68EA7E-D5B9-4B48-9A7C-ABBA50BA2D1D}" name="max_component_size" totalsRowFunction="average"/>
    <tableColumn id="10" xr3:uid="{3A4E565C-7938-4151-A7A6-5370FE4F1828}" name="connectivity_ratio" totalsRowFunction="average" dataDxfId="23" totalsRowDxfId="22" dataCellStyle="Procenta"/>
    <tableColumn id="11" xr3:uid="{01136CB0-BB0A-4E3E-A424-206C907307C3}" name="room_count" totalsRowFunction="average"/>
    <tableColumn id="12" xr3:uid="{388D9FEE-C2B0-43AC-9B41-FB2B2D3BECB3}" name="avg_room_size" totalsRowFunction="average" dataDxfId="79"/>
    <tableColumn id="13" xr3:uid="{8484BE31-A58E-46EA-BBA8-D516E11FC01F}" name="max_room_size" totalsRowFunction="average"/>
    <tableColumn id="14" xr3:uid="{2890EA43-61C8-44B6-AC79-FFE5D346BE2F}" name="min_room_size" totalsRowFunction="average"/>
    <tableColumn id="15" xr3:uid="{73B63F62-A2DE-42D3-822E-B8BFE3017FA7}" name="room_tiles" totalsRowFunction="average"/>
    <tableColumn id="16" xr3:uid="{97C3DC32-B336-4738-AD3F-2CB07A814820}" name="room_ratio" totalsRowFunction="average" dataCellStyle="Procen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103BED0-DC08-4B4B-AB24-A1C776999E7A}" name="CA4_wall70_it4_neigh3" displayName="CA4_wall70_it4_neigh3" ref="A1:P52" totalsRowCount="1">
  <autoFilter ref="A1:P51" xr:uid="{C103BED0-DC08-4B4B-AB24-A1C776999E7A}"/>
  <tableColumns count="16">
    <tableColumn id="1" xr3:uid="{D5DC3C6E-61AD-44F9-BB8B-A882B197927D}" name="algorithm" totalsRowLabel="Průměr" dataDxfId="58"/>
    <tableColumn id="2" xr3:uid="{77E67144-856F-4453-841A-20F6897DCA63}" name="seed" dataDxfId="57"/>
    <tableColumn id="3" xr3:uid="{C85134E3-AEC0-4608-8F6D-403759EA70F5}" name="floors" totalsRowFunction="average"/>
    <tableColumn id="4" xr3:uid="{25FE1F6B-2B80-474B-A186-131952A19BE9}" name="walls" totalsRowFunction="average"/>
    <tableColumn id="5" xr3:uid="{F6D96E58-8643-41D5-A168-2A351B38C6E6}" name="floor_percent" totalsRowFunction="average" dataCellStyle="Procenta"/>
    <tableColumn id="6" xr3:uid="{12BC5727-34BE-48DC-BBD5-A2465A09E640}" name="wall_percent" totalsRowFunction="average" dataCellStyle="Procenta"/>
    <tableColumn id="7" xr3:uid="{586569F2-BD19-45DF-B65A-BC120D1AA238}" name="longest_shortest_path" totalsRowFunction="average"/>
    <tableColumn id="8" xr3:uid="{69A2F875-D180-4A2A-BCC3-00B3E2883559}" name="component_count" totalsRowFunction="average"/>
    <tableColumn id="9" xr3:uid="{5585B543-3FBC-4C95-991D-67E98372252B}" name="max_component_size" totalsRowFunction="average"/>
    <tableColumn id="10" xr3:uid="{C887C202-88BE-47B6-92F7-2B9E36774F02}" name="connectivity_ratio" totalsRowFunction="average" dataDxfId="21" totalsRowDxfId="20" dataCellStyle="Procenta"/>
    <tableColumn id="11" xr3:uid="{0F38DFDD-BCC0-40A9-8FD7-20AFB2A037B3}" name="room_count" totalsRowFunction="average"/>
    <tableColumn id="12" xr3:uid="{3E44935F-40FD-4CC7-AE25-1F637B934B6C}" name="avg_room_size" totalsRowFunction="average" dataDxfId="78"/>
    <tableColumn id="13" xr3:uid="{94B996D0-CDC3-4C9D-A44F-9C85E7976C64}" name="max_room_size" totalsRowFunction="average"/>
    <tableColumn id="14" xr3:uid="{2B8152D8-6FAB-4838-82A8-6A78F84D2FC4}" name="min_room_size" totalsRowFunction="average"/>
    <tableColumn id="15" xr3:uid="{93858F04-4FBF-4DF8-AE69-4764BD5498CD}" name="room_tiles" totalsRowFunction="average"/>
    <tableColumn id="16" xr3:uid="{B46BB4C7-C10B-4B74-9212-9FD3164E85D8}" name="room_ratio" totalsRowFunction="average" dataCellStyle="Procent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7450AC-8789-4826-B341-D7BD62DF12E6}" name="CA4_wall70_it3_neigh3" displayName="CA4_wall70_it3_neigh3" ref="A1:P52" totalsRowCount="1">
  <autoFilter ref="A1:P51" xr:uid="{447450AC-8789-4826-B341-D7BD62DF12E6}"/>
  <tableColumns count="16">
    <tableColumn id="1" xr3:uid="{902B4717-EBD5-450C-B48E-5E0349C4846C}" name="algorithm" totalsRowLabel="Průměr" dataDxfId="56"/>
    <tableColumn id="2" xr3:uid="{D5E01892-6A61-4BB1-9D62-ACBF06D3C571}" name="seed" dataDxfId="55"/>
    <tableColumn id="3" xr3:uid="{0C470A3B-ADA9-48AD-806F-48CADFB89387}" name="floors" totalsRowFunction="average"/>
    <tableColumn id="4" xr3:uid="{DB5A433B-BAE1-48B1-BBB8-EEB30A2DF824}" name="walls" totalsRowFunction="average"/>
    <tableColumn id="5" xr3:uid="{1C940D8D-8CF6-4786-8F52-B3FE7C5449A6}" name="floor_percent" totalsRowFunction="average" dataCellStyle="Procenta"/>
    <tableColumn id="6" xr3:uid="{66B817EF-BDDF-4E2C-8BA8-15EDC372E003}" name="wall_percent" totalsRowFunction="average" dataCellStyle="Procenta"/>
    <tableColumn id="7" xr3:uid="{62795AAB-EF96-4913-BD4C-C89B6AD4A3B1}" name="longest_shortest_path" totalsRowFunction="average"/>
    <tableColumn id="8" xr3:uid="{4C7D60F3-03B6-46FB-905F-93197C1401F6}" name="component_count" totalsRowFunction="average"/>
    <tableColumn id="9" xr3:uid="{5F3C0E7E-46E2-4C31-A75D-946A61141726}" name="max_component_size" totalsRowFunction="average"/>
    <tableColumn id="10" xr3:uid="{04EAE85D-6D04-4F46-9745-3074EE412985}" name="connectivity_ratio" totalsRowFunction="average" dataDxfId="19" totalsRowDxfId="18" dataCellStyle="Procenta"/>
    <tableColumn id="11" xr3:uid="{6BB2B2CB-810B-4E27-A998-93652A87C069}" name="room_count" totalsRowFunction="average"/>
    <tableColumn id="12" xr3:uid="{2F0B4092-6D73-4ECE-93B5-C287CE2428D6}" name="avg_room_size" totalsRowFunction="average" dataDxfId="77"/>
    <tableColumn id="13" xr3:uid="{C546F0E2-7BC8-4077-8C3E-42681E613C18}" name="max_room_size" totalsRowFunction="average"/>
    <tableColumn id="14" xr3:uid="{B2E72528-DFAE-4EA9-9BF6-F957B38AE799}" name="min_room_size" totalsRowFunction="average"/>
    <tableColumn id="15" xr3:uid="{6AA3ED1B-850E-4D49-BF93-1C94CE951D63}" name="room_tiles" totalsRowFunction="average"/>
    <tableColumn id="16" xr3:uid="{8EED5F5D-067D-4889-9C35-CC1B1800E36C}" name="room_ratio" totalsRowFunction="average" dataCellStyle="Procent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0E1ADD-418A-48D7-8D7B-AAEC2F361E11}" name="CA4_wall70_it2_neigh3" displayName="CA4_wall70_it2_neigh3" ref="A1:P52" totalsRowCount="1">
  <autoFilter ref="A1:P51" xr:uid="{480E1ADD-418A-48D7-8D7B-AAEC2F361E11}"/>
  <tableColumns count="16">
    <tableColumn id="1" xr3:uid="{C043B693-57DA-43D6-9D47-7D621CB58D63}" name="algorithm" totalsRowLabel="Průměr" dataDxfId="54"/>
    <tableColumn id="2" xr3:uid="{7C730628-CD4B-46AE-9DB9-8DE741E9394A}" name="seed" dataDxfId="53"/>
    <tableColumn id="3" xr3:uid="{9920B2B7-2D38-41DD-B661-128BE6CBBE52}" name="floors" totalsRowFunction="average"/>
    <tableColumn id="4" xr3:uid="{7C5D4C97-90F7-4EBF-9CDD-E799ED00E99E}" name="walls" totalsRowFunction="average"/>
    <tableColumn id="5" xr3:uid="{70EA952B-8504-452F-8379-0BE968C53684}" name="floor_percent" totalsRowFunction="average" dataCellStyle="Procenta"/>
    <tableColumn id="6" xr3:uid="{E2A35160-C834-4CD7-9394-F7D8BE45F9E7}" name="wall_percent" totalsRowFunction="average" dataCellStyle="Procenta"/>
    <tableColumn id="7" xr3:uid="{6C7AEA86-5004-4A84-A9F9-3534BF40C94C}" name="longest_shortest_path" totalsRowFunction="average"/>
    <tableColumn id="8" xr3:uid="{E70366D1-278C-48A3-8CDC-D2F9044E5C1F}" name="component_count" totalsRowFunction="average"/>
    <tableColumn id="9" xr3:uid="{1AD45C1A-0470-42C4-8A5B-62EAD6D4EBE7}" name="max_component_size" totalsRowFunction="average"/>
    <tableColumn id="10" xr3:uid="{3C799AFA-2FB4-4C80-B71D-40A63E8504D2}" name="connectivity_ratio" totalsRowFunction="average" dataDxfId="17" totalsRowDxfId="16" dataCellStyle="Procenta"/>
    <tableColumn id="11" xr3:uid="{9F30C399-8527-4DDD-B1FE-B8A7E319B9DA}" name="room_count" totalsRowFunction="average"/>
    <tableColumn id="12" xr3:uid="{863EB37E-CBCC-42D2-8AA0-AECBA0A28BED}" name="avg_room_size" totalsRowFunction="average" dataDxfId="76"/>
    <tableColumn id="13" xr3:uid="{B056C7AC-C131-408E-AAF1-266CA59F1EE0}" name="max_room_size" totalsRowFunction="average"/>
    <tableColumn id="14" xr3:uid="{502F2D2A-8A04-4415-A8B6-9EFC6D5B12EB}" name="min_room_size" totalsRowFunction="average"/>
    <tableColumn id="15" xr3:uid="{1B8665DE-8FCF-42D6-80C1-FDC19F7E92BC}" name="room_tiles" totalsRowFunction="average"/>
    <tableColumn id="16" xr3:uid="{BA90F28A-8D19-46D4-9DF0-30287D78C24D}" name="room_ratio" totalsRowFunction="average" dataCellStyle="Procent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5731BC-1512-461E-9031-B7559F74FCB7}" name="CA4_wall70_it2_neigh2" displayName="CA4_wall70_it2_neigh2" ref="A1:P52" totalsRowCount="1">
  <autoFilter ref="A1:P51" xr:uid="{F45731BC-1512-461E-9031-B7559F74FCB7}"/>
  <tableColumns count="16">
    <tableColumn id="1" xr3:uid="{0A0B90BC-2C61-438D-8EA2-5CCEE3705562}" name="algorithm" totalsRowLabel="Průměr" dataDxfId="52"/>
    <tableColumn id="2" xr3:uid="{2C7D4B5C-FB7F-4BFD-847A-EA1B4FDAF1F0}" name="seed" dataDxfId="51"/>
    <tableColumn id="3" xr3:uid="{83DAAD84-B509-49AB-BEED-243E95F175FF}" name="floors" totalsRowFunction="average"/>
    <tableColumn id="4" xr3:uid="{966F6D2A-AEEE-49E7-83E1-E73D8287541E}" name="walls" totalsRowFunction="average"/>
    <tableColumn id="5" xr3:uid="{64808FC6-6AFD-464E-9D69-5A6BB9A04323}" name="floor_percent" totalsRowFunction="average" totalsRowDxfId="50" dataCellStyle="Procenta"/>
    <tableColumn id="6" xr3:uid="{726E052B-E7D6-4F45-9547-23E460F8C213}" name="wall_percent" totalsRowFunction="average" totalsRowDxfId="49" dataCellStyle="Procenta"/>
    <tableColumn id="7" xr3:uid="{5112D73A-C902-483E-B37F-8504435A4E3F}" name="longest_shortest_path" totalsRowFunction="average"/>
    <tableColumn id="8" xr3:uid="{56A55AA0-E9B5-40B3-8DF6-21A9D104187F}" name="component_count" totalsRowFunction="average"/>
    <tableColumn id="9" xr3:uid="{B9584A0F-8DDA-4BFA-8203-668874C10852}" name="max_component_size" totalsRowFunction="average"/>
    <tableColumn id="10" xr3:uid="{153D4A93-26F6-4D2B-8D8D-11CA7034CEFD}" name="connectivity_ratio" totalsRowFunction="average" dataDxfId="15" totalsRowDxfId="14" dataCellStyle="Procenta"/>
    <tableColumn id="11" xr3:uid="{9BBB441A-8EA4-4480-981A-F7657B911F72}" name="room_count" totalsRowFunction="average"/>
    <tableColumn id="12" xr3:uid="{20D433BE-E868-4A51-890F-7C0EF53F3359}" name="avg_room_size" totalsRowFunction="average" dataDxfId="75"/>
    <tableColumn id="13" xr3:uid="{11AD6B65-6B52-4F59-A69E-73A4435B5F9F}" name="max_room_size" totalsRowFunction="average"/>
    <tableColumn id="14" xr3:uid="{2541755C-01EA-4812-B26E-C9DC141B7F93}" name="min_room_size" totalsRowFunction="average"/>
    <tableColumn id="15" xr3:uid="{AAFD7C22-E1D6-4611-980F-3072324C7682}" name="room_tiles" totalsRowFunction="average"/>
    <tableColumn id="16" xr3:uid="{6532B800-407F-4199-A7CE-C7D95DE33A47}" name="room_ratio" totalsRowFunction="average" totalsRowDxfId="48" dataCellStyle="Procent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538843-8E8C-4470-8ABC-52313D58A463}" name="CA4_wall70_it1_neigh3" displayName="CA4_wall70_it1_neigh3" ref="A1:P52" totalsRowCount="1">
  <autoFilter ref="A1:P51" xr:uid="{96538843-8E8C-4470-8ABC-52313D58A463}"/>
  <tableColumns count="16">
    <tableColumn id="1" xr3:uid="{77D049C6-2EF2-4ABD-9625-1F840870BF68}" name="algorithm" totalsRowLabel="Průměr" dataDxfId="47"/>
    <tableColumn id="2" xr3:uid="{8723A4B6-2B68-430F-887E-A4A5A49F2B05}" name="seed" dataDxfId="46"/>
    <tableColumn id="3" xr3:uid="{35D5C86F-1E5B-40E2-97A7-DEEC240557F2}" name="floors" totalsRowFunction="average"/>
    <tableColumn id="4" xr3:uid="{304E4526-4571-4158-82A6-B7475CB44692}" name="walls" totalsRowFunction="average"/>
    <tableColumn id="5" xr3:uid="{B515E320-44FF-4AE2-A7E4-0CD6C4C5D7FB}" name="floor_percent" totalsRowFunction="average" dataCellStyle="Procenta"/>
    <tableColumn id="6" xr3:uid="{F22C307E-543B-43FE-9664-008089A286D5}" name="wall_percent" totalsRowFunction="average" dataCellStyle="Procenta"/>
    <tableColumn id="7" xr3:uid="{CBC82619-40CD-4F47-935B-3799F869246B}" name="longest_shortest_path" totalsRowFunction="average"/>
    <tableColumn id="8" xr3:uid="{2AEE08DA-875D-4772-AFD3-AD4D0F37C81E}" name="component_count" totalsRowFunction="average"/>
    <tableColumn id="9" xr3:uid="{CB268550-7151-4F86-B5A6-DAC5856645F2}" name="max_component_size" totalsRowFunction="average"/>
    <tableColumn id="10" xr3:uid="{8DF39FB6-D2B8-4715-A1EF-EE9AFABD78CB}" name="connectivity_ratio" totalsRowFunction="average" dataDxfId="13" totalsRowDxfId="12" dataCellStyle="Procenta"/>
    <tableColumn id="11" xr3:uid="{25E03625-54EB-449E-B533-FE9BABD93172}" name="room_count" totalsRowFunction="average"/>
    <tableColumn id="12" xr3:uid="{85165DB0-D2B2-475E-A565-C7E7961B72D8}" name="avg_room_size" totalsRowFunction="average" dataDxfId="74"/>
    <tableColumn id="13" xr3:uid="{EDB38BF7-BC40-4813-A087-0457767A9C67}" name="max_room_size" totalsRowFunction="average"/>
    <tableColumn id="14" xr3:uid="{B36E7C61-0793-4C96-9505-0F4BFF2996BE}" name="min_room_size" totalsRowFunction="average"/>
    <tableColumn id="15" xr3:uid="{CF4C6055-A8B6-458D-9544-1F49F60716EF}" name="room_tiles" totalsRowFunction="average"/>
    <tableColumn id="16" xr3:uid="{3CAEB255-5DD6-4250-B4FF-E0C1EF5C79DB}" name="room_ratio" totalsRowFunction="average" dataCellStyle="Procenta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D34A0F-CD8B-4F6D-AD51-677196943525}" name="CA4_wall50_it6_neigh3" displayName="CA4_wall50_it6_neigh3" ref="A1:P52" totalsRowCount="1">
  <autoFilter ref="A1:P51" xr:uid="{47D34A0F-CD8B-4F6D-AD51-677196943525}"/>
  <tableColumns count="16">
    <tableColumn id="1" xr3:uid="{E8199331-2F45-4930-8D5E-EF3772ADEA22}" name="algorithm" totalsRowLabel="Průměr" dataDxfId="45"/>
    <tableColumn id="2" xr3:uid="{B07A5331-35BC-4C05-BC54-E1B28BD4261C}" name="seed" dataDxfId="44"/>
    <tableColumn id="3" xr3:uid="{99171C76-3DF9-40B4-BC63-3A1C21F2FCF1}" name="floors" totalsRowFunction="average"/>
    <tableColumn id="4" xr3:uid="{38F22BFC-E7B1-41F8-B14C-52F9BD1B0ED4}" name="walls" totalsRowFunction="average"/>
    <tableColumn id="5" xr3:uid="{21F41189-9184-446F-9DB9-5C8B4EA74C25}" name="floor_percent" totalsRowFunction="average" dataCellStyle="Procenta"/>
    <tableColumn id="6" xr3:uid="{AB66344C-CEA7-4DF6-B6AE-85C050A26227}" name="wall_percent" totalsRowFunction="average" dataCellStyle="Procenta"/>
    <tableColumn id="7" xr3:uid="{D47D42EF-B214-4D07-A0BF-4FB9B42733C1}" name="longest_shortest_path" totalsRowFunction="average"/>
    <tableColumn id="8" xr3:uid="{C49985DC-4A03-4667-BF90-2212A22B4381}" name="component_count" totalsRowFunction="average"/>
    <tableColumn id="9" xr3:uid="{28AF6D57-F1C9-483E-A993-2F319739BA8B}" name="max_component_size" totalsRowFunction="average"/>
    <tableColumn id="10" xr3:uid="{85974EC9-0C82-4E26-B919-986E26C6A707}" name="connectivity_ratio" totalsRowFunction="average" dataDxfId="11" totalsRowDxfId="10" dataCellStyle="Procenta"/>
    <tableColumn id="11" xr3:uid="{71140A27-96B7-4C26-85A3-EDF76C62CD82}" name="room_count" totalsRowFunction="average"/>
    <tableColumn id="12" xr3:uid="{0964C314-7DF2-428A-B389-C4018B117F63}" name="avg_room_size" totalsRowFunction="average" dataDxfId="73"/>
    <tableColumn id="13" xr3:uid="{538B9077-AD1D-4F32-B5C7-746A842D0C3D}" name="max_room_size" totalsRowFunction="average"/>
    <tableColumn id="14" xr3:uid="{86A41E4E-9FDB-4C69-B271-02C17F0E0A24}" name="min_room_size" totalsRowFunction="average"/>
    <tableColumn id="15" xr3:uid="{0926F1B8-C7BD-4448-8D52-E6B1A2E24A37}" name="room_tiles" totalsRowFunction="average"/>
    <tableColumn id="16" xr3:uid="{720EF88F-027A-43D5-AF5E-48ED3DC408C4}" name="room_ratio" totalsRowFunction="average" dataCellStyle="Procenta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BAE463-6BB9-4982-93DE-6291C21B540D}" name="CA4_wall50_it5_neigh3" displayName="CA4_wall50_it5_neigh3" ref="A1:P52" totalsRowCount="1">
  <autoFilter ref="A1:P51" xr:uid="{75BAE463-6BB9-4982-93DE-6291C21B540D}"/>
  <tableColumns count="16">
    <tableColumn id="1" xr3:uid="{B7751CFE-AAE7-4726-A982-22893FCFC3DC}" name="algorithm" totalsRowLabel="Průměr" dataDxfId="43"/>
    <tableColumn id="2" xr3:uid="{2ADA550F-6374-421D-AFC2-CC51C8A87229}" name="seed" dataDxfId="42"/>
    <tableColumn id="3" xr3:uid="{6670208F-8177-4BBA-BB63-AA5EE4F2A4CA}" name="floors" totalsRowFunction="average"/>
    <tableColumn id="4" xr3:uid="{3C47E27B-02A4-4F78-8C8D-540A96013F36}" name="walls" totalsRowFunction="average"/>
    <tableColumn id="5" xr3:uid="{2ECDC0B7-50AB-4C9E-B610-40A229E59412}" name="floor_percent" totalsRowFunction="average" dataCellStyle="Procenta"/>
    <tableColumn id="6" xr3:uid="{4F115D69-31CC-49CF-BE38-B3C598419A51}" name="wall_percent" totalsRowFunction="average" dataCellStyle="Procenta"/>
    <tableColumn id="7" xr3:uid="{67E2AAB9-D82D-4F20-93AD-ED0955D8AD01}" name="longest_shortest_path" totalsRowFunction="average"/>
    <tableColumn id="8" xr3:uid="{99CBA8AE-17A1-4F10-9AB7-9F5D86B8325B}" name="component_count" totalsRowFunction="average"/>
    <tableColumn id="9" xr3:uid="{5FCC91E6-2024-4C9F-8FE1-FA8791D3DC66}" name="max_component_size" totalsRowFunction="average"/>
    <tableColumn id="10" xr3:uid="{9D64DD35-0F13-4987-895B-8444A14451DC}" name="connectivity_ratio" totalsRowFunction="average" dataDxfId="9" totalsRowDxfId="8" dataCellStyle="Procenta"/>
    <tableColumn id="11" xr3:uid="{C9310144-51FC-4891-85AF-46BC8A0000CA}" name="room_count" totalsRowFunction="average"/>
    <tableColumn id="12" xr3:uid="{C7689F5D-CAFA-418A-A3C1-014CE8520C74}" name="avg_room_size" totalsRowFunction="average" dataDxfId="72"/>
    <tableColumn id="13" xr3:uid="{7FAB6BF7-9034-40A1-BDB9-CF2A837FEC08}" name="max_room_size" totalsRowFunction="average"/>
    <tableColumn id="14" xr3:uid="{FEECA239-FCB6-4A01-BEE9-36069FA58787}" name="min_room_size" totalsRowFunction="average"/>
    <tableColumn id="15" xr3:uid="{C1510CFF-093E-4CE0-8C30-1FAC352E13D6}" name="room_tiles" totalsRowFunction="average"/>
    <tableColumn id="16" xr3:uid="{2616BC39-8DF0-4C75-8BA3-E626CBD493A5}" name="room_ratio" totalsRowFunction="average" dataCellStyle="Procent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387B15-2448-4604-AD91-4FDE8937C95D}" name="CA4_wall50_it4_neigh3" displayName="CA4_wall50_it4_neigh3" ref="A1:P52" totalsRowCount="1">
  <autoFilter ref="A1:P51" xr:uid="{7D387B15-2448-4604-AD91-4FDE8937C95D}"/>
  <tableColumns count="16">
    <tableColumn id="1" xr3:uid="{58E06D57-D768-4B0B-B882-D6B9F3873121}" name="algorithm" totalsRowLabel="Průměr" dataDxfId="41"/>
    <tableColumn id="2" xr3:uid="{5BB7FFB3-0D5A-41C6-9058-53352C715DFE}" name="seed" dataDxfId="40"/>
    <tableColumn id="3" xr3:uid="{B5C8CB6A-0437-481C-AD04-F2945D03343E}" name="floors" totalsRowFunction="average"/>
    <tableColumn id="4" xr3:uid="{74334E69-B9CB-42E4-8596-9FA0A39C1FCC}" name="walls" totalsRowFunction="average"/>
    <tableColumn id="5" xr3:uid="{D31D1F8B-A3E5-4A2D-B9C0-33A893F77879}" name="floor_percent" totalsRowFunction="average" dataCellStyle="Procenta"/>
    <tableColumn id="6" xr3:uid="{C7977938-6AE4-4F43-A2AC-75CF14A08191}" name="wall_percent" totalsRowFunction="average" dataCellStyle="Procenta"/>
    <tableColumn id="7" xr3:uid="{D1CDEF02-26BC-4FD7-A3BB-96C3724F9710}" name="longest_shortest_path" totalsRowFunction="average"/>
    <tableColumn id="8" xr3:uid="{FE06DEB4-F1DD-4D23-AD2B-96E1CCD8BEE5}" name="component_count" totalsRowFunction="average"/>
    <tableColumn id="9" xr3:uid="{94B1B23E-989D-4AEC-AFBC-22823D11A538}" name="max_component_size" totalsRowFunction="average"/>
    <tableColumn id="10" xr3:uid="{C0286CEC-7DBD-4365-B5A5-8528BC1C27DA}" name="connectivity_ratio" totalsRowFunction="average" dataDxfId="7" totalsRowDxfId="6" dataCellStyle="Procenta"/>
    <tableColumn id="11" xr3:uid="{28FA56DD-AFBE-457E-ABA0-B488BF9D872D}" name="room_count" totalsRowFunction="average"/>
    <tableColumn id="12" xr3:uid="{7AEA5F40-C1EE-4A93-94FD-4700D8EAAB78}" name="avg_room_size" totalsRowFunction="average" dataDxfId="71"/>
    <tableColumn id="13" xr3:uid="{E6041A0F-B06F-4717-B167-85B24D5505D0}" name="max_room_size" totalsRowFunction="average"/>
    <tableColumn id="14" xr3:uid="{06C91CEF-B24B-4FB1-9855-67D023DCA55C}" name="min_room_size" totalsRowFunction="average"/>
    <tableColumn id="15" xr3:uid="{4195D803-41FC-41CA-BB6E-5D74F21CADD8}" name="room_tiles" totalsRowFunction="average"/>
    <tableColumn id="16" xr3:uid="{27CD157E-52FF-4043-A0E7-80A741726292}" name="room_ratio" totalsRowFunction="average" dataCellStyle="Procenta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051BE1-20D8-48F0-8D2D-C7830C97AA2A}" name="CA4_wall50_it3_neigh3" displayName="CA4_wall50_it3_neigh3" ref="A1:P52" totalsRowCount="1">
  <autoFilter ref="A1:P51" xr:uid="{0F051BE1-20D8-48F0-8D2D-C7830C97AA2A}"/>
  <tableColumns count="16">
    <tableColumn id="1" xr3:uid="{3EBB4787-9426-4236-98A3-A83C7690D361}" name="algorithm" totalsRowLabel="Průměr" dataDxfId="39"/>
    <tableColumn id="2" xr3:uid="{3234D39A-FE4F-4150-91E3-7D7F31D48DD4}" name="seed" dataDxfId="38"/>
    <tableColumn id="3" xr3:uid="{69946AFA-A942-4E6C-B8B8-A7A65AAE8B8E}" name="floors" totalsRowFunction="average"/>
    <tableColumn id="4" xr3:uid="{A901A70F-B71A-4207-A179-1270FE88561D}" name="walls" totalsRowFunction="average"/>
    <tableColumn id="5" xr3:uid="{347D71E8-1F71-426C-923D-8B552B199022}" name="floor_percent" totalsRowFunction="average" dataCellStyle="Procenta"/>
    <tableColumn id="6" xr3:uid="{9562525F-05BA-41CD-A03F-09F2D86E90D7}" name="wall_percent" totalsRowFunction="average" dataCellStyle="Procenta"/>
    <tableColumn id="7" xr3:uid="{B10A24EC-FEBE-4B15-B3F6-84A04C31D5D8}" name="longest_shortest_path" totalsRowFunction="average"/>
    <tableColumn id="8" xr3:uid="{BF76B8BC-6C15-45E9-89EB-28790A53FC5E}" name="component_count" totalsRowFunction="average"/>
    <tableColumn id="9" xr3:uid="{017AD3B9-E1AF-42AD-9CFE-9B39948AAED9}" name="max_component_size" totalsRowFunction="average"/>
    <tableColumn id="10" xr3:uid="{7750E050-B70F-43AD-8377-49D2E1E236DE}" name="connectivity_ratio" totalsRowFunction="average" dataDxfId="5" totalsRowDxfId="4" dataCellStyle="Procenta"/>
    <tableColumn id="11" xr3:uid="{EDCB6F49-C5D7-488E-9995-9023E35CD462}" name="room_count" totalsRowFunction="average"/>
    <tableColumn id="12" xr3:uid="{F48AD589-163F-4E17-AC1E-EF16B227176F}" name="avg_room_size" totalsRowFunction="average" dataDxfId="70"/>
    <tableColumn id="13" xr3:uid="{123B0857-F28B-42EE-B238-47553D569F57}" name="max_room_size" totalsRowFunction="average"/>
    <tableColumn id="14" xr3:uid="{54AB6369-2D98-49CB-8A7C-A881CCA08124}" name="min_room_size" totalsRowFunction="average"/>
    <tableColumn id="15" xr3:uid="{19857402-306F-45EA-91BF-39E469FFE4AE}" name="room_tiles" totalsRowFunction="average"/>
    <tableColumn id="16" xr3:uid="{F7B68EE8-8B7D-4CA2-9E4A-C615A4EEE172}" name="room_ratio" totalsRowFunction="average" dataCellStyle="Procenta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F687F1-8AEE-47A2-BF1F-9F8A4E8AB73B}" name="CA4_wall50_it2_neigh3" displayName="CA4_wall50_it2_neigh3" ref="A1:P52" totalsRowCount="1">
  <autoFilter ref="A1:P51" xr:uid="{4DF687F1-8AEE-47A2-BF1F-9F8A4E8AB73B}"/>
  <tableColumns count="16">
    <tableColumn id="1" xr3:uid="{C29E0A7D-7D08-4C6A-B729-BB2B00B8F2EC}" name="algorithm" totalsRowLabel="Průměr" dataDxfId="37"/>
    <tableColumn id="2" xr3:uid="{B6717C2C-E51A-4EA0-B481-1EF3CC8F5BC5}" name="seed" dataDxfId="36"/>
    <tableColumn id="3" xr3:uid="{65A42B45-058E-4EF6-9C6C-02F6D2DFDE1F}" name="floors" totalsRowFunction="average"/>
    <tableColumn id="4" xr3:uid="{0B750291-C7B8-460C-BC79-647665C5E61B}" name="walls" totalsRowFunction="average"/>
    <tableColumn id="5" xr3:uid="{43143EC2-87B1-4FAA-B69F-63A374CC7FA2}" name="floor_percent" totalsRowFunction="average" dataCellStyle="Procenta"/>
    <tableColumn id="6" xr3:uid="{570D6847-5213-4A5B-A959-BDDF8AE394EB}" name="wall_percent" totalsRowFunction="average" dataCellStyle="Procenta"/>
    <tableColumn id="7" xr3:uid="{6391C497-C0E3-496B-B879-996A7C9FFFDB}" name="longest_shortest_path" totalsRowFunction="average"/>
    <tableColumn id="8" xr3:uid="{28266798-97BC-46AB-AA4C-49BB340CDEC1}" name="component_count" totalsRowFunction="average"/>
    <tableColumn id="9" xr3:uid="{8D8818E3-C255-4817-98FD-8D102E851F1D}" name="max_component_size" totalsRowFunction="average"/>
    <tableColumn id="10" xr3:uid="{591BA598-B9EB-4F75-B858-DE973A2B470F}" name="connectivity_ratio" totalsRowFunction="average" dataDxfId="3" totalsRowDxfId="2" dataCellStyle="Procenta"/>
    <tableColumn id="11" xr3:uid="{D0BF8DB1-C4FC-427F-B038-CBBC59F8B908}" name="room_count" totalsRowFunction="average"/>
    <tableColumn id="12" xr3:uid="{C74BA838-6FC3-48D1-9D36-75D1CC81333D}" name="avg_room_size" totalsRowFunction="average" dataDxfId="69"/>
    <tableColumn id="13" xr3:uid="{547353B8-06FC-4691-9280-5D7EF57B7BC6}" name="max_room_size" totalsRowFunction="average"/>
    <tableColumn id="14" xr3:uid="{BDE438C6-2C52-4ECF-9B09-74DEDC9993DF}" name="min_room_size" totalsRowFunction="average"/>
    <tableColumn id="15" xr3:uid="{AF01B257-73F0-4670-A5A6-AC0F99F00D07}" name="room_tiles" totalsRowFunction="average"/>
    <tableColumn id="16" xr3:uid="{8927920A-2278-4F0B-B732-B8996A9B2283}" name="room_ratio" totalsRowFunction="average" dataCellStyle="Procenta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1A5BFD-81DD-4A26-B761-145D4D5F9885}" name="CA4_wall50_it2_neigh2" displayName="CA4_wall50_it2_neigh2" ref="A1:P52" totalsRowCount="1">
  <autoFilter ref="A1:P51" xr:uid="{311A5BFD-81DD-4A26-B761-145D4D5F9885}"/>
  <tableColumns count="16">
    <tableColumn id="1" xr3:uid="{BA99C7A8-1A98-45AD-8CDD-1B4A94D2E570}" name="algorithm" totalsRowLabel="Průměr" dataDxfId="35"/>
    <tableColumn id="2" xr3:uid="{7BB75407-7345-4477-92D7-04C6FC07E6E4}" name="seed" dataDxfId="34"/>
    <tableColumn id="3" xr3:uid="{17C631FE-CEEF-46D1-8E16-33E400E87D00}" name="floors" totalsRowFunction="average"/>
    <tableColumn id="4" xr3:uid="{DC307194-C7E2-41D2-BC95-441DBB400910}" name="walls" totalsRowFunction="average"/>
    <tableColumn id="5" xr3:uid="{CDFD6B3D-33FA-4E17-AAEF-8C1F51B526D6}" name="floor_percent" totalsRowFunction="average" dataCellStyle="Procenta"/>
    <tableColumn id="6" xr3:uid="{40F6D6AA-97A8-4B28-810E-B6BB04040DC1}" name="wall_percent" totalsRowFunction="average" dataCellStyle="Procenta"/>
    <tableColumn id="7" xr3:uid="{4132B7FA-3BC0-41BB-97DC-55D41525E7D3}" name="longest_shortest_path" totalsRowFunction="average"/>
    <tableColumn id="8" xr3:uid="{52C3B64D-082D-4C21-A0A6-0733C6E82A6B}" name="component_count" totalsRowFunction="average"/>
    <tableColumn id="9" xr3:uid="{9299DD03-1096-41C9-9CBA-47D85A1B12BA}" name="max_component_size" totalsRowFunction="average"/>
    <tableColumn id="10" xr3:uid="{E366F88C-480E-420C-BD9A-275048E1D34D}" name="connectivity_ratio" totalsRowFunction="average" dataDxfId="1" totalsRowDxfId="0" dataCellStyle="Procenta"/>
    <tableColumn id="11" xr3:uid="{102E6728-DCA8-46F2-B28B-EAEAE629A3D7}" name="room_count" totalsRowFunction="average"/>
    <tableColumn id="12" xr3:uid="{10CF6968-5975-49B2-BEDD-E5EB2ACC12A4}" name="avg_room_size" totalsRowFunction="average" dataDxfId="68"/>
    <tableColumn id="13" xr3:uid="{9DB81EB5-04E7-4E87-935B-C9F601A7CBD2}" name="max_room_size" totalsRowFunction="average"/>
    <tableColumn id="14" xr3:uid="{63F787D9-030E-4116-8C0D-4D011FAD42EE}" name="min_room_size" totalsRowFunction="average"/>
    <tableColumn id="15" xr3:uid="{328BA059-11EF-4F15-9120-81481B2094AF}" name="room_tiles" totalsRowFunction="average"/>
    <tableColumn id="16" xr3:uid="{10C553C1-FAB2-4849-8CEC-477F3315EFF1}" name="room_ratio" totalsRowFunction="average" dataCellStyle="Procenta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57D0D2-3E7F-4347-91D4-658683B6F340}" name="CA4_wall50_it1_neigh3" displayName="CA4_wall50_it1_neigh3" ref="A1:P52" totalsRowCount="1">
  <autoFilter ref="A1:P51" xr:uid="{FE57D0D2-3E7F-4347-91D4-658683B6F340}"/>
  <tableColumns count="16">
    <tableColumn id="1" xr3:uid="{BFADFD70-4A10-4222-A4C9-2D8B264448A0}" name="algorithm" totalsRowLabel="Průměr" dataDxfId="33"/>
    <tableColumn id="2" xr3:uid="{90F57473-A4B4-496D-A8EF-5ACA1D55E1A1}" name="seed" dataDxfId="32"/>
    <tableColumn id="3" xr3:uid="{667D1981-39BD-48E9-B14A-BBE45A99F0A6}" name="floors" totalsRowFunction="average"/>
    <tableColumn id="4" xr3:uid="{5A368C16-D476-4BD1-BB77-8CC227AE6D98}" name="walls" totalsRowFunction="average"/>
    <tableColumn id="5" xr3:uid="{2CBAFA2C-6114-411E-9F14-F213E272E01A}" name="floor_percent" totalsRowFunction="average" dataCellStyle="Procenta"/>
    <tableColumn id="6" xr3:uid="{6E9790A7-1661-4320-933D-F4251664DA8E}" name="wall_percent" totalsRowFunction="average" dataCellStyle="Procenta"/>
    <tableColumn id="7" xr3:uid="{DCDA10C5-7908-4D7E-8D71-7CC505331405}" name="longest_shortest_path" totalsRowFunction="average"/>
    <tableColumn id="8" xr3:uid="{84611BA0-2DE4-41C0-B0E6-0A082CAFE3AA}" name="component_count" totalsRowFunction="average"/>
    <tableColumn id="9" xr3:uid="{905BF310-127B-42A5-9FBA-5B0B40D6A103}" name="max_component_size" totalsRowFunction="average"/>
    <tableColumn id="10" xr3:uid="{16022FFD-83A0-412F-B871-0CC1B05B1E82}" name="connectivity_ratio" totalsRowFunction="average" dataDxfId="31" dataCellStyle="Procenta"/>
    <tableColumn id="11" xr3:uid="{DFDB6056-DBF6-4E71-980F-9AE1682E95CC}" name="room_count" totalsRowFunction="average"/>
    <tableColumn id="12" xr3:uid="{D9004F0B-6CC0-431B-8AD2-19DAEBF7932D}" name="avg_room_size" totalsRowFunction="average" dataDxfId="67"/>
    <tableColumn id="13" xr3:uid="{D13689B9-9891-41FB-ACB9-B124659600BE}" name="max_room_size" totalsRowFunction="average"/>
    <tableColumn id="14" xr3:uid="{87011B0F-D4C7-49B1-AFF2-03C302BFD44D}" name="min_room_size" totalsRowFunction="average"/>
    <tableColumn id="15" xr3:uid="{F711875B-9964-49A5-B412-41D1495FD28B}" name="room_tiles" totalsRowFunction="average"/>
    <tableColumn id="16" xr3:uid="{D95935DB-AE58-4B18-891E-E527DFC5F9AA}" name="room_ratio" totalsRowFunction="average" dataCellStyle="Procenta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D556D-1456-4211-94FD-91ABD08E3011}" name="CA4_wall30_it2_neigh3" displayName="CA4_wall30_it2_neigh3" ref="A1:P52" totalsRowCount="1">
  <autoFilter ref="A1:P51" xr:uid="{700D556D-1456-4211-94FD-91ABD08E3011}"/>
  <tableColumns count="16">
    <tableColumn id="1" xr3:uid="{F73553A4-5101-4BB6-99F4-D6AB688ADC3B}" name="algorithm" totalsRowLabel="Průměr" dataDxfId="30"/>
    <tableColumn id="2" xr3:uid="{8FB35129-FB5B-46EF-96FA-27E3701F5DB2}" name="seed" dataDxfId="29"/>
    <tableColumn id="3" xr3:uid="{D2E64B35-A7EC-4CC6-A269-7E4A8CBA4A9C}" name="floors" totalsRowFunction="average"/>
    <tableColumn id="4" xr3:uid="{24F2E4B0-A8CD-4F40-B6A0-A42C44B1467B}" name="walls" totalsRowFunction="average"/>
    <tableColumn id="5" xr3:uid="{4AC078FE-3C89-4659-82EA-7C7FDDD45A96}" name="floor_percent" totalsRowFunction="average" dataCellStyle="Procenta"/>
    <tableColumn id="6" xr3:uid="{F41A123E-3C1C-417B-87F5-267E30F2CE59}" name="wall_percent" totalsRowFunction="average" dataCellStyle="Procenta"/>
    <tableColumn id="7" xr3:uid="{44EACF46-9B3B-4F10-AAA3-20023084ABA8}" name="longest_shortest_path" totalsRowFunction="average"/>
    <tableColumn id="8" xr3:uid="{40D03817-DB77-4509-83FB-980156B19CAD}" name="component_count" totalsRowFunction="average"/>
    <tableColumn id="9" xr3:uid="{9037412C-6A1E-4302-8A67-F07110A32327}" name="max_component_size" totalsRowFunction="average"/>
    <tableColumn id="10" xr3:uid="{DEC5D94F-67A0-4D3C-8C47-C8BBB5F1E7ED}" name="connectivity_ratio" totalsRowFunction="average" dataDxfId="66"/>
    <tableColumn id="11" xr3:uid="{3EA79EC0-9A36-436C-993B-CD2D2B8366B8}" name="room_count" totalsRowFunction="average"/>
    <tableColumn id="12" xr3:uid="{1FC79072-084F-444B-AEED-F4241FE44E20}" name="avg_room_size" totalsRowFunction="average" dataDxfId="65"/>
    <tableColumn id="13" xr3:uid="{739A90E0-8FA3-48CE-898C-1A4B35CA4A21}" name="max_room_size" totalsRowFunction="average"/>
    <tableColumn id="14" xr3:uid="{50C47194-3B1D-44B2-88EE-87B91711942B}" name="min_room_size" totalsRowFunction="average"/>
    <tableColumn id="15" xr3:uid="{179FBF1C-B83E-4AAA-BFC7-ACB8B0C71F1E}" name="room_tiles" totalsRowFunction="average"/>
    <tableColumn id="16" xr3:uid="{C98361D4-C9CD-4869-BEBA-E555005C6407}" name="room_ratio" totalsRowFunction="average" dataCellStyle="Procenta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1B062-CF1F-4AA5-8C86-8B7AEEA71639}" name="CA4_wall30_it2_neigh2" displayName="CA4_wall30_it2_neigh2" ref="A1:P52" totalsRowCount="1">
  <autoFilter ref="A1:P51" xr:uid="{36E1B062-CF1F-4AA5-8C86-8B7AEEA71639}"/>
  <tableColumns count="16">
    <tableColumn id="1" xr3:uid="{4723BA40-BA2E-4047-B4B7-7F0917E3E848}" name="algorithm" totalsRowLabel="Průměr" dataDxfId="28"/>
    <tableColumn id="2" xr3:uid="{9BF1FE54-177E-4B79-8890-82CA4C5701FB}" name="seed" dataDxfId="27" totalsRowDxfId="26"/>
    <tableColumn id="3" xr3:uid="{C8EEB114-0D00-46C8-A995-CC80730D3F49}" name="floors" totalsRowFunction="average"/>
    <tableColumn id="4" xr3:uid="{AD540626-969D-403F-AAC8-98A7CC941FCD}" name="walls" totalsRowFunction="average"/>
    <tableColumn id="5" xr3:uid="{BDF3863E-664D-4782-B0DB-1DBF9DDA93DC}" name="floor_percent" totalsRowFunction="average" dataCellStyle="Procenta"/>
    <tableColumn id="6" xr3:uid="{7622F388-BF56-4875-9EC2-0CB0B69DD097}" name="wall_percent" totalsRowFunction="average" dataCellStyle="Procenta"/>
    <tableColumn id="7" xr3:uid="{9B8FA2F0-E5C9-421B-B9F1-D943D01A6B40}" name="longest_shortest_path" totalsRowFunction="average"/>
    <tableColumn id="8" xr3:uid="{4F13B4C0-0EE5-4C8F-9AFA-F0C13BFD7C06}" name="component_count" totalsRowFunction="average"/>
    <tableColumn id="9" xr3:uid="{04E76FE4-5E1A-4425-A80B-C76AC92A685D}" name="max_component_size" totalsRowFunction="average"/>
    <tableColumn id="10" xr3:uid="{99EBF4DC-0A5F-4FD9-BCE3-071F012B1223}" name="connectivity_ratio" totalsRowFunction="average" dataDxfId="64"/>
    <tableColumn id="11" xr3:uid="{5970CEC3-0174-4684-9056-A4BCF8425F58}" name="room_count" totalsRowFunction="average"/>
    <tableColumn id="12" xr3:uid="{7E888447-B214-4E11-90A0-52A9B9D259D7}" name="avg_room_size" totalsRowFunction="average" dataDxfId="63"/>
    <tableColumn id="13" xr3:uid="{C93A963E-0D41-4C33-9A50-81AC3B455B67}" name="max_room_size" totalsRowFunction="average"/>
    <tableColumn id="14" xr3:uid="{CC93DAC5-797B-4EEF-B42D-8D08A84A45B5}" name="min_room_size" totalsRowFunction="average"/>
    <tableColumn id="15" xr3:uid="{DD4A78F9-E95A-4F66-8B81-5A0A0C7F1827}" name="room_tiles" totalsRowFunction="average"/>
    <tableColumn id="16" xr3:uid="{EF0A26CD-4FA2-4CE2-A344-3958911FAFAD}" name="room_ratio" totalsRowFunction="average" dataCellStyle="Proc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8990-BA28-4F09-8633-D6BA0195468F}">
  <dimension ref="A1:P53"/>
  <sheetViews>
    <sheetView workbookViewId="0">
      <selection activeCell="J1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1656458030</v>
      </c>
      <c r="C2">
        <v>1637</v>
      </c>
      <c r="D2">
        <v>863</v>
      </c>
      <c r="E2" s="23">
        <v>0.65480000000000005</v>
      </c>
      <c r="F2" s="23">
        <v>0.34520000000000001</v>
      </c>
      <c r="G2">
        <v>57</v>
      </c>
      <c r="H2">
        <v>3</v>
      </c>
      <c r="I2">
        <v>1629</v>
      </c>
      <c r="J2" s="27">
        <v>0.99511300000000003</v>
      </c>
      <c r="K2">
        <v>8</v>
      </c>
      <c r="L2">
        <v>156.125</v>
      </c>
      <c r="M2">
        <v>1059</v>
      </c>
      <c r="N2">
        <v>6</v>
      </c>
      <c r="O2">
        <v>1249</v>
      </c>
      <c r="P2" s="23">
        <v>0.76298100000000002</v>
      </c>
    </row>
    <row r="3" spans="1:16" x14ac:dyDescent="0.25">
      <c r="A3" t="s">
        <v>24</v>
      </c>
      <c r="B3" s="22">
        <v>1697130323</v>
      </c>
      <c r="C3">
        <v>1726</v>
      </c>
      <c r="D3">
        <v>774</v>
      </c>
      <c r="E3" s="23">
        <v>0.69040000000000001</v>
      </c>
      <c r="F3" s="23">
        <v>0.30959999999999999</v>
      </c>
      <c r="G3">
        <v>53</v>
      </c>
      <c r="H3">
        <v>2</v>
      </c>
      <c r="I3">
        <v>1724</v>
      </c>
      <c r="J3" s="27">
        <v>0.99884099999999998</v>
      </c>
      <c r="K3">
        <v>5</v>
      </c>
      <c r="L3">
        <v>271.39999999999998</v>
      </c>
      <c r="M3">
        <v>1325</v>
      </c>
      <c r="N3">
        <v>2</v>
      </c>
      <c r="O3">
        <v>1357</v>
      </c>
      <c r="P3" s="23">
        <v>0.78621099999999999</v>
      </c>
    </row>
    <row r="4" spans="1:16" x14ac:dyDescent="0.25">
      <c r="A4" t="s">
        <v>24</v>
      </c>
      <c r="B4" s="22">
        <v>530984276</v>
      </c>
      <c r="C4">
        <v>1315</v>
      </c>
      <c r="D4">
        <v>1185</v>
      </c>
      <c r="E4" s="23">
        <v>0.52600000000000002</v>
      </c>
      <c r="F4" s="23">
        <v>0.47399999999999998</v>
      </c>
      <c r="G4">
        <v>59</v>
      </c>
      <c r="H4">
        <v>7</v>
      </c>
      <c r="I4">
        <v>1266</v>
      </c>
      <c r="J4" s="27">
        <v>0.96273799999999998</v>
      </c>
      <c r="K4">
        <v>14</v>
      </c>
      <c r="L4">
        <v>59.571429000000002</v>
      </c>
      <c r="M4">
        <v>223</v>
      </c>
      <c r="N4">
        <v>1</v>
      </c>
      <c r="O4">
        <v>834</v>
      </c>
      <c r="P4" s="23">
        <v>0.63422100000000003</v>
      </c>
    </row>
    <row r="5" spans="1:16" x14ac:dyDescent="0.25">
      <c r="A5" t="s">
        <v>24</v>
      </c>
      <c r="B5" s="22">
        <v>766250870</v>
      </c>
      <c r="C5">
        <v>1508</v>
      </c>
      <c r="D5">
        <v>992</v>
      </c>
      <c r="E5" s="23">
        <v>0.60319999999999996</v>
      </c>
      <c r="F5" s="23">
        <v>0.39679999999999999</v>
      </c>
      <c r="G5">
        <v>67</v>
      </c>
      <c r="H5">
        <v>3</v>
      </c>
      <c r="I5">
        <v>1501</v>
      </c>
      <c r="J5" s="27">
        <v>0.99535799999999997</v>
      </c>
      <c r="K5">
        <v>8</v>
      </c>
      <c r="L5">
        <v>139.5</v>
      </c>
      <c r="M5">
        <v>418</v>
      </c>
      <c r="N5">
        <v>1</v>
      </c>
      <c r="O5">
        <v>1116</v>
      </c>
      <c r="P5" s="23">
        <v>0.74005299999999996</v>
      </c>
    </row>
    <row r="6" spans="1:16" x14ac:dyDescent="0.25">
      <c r="A6" t="s">
        <v>24</v>
      </c>
      <c r="B6" s="22">
        <v>1177903256</v>
      </c>
      <c r="C6">
        <v>1552</v>
      </c>
      <c r="D6">
        <v>948</v>
      </c>
      <c r="E6" s="23">
        <v>0.62080000000000002</v>
      </c>
      <c r="F6" s="23">
        <v>0.37919999999999998</v>
      </c>
      <c r="G6">
        <v>58</v>
      </c>
      <c r="H6">
        <v>5</v>
      </c>
      <c r="I6">
        <v>1542</v>
      </c>
      <c r="J6" s="27">
        <v>0.99355700000000002</v>
      </c>
      <c r="K6">
        <v>9</v>
      </c>
      <c r="L6">
        <v>121.222222</v>
      </c>
      <c r="M6">
        <v>1000</v>
      </c>
      <c r="N6">
        <v>4</v>
      </c>
      <c r="O6">
        <v>1091</v>
      </c>
      <c r="P6" s="23">
        <v>0.70296400000000003</v>
      </c>
    </row>
    <row r="7" spans="1:16" x14ac:dyDescent="0.25">
      <c r="A7" t="s">
        <v>24</v>
      </c>
      <c r="B7" s="22">
        <v>1168986808</v>
      </c>
      <c r="C7">
        <v>1448</v>
      </c>
      <c r="D7">
        <v>1052</v>
      </c>
      <c r="E7" s="23">
        <v>0.57920000000000005</v>
      </c>
      <c r="F7" s="23">
        <v>0.42080000000000001</v>
      </c>
      <c r="G7">
        <v>70</v>
      </c>
      <c r="H7">
        <v>5</v>
      </c>
      <c r="I7">
        <v>1415</v>
      </c>
      <c r="J7" s="27">
        <v>0.97721000000000002</v>
      </c>
      <c r="K7">
        <v>14</v>
      </c>
      <c r="L7">
        <v>71</v>
      </c>
      <c r="M7">
        <v>784</v>
      </c>
      <c r="N7">
        <v>1</v>
      </c>
      <c r="O7">
        <v>994</v>
      </c>
      <c r="P7" s="23">
        <v>0.68646399999999996</v>
      </c>
    </row>
    <row r="8" spans="1:16" x14ac:dyDescent="0.25">
      <c r="A8" t="s">
        <v>24</v>
      </c>
      <c r="B8" s="22">
        <v>804880115</v>
      </c>
      <c r="C8">
        <v>1456</v>
      </c>
      <c r="D8">
        <v>1044</v>
      </c>
      <c r="E8" s="23">
        <v>0.58240000000000003</v>
      </c>
      <c r="F8" s="23">
        <v>0.41760000000000003</v>
      </c>
      <c r="G8">
        <v>59</v>
      </c>
      <c r="H8">
        <v>4</v>
      </c>
      <c r="I8">
        <v>1435</v>
      </c>
      <c r="J8" s="27">
        <v>0.98557700000000004</v>
      </c>
      <c r="K8">
        <v>13</v>
      </c>
      <c r="L8">
        <v>77.769231000000005</v>
      </c>
      <c r="M8">
        <v>458</v>
      </c>
      <c r="N8">
        <v>1</v>
      </c>
      <c r="O8">
        <v>1011</v>
      </c>
      <c r="P8" s="23">
        <v>0.69436799999999999</v>
      </c>
    </row>
    <row r="9" spans="1:16" x14ac:dyDescent="0.25">
      <c r="A9" t="s">
        <v>24</v>
      </c>
      <c r="B9" s="22">
        <v>947159355</v>
      </c>
      <c r="C9">
        <v>1615</v>
      </c>
      <c r="D9">
        <v>885</v>
      </c>
      <c r="E9" s="23">
        <v>0.64600000000000002</v>
      </c>
      <c r="F9" s="23">
        <v>0.35399999999999998</v>
      </c>
      <c r="G9">
        <v>57</v>
      </c>
      <c r="H9">
        <v>2</v>
      </c>
      <c r="I9">
        <v>1613</v>
      </c>
      <c r="J9" s="27">
        <v>0.99876200000000004</v>
      </c>
      <c r="K9">
        <v>9</v>
      </c>
      <c r="L9">
        <v>127</v>
      </c>
      <c r="M9">
        <v>446</v>
      </c>
      <c r="N9">
        <v>2</v>
      </c>
      <c r="O9">
        <v>1143</v>
      </c>
      <c r="P9" s="23">
        <v>0.70774000000000004</v>
      </c>
    </row>
    <row r="10" spans="1:16" x14ac:dyDescent="0.25">
      <c r="A10" t="s">
        <v>24</v>
      </c>
      <c r="B10" s="22">
        <v>2119089613</v>
      </c>
      <c r="C10">
        <v>1487</v>
      </c>
      <c r="D10">
        <v>1013</v>
      </c>
      <c r="E10" s="23">
        <v>0.5948</v>
      </c>
      <c r="F10" s="23">
        <v>0.4052</v>
      </c>
      <c r="G10">
        <v>64</v>
      </c>
      <c r="H10">
        <v>2</v>
      </c>
      <c r="I10">
        <v>1484</v>
      </c>
      <c r="J10" s="27">
        <v>0.99798299999999995</v>
      </c>
      <c r="K10">
        <v>11</v>
      </c>
      <c r="L10">
        <v>98.272727000000003</v>
      </c>
      <c r="M10">
        <v>811</v>
      </c>
      <c r="N10">
        <v>1</v>
      </c>
      <c r="O10">
        <v>1081</v>
      </c>
      <c r="P10" s="23">
        <v>0.72696700000000003</v>
      </c>
    </row>
    <row r="11" spans="1:16" x14ac:dyDescent="0.25">
      <c r="A11" t="s">
        <v>24</v>
      </c>
      <c r="B11" s="22">
        <v>649837607</v>
      </c>
      <c r="C11">
        <v>1486</v>
      </c>
      <c r="D11">
        <v>1014</v>
      </c>
      <c r="E11" s="23">
        <v>0.59440000000000004</v>
      </c>
      <c r="F11" s="23">
        <v>0.40560000000000002</v>
      </c>
      <c r="G11">
        <v>58</v>
      </c>
      <c r="H11">
        <v>3</v>
      </c>
      <c r="I11">
        <v>1475</v>
      </c>
      <c r="J11" s="27">
        <v>0.99259799999999998</v>
      </c>
      <c r="K11">
        <v>13</v>
      </c>
      <c r="L11">
        <v>82.153846000000001</v>
      </c>
      <c r="M11">
        <v>718</v>
      </c>
      <c r="N11">
        <v>1</v>
      </c>
      <c r="O11">
        <v>1068</v>
      </c>
      <c r="P11" s="23">
        <v>0.71870800000000001</v>
      </c>
    </row>
    <row r="12" spans="1:16" x14ac:dyDescent="0.25">
      <c r="A12" t="s">
        <v>24</v>
      </c>
      <c r="B12" s="22">
        <v>126451165</v>
      </c>
      <c r="C12">
        <v>1592</v>
      </c>
      <c r="D12">
        <v>908</v>
      </c>
      <c r="E12" s="23">
        <v>0.63680000000000003</v>
      </c>
      <c r="F12" s="23">
        <v>0.36320000000000002</v>
      </c>
      <c r="G12">
        <v>55</v>
      </c>
      <c r="H12">
        <v>1</v>
      </c>
      <c r="I12">
        <v>1592</v>
      </c>
      <c r="J12" s="27">
        <v>1</v>
      </c>
      <c r="K12">
        <v>9</v>
      </c>
      <c r="L12">
        <v>132.11111099999999</v>
      </c>
      <c r="M12">
        <v>934</v>
      </c>
      <c r="N12">
        <v>3</v>
      </c>
      <c r="O12">
        <v>1189</v>
      </c>
      <c r="P12" s="23">
        <v>0.74685900000000005</v>
      </c>
    </row>
    <row r="13" spans="1:16" x14ac:dyDescent="0.25">
      <c r="A13" t="s">
        <v>24</v>
      </c>
      <c r="B13" s="22">
        <v>1255332859</v>
      </c>
      <c r="C13">
        <v>1555</v>
      </c>
      <c r="D13">
        <v>945</v>
      </c>
      <c r="E13" s="23">
        <v>0.622</v>
      </c>
      <c r="F13" s="23">
        <v>0.378</v>
      </c>
      <c r="G13">
        <v>76</v>
      </c>
      <c r="H13">
        <v>3</v>
      </c>
      <c r="I13">
        <v>1528</v>
      </c>
      <c r="J13" s="27">
        <v>0.98263699999999998</v>
      </c>
      <c r="K13">
        <v>6</v>
      </c>
      <c r="L13">
        <v>195</v>
      </c>
      <c r="M13">
        <v>711</v>
      </c>
      <c r="N13">
        <v>2</v>
      </c>
      <c r="O13">
        <v>1170</v>
      </c>
      <c r="P13" s="23">
        <v>0.75241199999999997</v>
      </c>
    </row>
    <row r="14" spans="1:16" x14ac:dyDescent="0.25">
      <c r="A14" t="s">
        <v>24</v>
      </c>
      <c r="B14" s="22">
        <v>2099276367</v>
      </c>
      <c r="C14">
        <v>1615</v>
      </c>
      <c r="D14">
        <v>885</v>
      </c>
      <c r="E14" s="23">
        <v>0.64600000000000002</v>
      </c>
      <c r="F14" s="23">
        <v>0.35399999999999998</v>
      </c>
      <c r="G14">
        <v>63</v>
      </c>
      <c r="H14">
        <v>3</v>
      </c>
      <c r="I14">
        <v>1597</v>
      </c>
      <c r="J14" s="27">
        <v>0.98885400000000001</v>
      </c>
      <c r="K14">
        <v>10</v>
      </c>
      <c r="L14">
        <v>125.6</v>
      </c>
      <c r="M14">
        <v>1022</v>
      </c>
      <c r="N14">
        <v>1</v>
      </c>
      <c r="O14">
        <v>1256</v>
      </c>
      <c r="P14" s="23">
        <v>0.77770899999999998</v>
      </c>
    </row>
    <row r="15" spans="1:16" x14ac:dyDescent="0.25">
      <c r="A15" t="s">
        <v>24</v>
      </c>
      <c r="B15" s="22">
        <v>1403928242</v>
      </c>
      <c r="C15">
        <v>1688</v>
      </c>
      <c r="D15">
        <v>812</v>
      </c>
      <c r="E15" s="23">
        <v>0.67520000000000002</v>
      </c>
      <c r="F15" s="23">
        <v>0.32479999999999998</v>
      </c>
      <c r="G15">
        <v>65</v>
      </c>
      <c r="H15">
        <v>3</v>
      </c>
      <c r="I15">
        <v>1662</v>
      </c>
      <c r="J15" s="27">
        <v>0.98459700000000006</v>
      </c>
      <c r="K15">
        <v>6</v>
      </c>
      <c r="L15">
        <v>218.66666699999999</v>
      </c>
      <c r="M15">
        <v>998</v>
      </c>
      <c r="N15">
        <v>6</v>
      </c>
      <c r="O15">
        <v>1312</v>
      </c>
      <c r="P15" s="23">
        <v>0.77725100000000003</v>
      </c>
    </row>
    <row r="16" spans="1:16" x14ac:dyDescent="0.25">
      <c r="A16" t="s">
        <v>24</v>
      </c>
      <c r="B16" s="22">
        <v>639894184</v>
      </c>
      <c r="C16">
        <v>1633</v>
      </c>
      <c r="D16">
        <v>867</v>
      </c>
      <c r="E16" s="23">
        <v>0.6532</v>
      </c>
      <c r="F16" s="23">
        <v>0.3468</v>
      </c>
      <c r="G16">
        <v>53</v>
      </c>
      <c r="H16">
        <v>3</v>
      </c>
      <c r="I16">
        <v>1629</v>
      </c>
      <c r="J16" s="27">
        <v>0.99755099999999997</v>
      </c>
      <c r="K16">
        <v>7</v>
      </c>
      <c r="L16">
        <v>170.71428599999999</v>
      </c>
      <c r="M16">
        <v>769</v>
      </c>
      <c r="N16">
        <v>12</v>
      </c>
      <c r="O16">
        <v>1195</v>
      </c>
      <c r="P16" s="23">
        <v>0.73178200000000004</v>
      </c>
    </row>
    <row r="17" spans="1:16" x14ac:dyDescent="0.25">
      <c r="A17" t="s">
        <v>24</v>
      </c>
      <c r="B17" s="22">
        <v>1654137068</v>
      </c>
      <c r="C17">
        <v>1546</v>
      </c>
      <c r="D17">
        <v>954</v>
      </c>
      <c r="E17" s="23">
        <v>0.61839999999999995</v>
      </c>
      <c r="F17" s="23">
        <v>0.38159999999999999</v>
      </c>
      <c r="G17">
        <v>57</v>
      </c>
      <c r="H17">
        <v>7</v>
      </c>
      <c r="I17">
        <v>1514</v>
      </c>
      <c r="J17" s="27">
        <v>0.97930099999999998</v>
      </c>
      <c r="K17">
        <v>12</v>
      </c>
      <c r="L17">
        <v>90.5</v>
      </c>
      <c r="M17">
        <v>899</v>
      </c>
      <c r="N17">
        <v>1</v>
      </c>
      <c r="O17">
        <v>1086</v>
      </c>
      <c r="P17" s="23">
        <v>0.70245800000000003</v>
      </c>
    </row>
    <row r="18" spans="1:16" x14ac:dyDescent="0.25">
      <c r="A18" t="s">
        <v>24</v>
      </c>
      <c r="B18" s="22">
        <v>995598808</v>
      </c>
      <c r="C18">
        <v>1559</v>
      </c>
      <c r="D18">
        <v>941</v>
      </c>
      <c r="E18" s="23">
        <v>0.62360000000000004</v>
      </c>
      <c r="F18" s="23">
        <v>0.37640000000000001</v>
      </c>
      <c r="G18">
        <v>50</v>
      </c>
      <c r="H18">
        <v>2</v>
      </c>
      <c r="I18">
        <v>1557</v>
      </c>
      <c r="J18" s="27">
        <v>0.99871699999999997</v>
      </c>
      <c r="K18">
        <v>5</v>
      </c>
      <c r="L18">
        <v>233.4</v>
      </c>
      <c r="M18">
        <v>1058</v>
      </c>
      <c r="N18">
        <v>1</v>
      </c>
      <c r="O18">
        <v>1167</v>
      </c>
      <c r="P18" s="23">
        <v>0.74855700000000003</v>
      </c>
    </row>
    <row r="19" spans="1:16" x14ac:dyDescent="0.25">
      <c r="A19" t="s">
        <v>24</v>
      </c>
      <c r="B19" s="22">
        <v>1924371357</v>
      </c>
      <c r="C19">
        <v>1783</v>
      </c>
      <c r="D19">
        <v>717</v>
      </c>
      <c r="E19" s="23">
        <v>0.71319999999999995</v>
      </c>
      <c r="F19" s="23">
        <v>0.2868</v>
      </c>
      <c r="G19">
        <v>50</v>
      </c>
      <c r="H19">
        <v>1</v>
      </c>
      <c r="I19">
        <v>1783</v>
      </c>
      <c r="J19" s="27">
        <v>1</v>
      </c>
      <c r="K19">
        <v>4</v>
      </c>
      <c r="L19">
        <v>367.5</v>
      </c>
      <c r="M19">
        <v>1397</v>
      </c>
      <c r="N19">
        <v>13</v>
      </c>
      <c r="O19">
        <v>1470</v>
      </c>
      <c r="P19" s="23">
        <v>0.82445299999999999</v>
      </c>
    </row>
    <row r="20" spans="1:16" x14ac:dyDescent="0.25">
      <c r="A20" t="s">
        <v>24</v>
      </c>
      <c r="B20" s="22">
        <v>1704159581</v>
      </c>
      <c r="C20">
        <v>1643</v>
      </c>
      <c r="D20">
        <v>857</v>
      </c>
      <c r="E20" s="23">
        <v>0.65720000000000001</v>
      </c>
      <c r="F20" s="23">
        <v>0.34279999999999999</v>
      </c>
      <c r="G20">
        <v>57</v>
      </c>
      <c r="H20">
        <v>4</v>
      </c>
      <c r="I20">
        <v>1632</v>
      </c>
      <c r="J20" s="27">
        <v>0.99330499999999999</v>
      </c>
      <c r="K20">
        <v>9</v>
      </c>
      <c r="L20">
        <v>136.66666699999999</v>
      </c>
      <c r="M20">
        <v>663</v>
      </c>
      <c r="N20">
        <v>1</v>
      </c>
      <c r="O20">
        <v>1230</v>
      </c>
      <c r="P20" s="23">
        <v>0.74863100000000005</v>
      </c>
    </row>
    <row r="21" spans="1:16" x14ac:dyDescent="0.25">
      <c r="A21" t="s">
        <v>24</v>
      </c>
      <c r="B21" s="22">
        <v>1243360250</v>
      </c>
      <c r="C21">
        <v>1717</v>
      </c>
      <c r="D21">
        <v>783</v>
      </c>
      <c r="E21" s="23">
        <v>0.68679999999999997</v>
      </c>
      <c r="F21" s="23">
        <v>0.31319999999999998</v>
      </c>
      <c r="G21">
        <v>53</v>
      </c>
      <c r="H21">
        <v>3</v>
      </c>
      <c r="I21">
        <v>1712</v>
      </c>
      <c r="J21" s="27">
        <v>0.99708799999999997</v>
      </c>
      <c r="K21">
        <v>6</v>
      </c>
      <c r="L21">
        <v>229.33333300000001</v>
      </c>
      <c r="M21">
        <v>928</v>
      </c>
      <c r="N21">
        <v>2</v>
      </c>
      <c r="O21">
        <v>1376</v>
      </c>
      <c r="P21" s="23">
        <v>0.80139800000000005</v>
      </c>
    </row>
    <row r="22" spans="1:16" x14ac:dyDescent="0.25">
      <c r="A22" t="s">
        <v>24</v>
      </c>
      <c r="B22" s="22">
        <v>1688044573</v>
      </c>
      <c r="C22">
        <v>1674</v>
      </c>
      <c r="D22">
        <v>826</v>
      </c>
      <c r="E22" s="23">
        <v>0.66959999999999997</v>
      </c>
      <c r="F22" s="23">
        <v>0.33040000000000003</v>
      </c>
      <c r="G22">
        <v>51</v>
      </c>
      <c r="H22">
        <v>2</v>
      </c>
      <c r="I22">
        <v>1650</v>
      </c>
      <c r="J22" s="27">
        <v>0.98566299999999996</v>
      </c>
      <c r="K22">
        <v>7</v>
      </c>
      <c r="L22">
        <v>188.42857100000001</v>
      </c>
      <c r="M22">
        <v>1177</v>
      </c>
      <c r="N22">
        <v>1</v>
      </c>
      <c r="O22">
        <v>1319</v>
      </c>
      <c r="P22" s="23">
        <v>0.78793299999999999</v>
      </c>
    </row>
    <row r="23" spans="1:16" x14ac:dyDescent="0.25">
      <c r="A23" t="s">
        <v>24</v>
      </c>
      <c r="B23" s="22">
        <v>1745006381</v>
      </c>
      <c r="C23">
        <v>1642</v>
      </c>
      <c r="D23">
        <v>858</v>
      </c>
      <c r="E23" s="23">
        <v>0.65680000000000005</v>
      </c>
      <c r="F23" s="23">
        <v>0.34320000000000001</v>
      </c>
      <c r="G23">
        <v>52</v>
      </c>
      <c r="H23">
        <v>3</v>
      </c>
      <c r="I23">
        <v>1634</v>
      </c>
      <c r="J23" s="27">
        <v>0.99512800000000001</v>
      </c>
      <c r="K23">
        <v>9</v>
      </c>
      <c r="L23">
        <v>142.555556</v>
      </c>
      <c r="M23">
        <v>1114</v>
      </c>
      <c r="N23">
        <v>1</v>
      </c>
      <c r="O23">
        <v>1283</v>
      </c>
      <c r="P23" s="23">
        <v>0.78136399999999995</v>
      </c>
    </row>
    <row r="24" spans="1:16" x14ac:dyDescent="0.25">
      <c r="A24" t="s">
        <v>24</v>
      </c>
      <c r="B24" s="22">
        <v>757075641</v>
      </c>
      <c r="C24">
        <v>1585</v>
      </c>
      <c r="D24">
        <v>915</v>
      </c>
      <c r="E24" s="23">
        <v>0.63400000000000001</v>
      </c>
      <c r="F24" s="23">
        <v>0.36599999999999999</v>
      </c>
      <c r="G24">
        <v>52</v>
      </c>
      <c r="H24">
        <v>2</v>
      </c>
      <c r="I24">
        <v>1577</v>
      </c>
      <c r="J24" s="27">
        <v>0.99495299999999998</v>
      </c>
      <c r="K24">
        <v>12</v>
      </c>
      <c r="L24">
        <v>95.5</v>
      </c>
      <c r="M24">
        <v>533</v>
      </c>
      <c r="N24">
        <v>1</v>
      </c>
      <c r="O24">
        <v>1146</v>
      </c>
      <c r="P24" s="23">
        <v>0.723028</v>
      </c>
    </row>
    <row r="25" spans="1:16" x14ac:dyDescent="0.25">
      <c r="A25" t="s">
        <v>24</v>
      </c>
      <c r="B25" s="22">
        <v>472448279</v>
      </c>
      <c r="C25">
        <v>1566</v>
      </c>
      <c r="D25">
        <v>934</v>
      </c>
      <c r="E25" s="23">
        <v>0.62639999999999996</v>
      </c>
      <c r="F25" s="23">
        <v>0.37359999999999999</v>
      </c>
      <c r="G25">
        <v>60</v>
      </c>
      <c r="H25">
        <v>3</v>
      </c>
      <c r="I25">
        <v>1561</v>
      </c>
      <c r="J25" s="27">
        <v>0.996807</v>
      </c>
      <c r="K25">
        <v>11</v>
      </c>
      <c r="L25">
        <v>106.090909</v>
      </c>
      <c r="M25">
        <v>961</v>
      </c>
      <c r="N25">
        <v>1</v>
      </c>
      <c r="O25">
        <v>1167</v>
      </c>
      <c r="P25" s="23">
        <v>0.74521099999999996</v>
      </c>
    </row>
    <row r="26" spans="1:16" x14ac:dyDescent="0.25">
      <c r="A26" t="s">
        <v>24</v>
      </c>
      <c r="B26" s="22">
        <v>964157602</v>
      </c>
      <c r="C26">
        <v>1703</v>
      </c>
      <c r="D26">
        <v>797</v>
      </c>
      <c r="E26" s="23">
        <v>0.68120000000000003</v>
      </c>
      <c r="F26" s="23">
        <v>0.31879999999999997</v>
      </c>
      <c r="G26">
        <v>50</v>
      </c>
      <c r="H26">
        <v>1</v>
      </c>
      <c r="I26">
        <v>1703</v>
      </c>
      <c r="J26" s="27">
        <v>1</v>
      </c>
      <c r="K26">
        <v>6</v>
      </c>
      <c r="L26">
        <v>221.5</v>
      </c>
      <c r="M26">
        <v>976</v>
      </c>
      <c r="N26">
        <v>1</v>
      </c>
      <c r="O26">
        <v>1329</v>
      </c>
      <c r="P26" s="23">
        <v>0.78038799999999997</v>
      </c>
    </row>
    <row r="27" spans="1:16" x14ac:dyDescent="0.25">
      <c r="A27" t="s">
        <v>24</v>
      </c>
      <c r="B27" s="22">
        <v>859061975</v>
      </c>
      <c r="C27">
        <v>1674</v>
      </c>
      <c r="D27">
        <v>826</v>
      </c>
      <c r="E27" s="23">
        <v>0.66959999999999997</v>
      </c>
      <c r="F27" s="23">
        <v>0.33040000000000003</v>
      </c>
      <c r="G27">
        <v>54</v>
      </c>
      <c r="H27">
        <v>4</v>
      </c>
      <c r="I27">
        <v>1657</v>
      </c>
      <c r="J27" s="27">
        <v>0.98984499999999997</v>
      </c>
      <c r="K27">
        <v>12</v>
      </c>
      <c r="L27">
        <v>105.916667</v>
      </c>
      <c r="M27">
        <v>429</v>
      </c>
      <c r="N27">
        <v>1</v>
      </c>
      <c r="O27">
        <v>1271</v>
      </c>
      <c r="P27" s="23">
        <v>0.75925900000000002</v>
      </c>
    </row>
    <row r="28" spans="1:16" x14ac:dyDescent="0.25">
      <c r="A28" t="s">
        <v>24</v>
      </c>
      <c r="B28" s="22">
        <v>1828591953</v>
      </c>
      <c r="C28">
        <v>1523</v>
      </c>
      <c r="D28">
        <v>977</v>
      </c>
      <c r="E28" s="23">
        <v>0.60919999999999996</v>
      </c>
      <c r="F28" s="23">
        <v>0.39079999999999998</v>
      </c>
      <c r="G28">
        <v>49</v>
      </c>
      <c r="H28">
        <v>8</v>
      </c>
      <c r="I28">
        <v>1415</v>
      </c>
      <c r="J28" s="27">
        <v>0.929087</v>
      </c>
      <c r="K28">
        <v>11</v>
      </c>
      <c r="L28">
        <v>100.454545</v>
      </c>
      <c r="M28">
        <v>852</v>
      </c>
      <c r="N28">
        <v>1</v>
      </c>
      <c r="O28">
        <v>1105</v>
      </c>
      <c r="P28" s="23">
        <v>0.72554200000000002</v>
      </c>
    </row>
    <row r="29" spans="1:16" x14ac:dyDescent="0.25">
      <c r="A29" t="s">
        <v>24</v>
      </c>
      <c r="B29" s="22">
        <v>366204365</v>
      </c>
      <c r="C29">
        <v>1610</v>
      </c>
      <c r="D29">
        <v>890</v>
      </c>
      <c r="E29" s="23">
        <v>0.64400000000000002</v>
      </c>
      <c r="F29" s="23">
        <v>0.35599999999999998</v>
      </c>
      <c r="G29">
        <v>54</v>
      </c>
      <c r="H29">
        <v>3</v>
      </c>
      <c r="I29">
        <v>1603</v>
      </c>
      <c r="J29" s="27">
        <v>0.99565199999999998</v>
      </c>
      <c r="K29">
        <v>5</v>
      </c>
      <c r="L29">
        <v>254.2</v>
      </c>
      <c r="M29">
        <v>1013</v>
      </c>
      <c r="N29">
        <v>1</v>
      </c>
      <c r="O29">
        <v>1271</v>
      </c>
      <c r="P29" s="23">
        <v>0.78944099999999995</v>
      </c>
    </row>
    <row r="30" spans="1:16" x14ac:dyDescent="0.25">
      <c r="A30" t="s">
        <v>24</v>
      </c>
      <c r="B30" s="22">
        <v>1915863833</v>
      </c>
      <c r="C30">
        <v>1532</v>
      </c>
      <c r="D30">
        <v>968</v>
      </c>
      <c r="E30" s="23">
        <v>0.61280000000000001</v>
      </c>
      <c r="F30" s="23">
        <v>0.38719999999999999</v>
      </c>
      <c r="G30">
        <v>49</v>
      </c>
      <c r="H30">
        <v>4</v>
      </c>
      <c r="I30">
        <v>1471</v>
      </c>
      <c r="J30" s="27">
        <v>0.96018300000000001</v>
      </c>
      <c r="K30">
        <v>10</v>
      </c>
      <c r="L30">
        <v>105.2</v>
      </c>
      <c r="M30">
        <v>953</v>
      </c>
      <c r="N30">
        <v>1</v>
      </c>
      <c r="O30">
        <v>1052</v>
      </c>
      <c r="P30" s="23">
        <v>0.68668399999999996</v>
      </c>
    </row>
    <row r="31" spans="1:16" x14ac:dyDescent="0.25">
      <c r="A31" t="s">
        <v>24</v>
      </c>
      <c r="B31" s="22">
        <v>1679527128</v>
      </c>
      <c r="C31">
        <v>1642</v>
      </c>
      <c r="D31">
        <v>858</v>
      </c>
      <c r="E31" s="23">
        <v>0.65680000000000005</v>
      </c>
      <c r="F31" s="23">
        <v>0.34320000000000001</v>
      </c>
      <c r="G31">
        <v>64</v>
      </c>
      <c r="H31">
        <v>2</v>
      </c>
      <c r="I31">
        <v>1640</v>
      </c>
      <c r="J31" s="27">
        <v>0.99878199999999995</v>
      </c>
      <c r="K31">
        <v>6</v>
      </c>
      <c r="L31">
        <v>204.5</v>
      </c>
      <c r="M31">
        <v>1129</v>
      </c>
      <c r="N31">
        <v>1</v>
      </c>
      <c r="O31">
        <v>1227</v>
      </c>
      <c r="P31" s="23">
        <v>0.74725900000000001</v>
      </c>
    </row>
    <row r="32" spans="1:16" x14ac:dyDescent="0.25">
      <c r="A32" t="s">
        <v>24</v>
      </c>
      <c r="B32" s="22">
        <v>1420084706</v>
      </c>
      <c r="C32">
        <v>1647</v>
      </c>
      <c r="D32">
        <v>853</v>
      </c>
      <c r="E32" s="23">
        <v>0.65880000000000005</v>
      </c>
      <c r="F32" s="23">
        <v>0.3412</v>
      </c>
      <c r="G32">
        <v>56</v>
      </c>
      <c r="H32">
        <v>3</v>
      </c>
      <c r="I32">
        <v>1643</v>
      </c>
      <c r="J32" s="27">
        <v>0.99757099999999999</v>
      </c>
      <c r="K32">
        <v>10</v>
      </c>
      <c r="L32">
        <v>123.7</v>
      </c>
      <c r="M32">
        <v>915</v>
      </c>
      <c r="N32">
        <v>4</v>
      </c>
      <c r="O32">
        <v>1237</v>
      </c>
      <c r="P32" s="23">
        <v>0.75106300000000004</v>
      </c>
    </row>
    <row r="33" spans="1:16" x14ac:dyDescent="0.25">
      <c r="A33" t="s">
        <v>24</v>
      </c>
      <c r="B33" s="22">
        <v>877596761</v>
      </c>
      <c r="C33">
        <v>1672</v>
      </c>
      <c r="D33">
        <v>828</v>
      </c>
      <c r="E33" s="23">
        <v>0.66879999999999995</v>
      </c>
      <c r="F33" s="23">
        <v>0.33119999999999999</v>
      </c>
      <c r="G33">
        <v>55</v>
      </c>
      <c r="H33">
        <v>4</v>
      </c>
      <c r="I33">
        <v>1665</v>
      </c>
      <c r="J33" s="27">
        <v>0.99581299999999995</v>
      </c>
      <c r="K33">
        <v>6</v>
      </c>
      <c r="L33">
        <v>214.33333300000001</v>
      </c>
      <c r="M33">
        <v>1107</v>
      </c>
      <c r="N33">
        <v>11</v>
      </c>
      <c r="O33">
        <v>1286</v>
      </c>
      <c r="P33" s="23">
        <v>0.76913900000000002</v>
      </c>
    </row>
    <row r="34" spans="1:16" x14ac:dyDescent="0.25">
      <c r="A34" t="s">
        <v>24</v>
      </c>
      <c r="B34" s="22">
        <v>199093251</v>
      </c>
      <c r="C34">
        <v>1506</v>
      </c>
      <c r="D34">
        <v>994</v>
      </c>
      <c r="E34" s="23">
        <v>0.60240000000000005</v>
      </c>
      <c r="F34" s="23">
        <v>0.39760000000000001</v>
      </c>
      <c r="G34">
        <v>69</v>
      </c>
      <c r="H34">
        <v>4</v>
      </c>
      <c r="I34">
        <v>1476</v>
      </c>
      <c r="J34" s="27">
        <v>0.98007999999999995</v>
      </c>
      <c r="K34">
        <v>11</v>
      </c>
      <c r="L34">
        <v>97.909091000000004</v>
      </c>
      <c r="M34">
        <v>485</v>
      </c>
      <c r="N34">
        <v>3</v>
      </c>
      <c r="O34">
        <v>1077</v>
      </c>
      <c r="P34" s="23">
        <v>0.71513899999999997</v>
      </c>
    </row>
    <row r="35" spans="1:16" x14ac:dyDescent="0.25">
      <c r="A35" t="s">
        <v>24</v>
      </c>
      <c r="B35" s="22">
        <v>606292011</v>
      </c>
      <c r="C35">
        <v>1641</v>
      </c>
      <c r="D35">
        <v>859</v>
      </c>
      <c r="E35" s="23">
        <v>0.65639999999999998</v>
      </c>
      <c r="F35" s="23">
        <v>0.34360000000000002</v>
      </c>
      <c r="G35">
        <v>57</v>
      </c>
      <c r="H35">
        <v>2</v>
      </c>
      <c r="I35">
        <v>1638</v>
      </c>
      <c r="J35" s="27">
        <v>0.99817199999999995</v>
      </c>
      <c r="K35">
        <v>7</v>
      </c>
      <c r="L35">
        <v>177</v>
      </c>
      <c r="M35">
        <v>1092</v>
      </c>
      <c r="N35">
        <v>1</v>
      </c>
      <c r="O35">
        <v>1239</v>
      </c>
      <c r="P35" s="23">
        <v>0.755027</v>
      </c>
    </row>
    <row r="36" spans="1:16" x14ac:dyDescent="0.25">
      <c r="A36" t="s">
        <v>24</v>
      </c>
      <c r="B36" s="22">
        <v>662932927</v>
      </c>
      <c r="C36">
        <v>1554</v>
      </c>
      <c r="D36">
        <v>946</v>
      </c>
      <c r="E36" s="23">
        <v>0.62160000000000004</v>
      </c>
      <c r="F36" s="23">
        <v>0.37840000000000001</v>
      </c>
      <c r="G36">
        <v>52</v>
      </c>
      <c r="H36">
        <v>3</v>
      </c>
      <c r="I36">
        <v>1548</v>
      </c>
      <c r="J36" s="27">
        <v>0.996139</v>
      </c>
      <c r="K36">
        <v>11</v>
      </c>
      <c r="L36">
        <v>102</v>
      </c>
      <c r="M36">
        <v>689</v>
      </c>
      <c r="N36">
        <v>1</v>
      </c>
      <c r="O36">
        <v>1122</v>
      </c>
      <c r="P36" s="23">
        <v>0.72200799999999998</v>
      </c>
    </row>
    <row r="37" spans="1:16" x14ac:dyDescent="0.25">
      <c r="A37" t="s">
        <v>24</v>
      </c>
      <c r="B37" s="22">
        <v>749498272</v>
      </c>
      <c r="C37">
        <v>1795</v>
      </c>
      <c r="D37">
        <v>705</v>
      </c>
      <c r="E37" s="23">
        <v>0.71799999999999997</v>
      </c>
      <c r="F37" s="23">
        <v>0.28199999999999997</v>
      </c>
      <c r="G37">
        <v>53</v>
      </c>
      <c r="H37">
        <v>1</v>
      </c>
      <c r="I37">
        <v>1795</v>
      </c>
      <c r="J37" s="27">
        <v>1</v>
      </c>
      <c r="K37">
        <v>5</v>
      </c>
      <c r="L37">
        <v>291.2</v>
      </c>
      <c r="M37">
        <v>1345</v>
      </c>
      <c r="N37">
        <v>1</v>
      </c>
      <c r="O37">
        <v>1456</v>
      </c>
      <c r="P37" s="23">
        <v>0.81114200000000003</v>
      </c>
    </row>
    <row r="38" spans="1:16" x14ac:dyDescent="0.25">
      <c r="A38" t="s">
        <v>24</v>
      </c>
      <c r="B38" s="22">
        <v>263773624</v>
      </c>
      <c r="C38">
        <v>1509</v>
      </c>
      <c r="D38">
        <v>991</v>
      </c>
      <c r="E38" s="23">
        <v>0.60360000000000003</v>
      </c>
      <c r="F38" s="23">
        <v>0.39639999999999997</v>
      </c>
      <c r="G38">
        <v>57</v>
      </c>
      <c r="H38">
        <v>6</v>
      </c>
      <c r="I38">
        <v>1481</v>
      </c>
      <c r="J38" s="27">
        <v>0.98144500000000001</v>
      </c>
      <c r="K38">
        <v>9</v>
      </c>
      <c r="L38">
        <v>121.777778</v>
      </c>
      <c r="M38">
        <v>760</v>
      </c>
      <c r="N38">
        <v>3</v>
      </c>
      <c r="O38">
        <v>1096</v>
      </c>
      <c r="P38" s="23">
        <v>0.72630899999999998</v>
      </c>
    </row>
    <row r="39" spans="1:16" x14ac:dyDescent="0.25">
      <c r="A39" t="s">
        <v>24</v>
      </c>
      <c r="B39" s="22">
        <v>853993425</v>
      </c>
      <c r="C39">
        <v>1600</v>
      </c>
      <c r="D39">
        <v>900</v>
      </c>
      <c r="E39" s="23">
        <v>0.64</v>
      </c>
      <c r="F39" s="23">
        <v>0.36</v>
      </c>
      <c r="G39">
        <v>60</v>
      </c>
      <c r="H39">
        <v>4</v>
      </c>
      <c r="I39">
        <v>1594</v>
      </c>
      <c r="J39" s="27">
        <v>0.99624999999999997</v>
      </c>
      <c r="K39">
        <v>10</v>
      </c>
      <c r="L39">
        <v>117</v>
      </c>
      <c r="M39">
        <v>666</v>
      </c>
      <c r="N39">
        <v>2</v>
      </c>
      <c r="O39">
        <v>1170</v>
      </c>
      <c r="P39" s="23">
        <v>0.73124999999999996</v>
      </c>
    </row>
    <row r="40" spans="1:16" x14ac:dyDescent="0.25">
      <c r="A40" t="s">
        <v>24</v>
      </c>
      <c r="B40" s="22">
        <v>1511667149</v>
      </c>
      <c r="C40">
        <v>1506</v>
      </c>
      <c r="D40">
        <v>994</v>
      </c>
      <c r="E40" s="23">
        <v>0.60240000000000005</v>
      </c>
      <c r="F40" s="23">
        <v>0.39760000000000001</v>
      </c>
      <c r="G40">
        <v>59</v>
      </c>
      <c r="H40">
        <v>2</v>
      </c>
      <c r="I40">
        <v>1495</v>
      </c>
      <c r="J40" s="27">
        <v>0.99269600000000002</v>
      </c>
      <c r="K40">
        <v>12</v>
      </c>
      <c r="L40">
        <v>86.416667000000004</v>
      </c>
      <c r="M40">
        <v>673</v>
      </c>
      <c r="N40">
        <v>1</v>
      </c>
      <c r="O40">
        <v>1037</v>
      </c>
      <c r="P40" s="23">
        <v>0.68857900000000005</v>
      </c>
    </row>
    <row r="41" spans="1:16" x14ac:dyDescent="0.25">
      <c r="A41" t="s">
        <v>24</v>
      </c>
      <c r="B41" s="22">
        <v>348854590</v>
      </c>
      <c r="C41">
        <v>1647</v>
      </c>
      <c r="D41">
        <v>853</v>
      </c>
      <c r="E41" s="23">
        <v>0.65880000000000005</v>
      </c>
      <c r="F41" s="23">
        <v>0.3412</v>
      </c>
      <c r="G41">
        <v>61</v>
      </c>
      <c r="H41">
        <v>4</v>
      </c>
      <c r="I41">
        <v>1618</v>
      </c>
      <c r="J41" s="27">
        <v>0.98239200000000004</v>
      </c>
      <c r="K41">
        <v>7</v>
      </c>
      <c r="L41">
        <v>177</v>
      </c>
      <c r="M41">
        <v>1017</v>
      </c>
      <c r="N41">
        <v>1</v>
      </c>
      <c r="O41">
        <v>1239</v>
      </c>
      <c r="P41" s="23">
        <v>0.75227699999999997</v>
      </c>
    </row>
    <row r="42" spans="1:16" x14ac:dyDescent="0.25">
      <c r="A42" t="s">
        <v>24</v>
      </c>
      <c r="B42" s="22">
        <v>633237539</v>
      </c>
      <c r="C42">
        <v>1465</v>
      </c>
      <c r="D42">
        <v>1035</v>
      </c>
      <c r="E42" s="23">
        <v>0.58599999999999997</v>
      </c>
      <c r="F42" s="23">
        <v>0.41399999999999998</v>
      </c>
      <c r="G42">
        <v>55</v>
      </c>
      <c r="H42">
        <v>4</v>
      </c>
      <c r="I42">
        <v>1404</v>
      </c>
      <c r="J42" s="27">
        <v>0.95836200000000005</v>
      </c>
      <c r="K42">
        <v>20</v>
      </c>
      <c r="L42">
        <v>48.95</v>
      </c>
      <c r="M42">
        <v>431</v>
      </c>
      <c r="N42">
        <v>1</v>
      </c>
      <c r="O42">
        <v>979</v>
      </c>
      <c r="P42" s="23">
        <v>0.66825900000000005</v>
      </c>
    </row>
    <row r="43" spans="1:16" x14ac:dyDescent="0.25">
      <c r="A43" t="s">
        <v>24</v>
      </c>
      <c r="B43" s="22">
        <v>46954541</v>
      </c>
      <c r="C43">
        <v>1348</v>
      </c>
      <c r="D43">
        <v>1152</v>
      </c>
      <c r="E43" s="23">
        <v>0.53920000000000001</v>
      </c>
      <c r="F43" s="23">
        <v>0.46079999999999999</v>
      </c>
      <c r="G43">
        <v>51</v>
      </c>
      <c r="H43">
        <v>9</v>
      </c>
      <c r="I43">
        <v>1252</v>
      </c>
      <c r="J43" s="27">
        <v>0.92878300000000003</v>
      </c>
      <c r="K43">
        <v>20</v>
      </c>
      <c r="L43">
        <v>42.75</v>
      </c>
      <c r="M43">
        <v>257</v>
      </c>
      <c r="N43">
        <v>1</v>
      </c>
      <c r="O43">
        <v>855</v>
      </c>
      <c r="P43" s="23">
        <v>0.63427299999999998</v>
      </c>
    </row>
    <row r="44" spans="1:16" x14ac:dyDescent="0.25">
      <c r="A44" t="s">
        <v>24</v>
      </c>
      <c r="B44" s="22">
        <v>587325041</v>
      </c>
      <c r="C44">
        <v>1554</v>
      </c>
      <c r="D44">
        <v>946</v>
      </c>
      <c r="E44" s="23">
        <v>0.62160000000000004</v>
      </c>
      <c r="F44" s="23">
        <v>0.37840000000000001</v>
      </c>
      <c r="G44">
        <v>53</v>
      </c>
      <c r="H44">
        <v>6</v>
      </c>
      <c r="I44">
        <v>1541</v>
      </c>
      <c r="J44" s="27">
        <v>0.99163400000000002</v>
      </c>
      <c r="K44">
        <v>12</v>
      </c>
      <c r="L44">
        <v>93.083332999999996</v>
      </c>
      <c r="M44">
        <v>707</v>
      </c>
      <c r="N44">
        <v>1</v>
      </c>
      <c r="O44">
        <v>1117</v>
      </c>
      <c r="P44" s="23">
        <v>0.71879000000000004</v>
      </c>
    </row>
    <row r="45" spans="1:16" x14ac:dyDescent="0.25">
      <c r="A45" t="s">
        <v>24</v>
      </c>
      <c r="B45" s="22">
        <v>1825234187</v>
      </c>
      <c r="C45">
        <v>1533</v>
      </c>
      <c r="D45">
        <v>967</v>
      </c>
      <c r="E45" s="23">
        <v>0.61319999999999997</v>
      </c>
      <c r="F45" s="23">
        <v>0.38679999999999998</v>
      </c>
      <c r="G45">
        <v>56</v>
      </c>
      <c r="H45">
        <v>5</v>
      </c>
      <c r="I45">
        <v>1493</v>
      </c>
      <c r="J45" s="27">
        <v>0.97390699999999997</v>
      </c>
      <c r="K45">
        <v>10</v>
      </c>
      <c r="L45">
        <v>113.4</v>
      </c>
      <c r="M45">
        <v>536</v>
      </c>
      <c r="N45">
        <v>1</v>
      </c>
      <c r="O45">
        <v>1134</v>
      </c>
      <c r="P45" s="23">
        <v>0.73972599999999999</v>
      </c>
    </row>
    <row r="46" spans="1:16" x14ac:dyDescent="0.25">
      <c r="A46" t="s">
        <v>24</v>
      </c>
      <c r="B46" s="22">
        <v>589267845</v>
      </c>
      <c r="C46">
        <v>1604</v>
      </c>
      <c r="D46">
        <v>896</v>
      </c>
      <c r="E46" s="23">
        <v>0.64159999999999995</v>
      </c>
      <c r="F46" s="23">
        <v>0.3584</v>
      </c>
      <c r="G46">
        <v>51</v>
      </c>
      <c r="H46">
        <v>2</v>
      </c>
      <c r="I46">
        <v>1602</v>
      </c>
      <c r="J46" s="27">
        <v>0.998753</v>
      </c>
      <c r="K46">
        <v>9</v>
      </c>
      <c r="L46">
        <v>139.22222199999999</v>
      </c>
      <c r="M46">
        <v>1186</v>
      </c>
      <c r="N46">
        <v>1</v>
      </c>
      <c r="O46">
        <v>1253</v>
      </c>
      <c r="P46" s="23">
        <v>0.78117199999999998</v>
      </c>
    </row>
    <row r="47" spans="1:16" x14ac:dyDescent="0.25">
      <c r="A47" t="s">
        <v>24</v>
      </c>
      <c r="B47" s="22">
        <v>450264179</v>
      </c>
      <c r="C47">
        <v>1634</v>
      </c>
      <c r="D47">
        <v>866</v>
      </c>
      <c r="E47" s="23">
        <v>0.65359999999999996</v>
      </c>
      <c r="F47" s="23">
        <v>0.34639999999999999</v>
      </c>
      <c r="G47">
        <v>55</v>
      </c>
      <c r="H47">
        <v>8</v>
      </c>
      <c r="I47">
        <v>1617</v>
      </c>
      <c r="J47" s="27">
        <v>0.98959600000000003</v>
      </c>
      <c r="K47">
        <v>6</v>
      </c>
      <c r="L47">
        <v>214.66666699999999</v>
      </c>
      <c r="M47">
        <v>1182</v>
      </c>
      <c r="N47">
        <v>1</v>
      </c>
      <c r="O47">
        <v>1288</v>
      </c>
      <c r="P47" s="23">
        <v>0.78825000000000001</v>
      </c>
    </row>
    <row r="48" spans="1:16" x14ac:dyDescent="0.25">
      <c r="A48" t="s">
        <v>24</v>
      </c>
      <c r="B48" s="22">
        <v>857411780</v>
      </c>
      <c r="C48">
        <v>1559</v>
      </c>
      <c r="D48">
        <v>941</v>
      </c>
      <c r="E48" s="23">
        <v>0.62360000000000004</v>
      </c>
      <c r="F48" s="23">
        <v>0.37640000000000001</v>
      </c>
      <c r="G48">
        <v>60</v>
      </c>
      <c r="H48">
        <v>4</v>
      </c>
      <c r="I48">
        <v>1545</v>
      </c>
      <c r="J48" s="27">
        <v>0.99102000000000001</v>
      </c>
      <c r="K48">
        <v>8</v>
      </c>
      <c r="L48">
        <v>140.625</v>
      </c>
      <c r="M48">
        <v>968</v>
      </c>
      <c r="N48">
        <v>3</v>
      </c>
      <c r="O48">
        <v>1125</v>
      </c>
      <c r="P48" s="23">
        <v>0.72161600000000004</v>
      </c>
    </row>
    <row r="49" spans="1:16" x14ac:dyDescent="0.25">
      <c r="A49" t="s">
        <v>24</v>
      </c>
      <c r="B49" s="22">
        <v>1400616135</v>
      </c>
      <c r="C49">
        <v>1606</v>
      </c>
      <c r="D49">
        <v>894</v>
      </c>
      <c r="E49" s="23">
        <v>0.64239999999999997</v>
      </c>
      <c r="F49" s="23">
        <v>0.35759999999999997</v>
      </c>
      <c r="G49">
        <v>53</v>
      </c>
      <c r="H49">
        <v>3</v>
      </c>
      <c r="I49">
        <v>1599</v>
      </c>
      <c r="J49" s="27">
        <v>0.995641</v>
      </c>
      <c r="K49">
        <v>12</v>
      </c>
      <c r="L49">
        <v>96.666667000000004</v>
      </c>
      <c r="M49">
        <v>396</v>
      </c>
      <c r="N49">
        <v>1</v>
      </c>
      <c r="O49">
        <v>1160</v>
      </c>
      <c r="P49" s="23">
        <v>0.72229100000000002</v>
      </c>
    </row>
    <row r="50" spans="1:16" x14ac:dyDescent="0.25">
      <c r="A50" t="s">
        <v>24</v>
      </c>
      <c r="B50" s="22">
        <v>101364666</v>
      </c>
      <c r="C50">
        <v>1573</v>
      </c>
      <c r="D50">
        <v>927</v>
      </c>
      <c r="E50" s="23">
        <v>0.62919999999999998</v>
      </c>
      <c r="F50" s="23">
        <v>0.37080000000000002</v>
      </c>
      <c r="G50">
        <v>53</v>
      </c>
      <c r="H50">
        <v>4</v>
      </c>
      <c r="I50">
        <v>1563</v>
      </c>
      <c r="J50" s="27">
        <v>0.99364300000000005</v>
      </c>
      <c r="K50">
        <v>13</v>
      </c>
      <c r="L50">
        <v>85.769231000000005</v>
      </c>
      <c r="M50">
        <v>618</v>
      </c>
      <c r="N50">
        <v>1</v>
      </c>
      <c r="O50">
        <v>1115</v>
      </c>
      <c r="P50" s="23">
        <v>0.70883700000000005</v>
      </c>
    </row>
    <row r="51" spans="1:16" x14ac:dyDescent="0.25">
      <c r="A51" t="s">
        <v>24</v>
      </c>
      <c r="B51" s="22">
        <v>1891497312</v>
      </c>
      <c r="C51">
        <v>1451</v>
      </c>
      <c r="D51">
        <v>1049</v>
      </c>
      <c r="E51" s="23">
        <v>0.58040000000000003</v>
      </c>
      <c r="F51" s="23">
        <v>0.41959999999999997</v>
      </c>
      <c r="G51">
        <v>53</v>
      </c>
      <c r="H51">
        <v>3</v>
      </c>
      <c r="I51">
        <v>1444</v>
      </c>
      <c r="J51" s="27">
        <v>0.99517599999999995</v>
      </c>
      <c r="K51">
        <v>13</v>
      </c>
      <c r="L51">
        <v>74.615385000000003</v>
      </c>
      <c r="M51">
        <v>865</v>
      </c>
      <c r="N51">
        <v>1</v>
      </c>
      <c r="O51">
        <v>970</v>
      </c>
      <c r="P51" s="23">
        <v>0.66850399999999999</v>
      </c>
    </row>
    <row r="52" spans="1:16" x14ac:dyDescent="0.25">
      <c r="A52" t="s">
        <v>26</v>
      </c>
      <c r="B52"/>
      <c r="C52">
        <f>SUBTOTAL(101,CA4_wall70_it6_neigh3[floors])</f>
        <v>1582.32</v>
      </c>
      <c r="D52">
        <f>SUBTOTAL(101,CA4_wall70_it6_neigh3[walls])</f>
        <v>917.68</v>
      </c>
      <c r="E52" s="24">
        <f>SUBTOTAL(101,CA4_wall70_it6_neigh3[floor_percent])</f>
        <v>0.63292800000000005</v>
      </c>
      <c r="F52" s="24">
        <f>SUBTOTAL(101,CA4_wall70_it6_neigh3[wall_percent])</f>
        <v>0.36707200000000006</v>
      </c>
      <c r="G52">
        <f>SUBTOTAL(101,CA4_wall70_it6_neigh3[longest_shortest_path])</f>
        <v>56.7</v>
      </c>
      <c r="H52">
        <f>SUBTOTAL(101,CA4_wall70_it6_neigh3[component_count])</f>
        <v>3.58</v>
      </c>
      <c r="I52">
        <f>SUBTOTAL(101,CA4_wall70_it6_neigh3[max_component_size])</f>
        <v>1564.28</v>
      </c>
      <c r="J52" s="25">
        <f>SUBTOTAL(101,CA4_wall70_it6_neigh3[connectivity_ratio])</f>
        <v>0.98805919999999992</v>
      </c>
      <c r="K52">
        <f>SUBTOTAL(101,CA4_wall70_it6_neigh3[room_count])</f>
        <v>9.56</v>
      </c>
      <c r="L52">
        <f>SUBTOTAL(101,CA4_wall70_it6_neigh3[avg_room_size])</f>
        <v>143.71876281999999</v>
      </c>
      <c r="M52">
        <f>SUBTOTAL(101,CA4_wall70_it6_neigh3[max_room_size])</f>
        <v>833.06</v>
      </c>
      <c r="N52">
        <f>SUBTOTAL(101,CA4_wall70_it6_neigh3[min_room_size])</f>
        <v>2.2400000000000002</v>
      </c>
      <c r="O52">
        <f>SUBTOTAL(101,CA4_wall70_it6_neigh3[room_tiles])</f>
        <v>1170.4000000000001</v>
      </c>
      <c r="P52" s="24">
        <f>SUBTOTAL(101,CA4_wall70_it6_neigh3[room_ratio])</f>
        <v>0.73743893999999965</v>
      </c>
    </row>
    <row r="53" spans="1:16" x14ac:dyDescent="0.25">
      <c r="A53" s="26" t="s">
        <v>27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F6CB-D70B-4D04-B376-92069BE587C5}">
  <dimension ref="A1:P53"/>
  <sheetViews>
    <sheetView topLeftCell="A7" workbookViewId="0">
      <selection activeCell="J7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463453282</v>
      </c>
      <c r="C2">
        <v>1189</v>
      </c>
      <c r="D2">
        <v>1311</v>
      </c>
      <c r="E2" s="23">
        <v>0.47560000000000002</v>
      </c>
      <c r="F2" s="23">
        <v>0.52439999999999998</v>
      </c>
      <c r="G2">
        <v>92</v>
      </c>
      <c r="H2">
        <v>5</v>
      </c>
      <c r="I2">
        <v>1169</v>
      </c>
      <c r="J2" s="27">
        <v>0.98317900000000003</v>
      </c>
      <c r="K2">
        <v>21</v>
      </c>
      <c r="L2">
        <v>29.809524</v>
      </c>
      <c r="M2">
        <v>106</v>
      </c>
      <c r="N2">
        <v>1</v>
      </c>
      <c r="O2">
        <v>626</v>
      </c>
      <c r="P2" s="23">
        <v>0.52649299999999999</v>
      </c>
    </row>
    <row r="3" spans="1:16" x14ac:dyDescent="0.25">
      <c r="A3" t="s">
        <v>24</v>
      </c>
      <c r="B3" s="22">
        <v>1867658322</v>
      </c>
      <c r="C3">
        <v>1485</v>
      </c>
      <c r="D3">
        <v>1015</v>
      </c>
      <c r="E3" s="23">
        <v>0.59399999999999997</v>
      </c>
      <c r="F3" s="23">
        <v>0.40600000000000003</v>
      </c>
      <c r="G3">
        <v>64</v>
      </c>
      <c r="H3">
        <v>3</v>
      </c>
      <c r="I3">
        <v>1479</v>
      </c>
      <c r="J3" s="27">
        <v>0.99595999999999996</v>
      </c>
      <c r="K3">
        <v>10</v>
      </c>
      <c r="L3">
        <v>107.7</v>
      </c>
      <c r="M3">
        <v>750</v>
      </c>
      <c r="N3">
        <v>2</v>
      </c>
      <c r="O3">
        <v>1077</v>
      </c>
      <c r="P3" s="23">
        <v>0.72525300000000004</v>
      </c>
    </row>
    <row r="4" spans="1:16" x14ac:dyDescent="0.25">
      <c r="A4" t="s">
        <v>24</v>
      </c>
      <c r="B4" s="22">
        <v>729653107</v>
      </c>
      <c r="C4">
        <v>1485</v>
      </c>
      <c r="D4">
        <v>1015</v>
      </c>
      <c r="E4" s="23">
        <v>0.59399999999999997</v>
      </c>
      <c r="F4" s="23">
        <v>0.40600000000000003</v>
      </c>
      <c r="G4">
        <v>59</v>
      </c>
      <c r="H4">
        <v>3</v>
      </c>
      <c r="I4">
        <v>1479</v>
      </c>
      <c r="J4" s="27">
        <v>0.99595999999999996</v>
      </c>
      <c r="K4">
        <v>12</v>
      </c>
      <c r="L4">
        <v>84.333332999999996</v>
      </c>
      <c r="M4">
        <v>341</v>
      </c>
      <c r="N4">
        <v>1</v>
      </c>
      <c r="O4">
        <v>1012</v>
      </c>
      <c r="P4" s="23">
        <v>0.681481</v>
      </c>
    </row>
    <row r="5" spans="1:16" x14ac:dyDescent="0.25">
      <c r="A5" t="s">
        <v>24</v>
      </c>
      <c r="B5" s="22">
        <v>1746746139</v>
      </c>
      <c r="C5">
        <v>1580</v>
      </c>
      <c r="D5">
        <v>920</v>
      </c>
      <c r="E5" s="23">
        <v>0.63200000000000001</v>
      </c>
      <c r="F5" s="23">
        <v>0.36799999999999999</v>
      </c>
      <c r="G5">
        <v>56</v>
      </c>
      <c r="H5">
        <v>2</v>
      </c>
      <c r="I5">
        <v>1578</v>
      </c>
      <c r="J5" s="27">
        <v>0.99873400000000001</v>
      </c>
      <c r="K5">
        <v>7</v>
      </c>
      <c r="L5">
        <v>167.71428599999999</v>
      </c>
      <c r="M5">
        <v>754</v>
      </c>
      <c r="N5">
        <v>1</v>
      </c>
      <c r="O5">
        <v>1174</v>
      </c>
      <c r="P5" s="23">
        <v>0.74303799999999998</v>
      </c>
    </row>
    <row r="6" spans="1:16" x14ac:dyDescent="0.25">
      <c r="A6" t="s">
        <v>24</v>
      </c>
      <c r="B6" s="22">
        <v>784396260</v>
      </c>
      <c r="C6">
        <v>1487</v>
      </c>
      <c r="D6">
        <v>1013</v>
      </c>
      <c r="E6" s="23">
        <v>0.5948</v>
      </c>
      <c r="F6" s="23">
        <v>0.4052</v>
      </c>
      <c r="G6">
        <v>63</v>
      </c>
      <c r="H6">
        <v>2</v>
      </c>
      <c r="I6">
        <v>1483</v>
      </c>
      <c r="J6" s="27">
        <v>0.99731000000000003</v>
      </c>
      <c r="K6">
        <v>9</v>
      </c>
      <c r="L6">
        <v>115.444444</v>
      </c>
      <c r="M6">
        <v>643</v>
      </c>
      <c r="N6">
        <v>2</v>
      </c>
      <c r="O6">
        <v>1039</v>
      </c>
      <c r="P6" s="23">
        <v>0.69872199999999995</v>
      </c>
    </row>
    <row r="7" spans="1:16" x14ac:dyDescent="0.25">
      <c r="A7" t="s">
        <v>24</v>
      </c>
      <c r="B7" s="22">
        <v>1346331570</v>
      </c>
      <c r="C7">
        <v>1512</v>
      </c>
      <c r="D7">
        <v>988</v>
      </c>
      <c r="E7" s="23">
        <v>0.6048</v>
      </c>
      <c r="F7" s="23">
        <v>0.3952</v>
      </c>
      <c r="G7">
        <v>63</v>
      </c>
      <c r="H7">
        <v>3</v>
      </c>
      <c r="I7">
        <v>1505</v>
      </c>
      <c r="J7" s="27">
        <v>0.99536999999999998</v>
      </c>
      <c r="K7">
        <v>14</v>
      </c>
      <c r="L7">
        <v>75.142857000000006</v>
      </c>
      <c r="M7">
        <v>413</v>
      </c>
      <c r="N7">
        <v>2</v>
      </c>
      <c r="O7">
        <v>1052</v>
      </c>
      <c r="P7" s="23">
        <v>0.69576700000000002</v>
      </c>
    </row>
    <row r="8" spans="1:16" x14ac:dyDescent="0.25">
      <c r="A8" t="s">
        <v>24</v>
      </c>
      <c r="B8" s="22">
        <v>955153958</v>
      </c>
      <c r="C8">
        <v>1479</v>
      </c>
      <c r="D8">
        <v>1021</v>
      </c>
      <c r="E8" s="23">
        <v>0.59160000000000001</v>
      </c>
      <c r="F8" s="23">
        <v>0.40839999999999999</v>
      </c>
      <c r="G8">
        <v>53</v>
      </c>
      <c r="H8">
        <v>5</v>
      </c>
      <c r="I8">
        <v>1448</v>
      </c>
      <c r="J8" s="27">
        <v>0.97904000000000002</v>
      </c>
      <c r="K8">
        <v>15</v>
      </c>
      <c r="L8">
        <v>69.133332999999993</v>
      </c>
      <c r="M8">
        <v>681</v>
      </c>
      <c r="N8">
        <v>1</v>
      </c>
      <c r="O8">
        <v>1037</v>
      </c>
      <c r="P8" s="23">
        <v>0.70114900000000002</v>
      </c>
    </row>
    <row r="9" spans="1:16" x14ac:dyDescent="0.25">
      <c r="A9" t="s">
        <v>24</v>
      </c>
      <c r="B9" s="22">
        <v>1298889294</v>
      </c>
      <c r="C9">
        <v>1443</v>
      </c>
      <c r="D9">
        <v>1057</v>
      </c>
      <c r="E9" s="23">
        <v>0.57720000000000005</v>
      </c>
      <c r="F9" s="23">
        <v>0.42280000000000001</v>
      </c>
      <c r="G9">
        <v>59</v>
      </c>
      <c r="H9">
        <v>3</v>
      </c>
      <c r="I9">
        <v>1413</v>
      </c>
      <c r="J9" s="27">
        <v>0.97921000000000002</v>
      </c>
      <c r="K9">
        <v>20</v>
      </c>
      <c r="L9">
        <v>48.45</v>
      </c>
      <c r="M9">
        <v>369</v>
      </c>
      <c r="N9">
        <v>1</v>
      </c>
      <c r="O9">
        <v>969</v>
      </c>
      <c r="P9" s="23">
        <v>0.67151799999999995</v>
      </c>
    </row>
    <row r="10" spans="1:16" x14ac:dyDescent="0.25">
      <c r="A10" t="s">
        <v>24</v>
      </c>
      <c r="B10" s="22">
        <v>1125330893</v>
      </c>
      <c r="C10">
        <v>1473</v>
      </c>
      <c r="D10">
        <v>1027</v>
      </c>
      <c r="E10" s="23">
        <v>0.58919999999999995</v>
      </c>
      <c r="F10" s="23">
        <v>0.4108</v>
      </c>
      <c r="G10">
        <v>63</v>
      </c>
      <c r="H10">
        <v>1</v>
      </c>
      <c r="I10">
        <v>1473</v>
      </c>
      <c r="J10" s="27">
        <v>1</v>
      </c>
      <c r="K10">
        <v>13</v>
      </c>
      <c r="L10">
        <v>77.153846000000001</v>
      </c>
      <c r="M10">
        <v>242</v>
      </c>
      <c r="N10">
        <v>1</v>
      </c>
      <c r="O10">
        <v>1003</v>
      </c>
      <c r="P10" s="23">
        <v>0.68092299999999994</v>
      </c>
    </row>
    <row r="11" spans="1:16" x14ac:dyDescent="0.25">
      <c r="A11" t="s">
        <v>24</v>
      </c>
      <c r="B11" s="22">
        <v>830472128</v>
      </c>
      <c r="C11">
        <v>1571</v>
      </c>
      <c r="D11">
        <v>929</v>
      </c>
      <c r="E11" s="23">
        <v>0.62839999999999996</v>
      </c>
      <c r="F11" s="23">
        <v>0.37159999999999999</v>
      </c>
      <c r="G11">
        <v>62</v>
      </c>
      <c r="H11">
        <v>3</v>
      </c>
      <c r="I11">
        <v>1566</v>
      </c>
      <c r="J11" s="27">
        <v>0.99681699999999995</v>
      </c>
      <c r="K11">
        <v>7</v>
      </c>
      <c r="L11">
        <v>165.28571400000001</v>
      </c>
      <c r="M11">
        <v>551</v>
      </c>
      <c r="N11">
        <v>5</v>
      </c>
      <c r="O11">
        <v>1157</v>
      </c>
      <c r="P11" s="23">
        <v>0.73647399999999996</v>
      </c>
    </row>
    <row r="12" spans="1:16" x14ac:dyDescent="0.25">
      <c r="A12" t="s">
        <v>24</v>
      </c>
      <c r="B12" s="22">
        <v>851774784</v>
      </c>
      <c r="C12">
        <v>1408</v>
      </c>
      <c r="D12">
        <v>1092</v>
      </c>
      <c r="E12" s="23">
        <v>0.56320000000000003</v>
      </c>
      <c r="F12" s="23">
        <v>0.43680000000000002</v>
      </c>
      <c r="G12">
        <v>73</v>
      </c>
      <c r="H12">
        <v>4</v>
      </c>
      <c r="I12">
        <v>1397</v>
      </c>
      <c r="J12" s="27">
        <v>0.99218799999999996</v>
      </c>
      <c r="K12">
        <v>13</v>
      </c>
      <c r="L12">
        <v>70.692307999999997</v>
      </c>
      <c r="M12">
        <v>464</v>
      </c>
      <c r="N12">
        <v>3</v>
      </c>
      <c r="O12">
        <v>919</v>
      </c>
      <c r="P12" s="23">
        <v>0.65269900000000003</v>
      </c>
    </row>
    <row r="13" spans="1:16" x14ac:dyDescent="0.25">
      <c r="A13" t="s">
        <v>24</v>
      </c>
      <c r="B13" s="22">
        <v>1563380284</v>
      </c>
      <c r="C13">
        <v>1445</v>
      </c>
      <c r="D13">
        <v>1055</v>
      </c>
      <c r="E13" s="23">
        <v>0.57799999999999996</v>
      </c>
      <c r="F13" s="23">
        <v>0.42199999999999999</v>
      </c>
      <c r="G13">
        <v>61</v>
      </c>
      <c r="H13">
        <v>4</v>
      </c>
      <c r="I13">
        <v>1439</v>
      </c>
      <c r="J13" s="27">
        <v>0.99584799999999996</v>
      </c>
      <c r="K13">
        <v>13</v>
      </c>
      <c r="L13">
        <v>77.461538000000004</v>
      </c>
      <c r="M13">
        <v>675</v>
      </c>
      <c r="N13">
        <v>1</v>
      </c>
      <c r="O13">
        <v>1007</v>
      </c>
      <c r="P13" s="23">
        <v>0.69688600000000001</v>
      </c>
    </row>
    <row r="14" spans="1:16" x14ac:dyDescent="0.25">
      <c r="A14" t="s">
        <v>24</v>
      </c>
      <c r="B14" s="22">
        <v>1015903632</v>
      </c>
      <c r="C14">
        <v>1380</v>
      </c>
      <c r="D14">
        <v>1120</v>
      </c>
      <c r="E14" s="23">
        <v>0.55200000000000005</v>
      </c>
      <c r="F14" s="23">
        <v>0.44800000000000001</v>
      </c>
      <c r="G14">
        <v>67</v>
      </c>
      <c r="H14">
        <v>6</v>
      </c>
      <c r="I14">
        <v>1351</v>
      </c>
      <c r="J14" s="27">
        <v>0.97898600000000002</v>
      </c>
      <c r="K14">
        <v>18</v>
      </c>
      <c r="L14">
        <v>49.666666999999997</v>
      </c>
      <c r="M14">
        <v>239</v>
      </c>
      <c r="N14">
        <v>1</v>
      </c>
      <c r="O14">
        <v>894</v>
      </c>
      <c r="P14" s="23">
        <v>0.64782600000000001</v>
      </c>
    </row>
    <row r="15" spans="1:16" x14ac:dyDescent="0.25">
      <c r="A15" t="s">
        <v>24</v>
      </c>
      <c r="B15" s="22">
        <v>1530455964</v>
      </c>
      <c r="C15">
        <v>1250</v>
      </c>
      <c r="D15">
        <v>1250</v>
      </c>
      <c r="E15" s="23">
        <v>0.5</v>
      </c>
      <c r="F15" s="23">
        <v>0.5</v>
      </c>
      <c r="G15">
        <v>65</v>
      </c>
      <c r="H15">
        <v>10</v>
      </c>
      <c r="I15">
        <v>1015</v>
      </c>
      <c r="J15" s="27">
        <v>0.81200000000000006</v>
      </c>
      <c r="K15">
        <v>18</v>
      </c>
      <c r="L15">
        <v>41.833333000000003</v>
      </c>
      <c r="M15">
        <v>277</v>
      </c>
      <c r="N15">
        <v>1</v>
      </c>
      <c r="O15">
        <v>753</v>
      </c>
      <c r="P15" s="23">
        <v>0.60240000000000005</v>
      </c>
    </row>
    <row r="16" spans="1:16" x14ac:dyDescent="0.25">
      <c r="A16" t="s">
        <v>24</v>
      </c>
      <c r="B16" s="22">
        <v>1353517713</v>
      </c>
      <c r="C16">
        <v>1324</v>
      </c>
      <c r="D16">
        <v>1176</v>
      </c>
      <c r="E16" s="23">
        <v>0.52959999999999996</v>
      </c>
      <c r="F16" s="23">
        <v>0.47039999999999998</v>
      </c>
      <c r="G16">
        <v>50</v>
      </c>
      <c r="H16">
        <v>9</v>
      </c>
      <c r="I16">
        <v>1275</v>
      </c>
      <c r="J16" s="27">
        <v>0.96299100000000004</v>
      </c>
      <c r="K16">
        <v>20</v>
      </c>
      <c r="L16">
        <v>41.85</v>
      </c>
      <c r="M16">
        <v>301</v>
      </c>
      <c r="N16">
        <v>1</v>
      </c>
      <c r="O16">
        <v>837</v>
      </c>
      <c r="P16" s="23">
        <v>0.63217500000000004</v>
      </c>
    </row>
    <row r="17" spans="1:16" x14ac:dyDescent="0.25">
      <c r="A17" t="s">
        <v>24</v>
      </c>
      <c r="B17" s="22">
        <v>1213260225</v>
      </c>
      <c r="C17">
        <v>1514</v>
      </c>
      <c r="D17">
        <v>986</v>
      </c>
      <c r="E17" s="23">
        <v>0.60560000000000003</v>
      </c>
      <c r="F17" s="23">
        <v>0.39439999999999997</v>
      </c>
      <c r="G17">
        <v>70</v>
      </c>
      <c r="H17">
        <v>3</v>
      </c>
      <c r="I17">
        <v>1503</v>
      </c>
      <c r="J17" s="27">
        <v>0.99273400000000001</v>
      </c>
      <c r="K17">
        <v>15</v>
      </c>
      <c r="L17">
        <v>67.466667000000001</v>
      </c>
      <c r="M17">
        <v>571</v>
      </c>
      <c r="N17">
        <v>1</v>
      </c>
      <c r="O17">
        <v>1012</v>
      </c>
      <c r="P17" s="23">
        <v>0.66842800000000002</v>
      </c>
    </row>
    <row r="18" spans="1:16" x14ac:dyDescent="0.25">
      <c r="A18" t="s">
        <v>24</v>
      </c>
      <c r="B18" s="22">
        <v>1824492863</v>
      </c>
      <c r="C18">
        <v>1440</v>
      </c>
      <c r="D18">
        <v>1060</v>
      </c>
      <c r="E18" s="23">
        <v>0.57599999999999996</v>
      </c>
      <c r="F18" s="23">
        <v>0.42399999999999999</v>
      </c>
      <c r="G18">
        <v>93</v>
      </c>
      <c r="H18">
        <v>4</v>
      </c>
      <c r="I18">
        <v>1410</v>
      </c>
      <c r="J18" s="27">
        <v>0.97916700000000001</v>
      </c>
      <c r="K18">
        <v>13</v>
      </c>
      <c r="L18">
        <v>77.923077000000006</v>
      </c>
      <c r="M18">
        <v>680</v>
      </c>
      <c r="N18">
        <v>3</v>
      </c>
      <c r="O18">
        <v>1013</v>
      </c>
      <c r="P18" s="23">
        <v>0.70347199999999999</v>
      </c>
    </row>
    <row r="19" spans="1:16" x14ac:dyDescent="0.25">
      <c r="A19" t="s">
        <v>24</v>
      </c>
      <c r="B19" s="22">
        <v>780171554</v>
      </c>
      <c r="C19">
        <v>1298</v>
      </c>
      <c r="D19">
        <v>1202</v>
      </c>
      <c r="E19" s="23">
        <v>0.51919999999999999</v>
      </c>
      <c r="F19" s="23">
        <v>0.48080000000000001</v>
      </c>
      <c r="G19">
        <v>89</v>
      </c>
      <c r="H19">
        <v>4</v>
      </c>
      <c r="I19">
        <v>1283</v>
      </c>
      <c r="J19" s="27">
        <v>0.98844399999999999</v>
      </c>
      <c r="K19">
        <v>17</v>
      </c>
      <c r="L19">
        <v>45.941175999999999</v>
      </c>
      <c r="M19">
        <v>381</v>
      </c>
      <c r="N19">
        <v>1</v>
      </c>
      <c r="O19">
        <v>781</v>
      </c>
      <c r="P19" s="23">
        <v>0.60169499999999998</v>
      </c>
    </row>
    <row r="20" spans="1:16" x14ac:dyDescent="0.25">
      <c r="A20" t="s">
        <v>24</v>
      </c>
      <c r="B20" s="22">
        <v>1094166025</v>
      </c>
      <c r="C20">
        <v>1422</v>
      </c>
      <c r="D20">
        <v>1078</v>
      </c>
      <c r="E20" s="23">
        <v>0.56879999999999997</v>
      </c>
      <c r="F20" s="23">
        <v>0.43120000000000003</v>
      </c>
      <c r="G20">
        <v>64</v>
      </c>
      <c r="H20">
        <v>4</v>
      </c>
      <c r="I20">
        <v>1265</v>
      </c>
      <c r="J20" s="27">
        <v>0.88959200000000005</v>
      </c>
      <c r="K20">
        <v>11</v>
      </c>
      <c r="L20">
        <v>91.545455000000004</v>
      </c>
      <c r="M20">
        <v>618</v>
      </c>
      <c r="N20">
        <v>1</v>
      </c>
      <c r="O20">
        <v>1007</v>
      </c>
      <c r="P20" s="23">
        <v>0.70815799999999995</v>
      </c>
    </row>
    <row r="21" spans="1:16" x14ac:dyDescent="0.25">
      <c r="A21" t="s">
        <v>24</v>
      </c>
      <c r="B21" s="22">
        <v>634113105</v>
      </c>
      <c r="C21">
        <v>1524</v>
      </c>
      <c r="D21">
        <v>976</v>
      </c>
      <c r="E21" s="23">
        <v>0.60960000000000003</v>
      </c>
      <c r="F21" s="23">
        <v>0.39040000000000002</v>
      </c>
      <c r="G21">
        <v>63</v>
      </c>
      <c r="H21">
        <v>2</v>
      </c>
      <c r="I21">
        <v>1519</v>
      </c>
      <c r="J21" s="27">
        <v>0.99671900000000002</v>
      </c>
      <c r="K21">
        <v>15</v>
      </c>
      <c r="L21">
        <v>73.599999999999994</v>
      </c>
      <c r="M21">
        <v>376</v>
      </c>
      <c r="N21">
        <v>1</v>
      </c>
      <c r="O21">
        <v>1104</v>
      </c>
      <c r="P21" s="23">
        <v>0.72440899999999997</v>
      </c>
    </row>
    <row r="22" spans="1:16" x14ac:dyDescent="0.25">
      <c r="A22" t="s">
        <v>24</v>
      </c>
      <c r="B22" s="22">
        <v>737643796</v>
      </c>
      <c r="C22">
        <v>1509</v>
      </c>
      <c r="D22">
        <v>991</v>
      </c>
      <c r="E22" s="23">
        <v>0.60360000000000003</v>
      </c>
      <c r="F22" s="23">
        <v>0.39639999999999997</v>
      </c>
      <c r="G22">
        <v>56</v>
      </c>
      <c r="H22">
        <v>2</v>
      </c>
      <c r="I22">
        <v>1507</v>
      </c>
      <c r="J22" s="27">
        <v>0.99867499999999998</v>
      </c>
      <c r="K22">
        <v>9</v>
      </c>
      <c r="L22">
        <v>119.555556</v>
      </c>
      <c r="M22">
        <v>878</v>
      </c>
      <c r="N22">
        <v>6</v>
      </c>
      <c r="O22">
        <v>1076</v>
      </c>
      <c r="P22" s="23">
        <v>0.71305499999999999</v>
      </c>
    </row>
    <row r="23" spans="1:16" x14ac:dyDescent="0.25">
      <c r="A23" t="s">
        <v>24</v>
      </c>
      <c r="B23" s="22">
        <v>1747830633</v>
      </c>
      <c r="C23">
        <v>1487</v>
      </c>
      <c r="D23">
        <v>1013</v>
      </c>
      <c r="E23" s="23">
        <v>0.5948</v>
      </c>
      <c r="F23" s="23">
        <v>0.4052</v>
      </c>
      <c r="G23">
        <v>60</v>
      </c>
      <c r="H23">
        <v>3</v>
      </c>
      <c r="I23">
        <v>1478</v>
      </c>
      <c r="J23" s="27">
        <v>0.99394800000000005</v>
      </c>
      <c r="K23">
        <v>11</v>
      </c>
      <c r="L23">
        <v>93.636364</v>
      </c>
      <c r="M23">
        <v>778</v>
      </c>
      <c r="N23">
        <v>1</v>
      </c>
      <c r="O23">
        <v>1030</v>
      </c>
      <c r="P23" s="23">
        <v>0.69267000000000001</v>
      </c>
    </row>
    <row r="24" spans="1:16" x14ac:dyDescent="0.25">
      <c r="A24" t="s">
        <v>24</v>
      </c>
      <c r="B24" s="22">
        <v>1025624067</v>
      </c>
      <c r="C24">
        <v>1476</v>
      </c>
      <c r="D24">
        <v>1024</v>
      </c>
      <c r="E24" s="23">
        <v>0.59040000000000004</v>
      </c>
      <c r="F24" s="23">
        <v>0.40960000000000002</v>
      </c>
      <c r="G24">
        <v>53</v>
      </c>
      <c r="H24">
        <v>2</v>
      </c>
      <c r="I24">
        <v>1474</v>
      </c>
      <c r="J24" s="27">
        <v>0.998645</v>
      </c>
      <c r="K24">
        <v>17</v>
      </c>
      <c r="L24">
        <v>55.647058999999999</v>
      </c>
      <c r="M24">
        <v>754</v>
      </c>
      <c r="N24">
        <v>1</v>
      </c>
      <c r="O24">
        <v>946</v>
      </c>
      <c r="P24" s="23">
        <v>0.64092099999999996</v>
      </c>
    </row>
    <row r="25" spans="1:16" x14ac:dyDescent="0.25">
      <c r="A25" t="s">
        <v>24</v>
      </c>
      <c r="B25" s="22">
        <v>1306603099</v>
      </c>
      <c r="C25">
        <v>1421</v>
      </c>
      <c r="D25">
        <v>1079</v>
      </c>
      <c r="E25" s="23">
        <v>0.56840000000000002</v>
      </c>
      <c r="F25" s="23">
        <v>0.43159999999999998</v>
      </c>
      <c r="G25">
        <v>80</v>
      </c>
      <c r="H25">
        <v>6</v>
      </c>
      <c r="I25">
        <v>1396</v>
      </c>
      <c r="J25" s="27">
        <v>0.98240700000000003</v>
      </c>
      <c r="K25">
        <v>17</v>
      </c>
      <c r="L25">
        <v>57.411765000000003</v>
      </c>
      <c r="M25">
        <v>371</v>
      </c>
      <c r="N25">
        <v>3</v>
      </c>
      <c r="O25">
        <v>976</v>
      </c>
      <c r="P25" s="23">
        <v>0.68684000000000001</v>
      </c>
    </row>
    <row r="26" spans="1:16" x14ac:dyDescent="0.25">
      <c r="A26" t="s">
        <v>24</v>
      </c>
      <c r="B26" s="22">
        <v>1241836184</v>
      </c>
      <c r="C26">
        <v>1594</v>
      </c>
      <c r="D26">
        <v>906</v>
      </c>
      <c r="E26" s="23">
        <v>0.63759999999999994</v>
      </c>
      <c r="F26" s="23">
        <v>0.3624</v>
      </c>
      <c r="G26">
        <v>58</v>
      </c>
      <c r="H26">
        <v>3</v>
      </c>
      <c r="I26">
        <v>1590</v>
      </c>
      <c r="J26" s="27">
        <v>0.99749100000000002</v>
      </c>
      <c r="K26">
        <v>7</v>
      </c>
      <c r="L26">
        <v>172.85714300000001</v>
      </c>
      <c r="M26">
        <v>660</v>
      </c>
      <c r="N26">
        <v>1</v>
      </c>
      <c r="O26">
        <v>1210</v>
      </c>
      <c r="P26" s="23">
        <v>0.75909700000000002</v>
      </c>
    </row>
    <row r="27" spans="1:16" x14ac:dyDescent="0.25">
      <c r="A27" t="s">
        <v>24</v>
      </c>
      <c r="B27" s="22">
        <v>799931872</v>
      </c>
      <c r="C27">
        <v>1415</v>
      </c>
      <c r="D27">
        <v>1085</v>
      </c>
      <c r="E27" s="23">
        <v>0.56599999999999995</v>
      </c>
      <c r="F27" s="23">
        <v>0.434</v>
      </c>
      <c r="G27">
        <v>54</v>
      </c>
      <c r="H27">
        <v>5</v>
      </c>
      <c r="I27">
        <v>1392</v>
      </c>
      <c r="J27" s="27">
        <v>0.98374600000000001</v>
      </c>
      <c r="K27">
        <v>19</v>
      </c>
      <c r="L27">
        <v>48.210526000000002</v>
      </c>
      <c r="M27">
        <v>546</v>
      </c>
      <c r="N27">
        <v>1</v>
      </c>
      <c r="O27">
        <v>916</v>
      </c>
      <c r="P27" s="23">
        <v>0.64734999999999998</v>
      </c>
    </row>
    <row r="28" spans="1:16" x14ac:dyDescent="0.25">
      <c r="A28" t="s">
        <v>24</v>
      </c>
      <c r="B28" s="22">
        <v>1149108978</v>
      </c>
      <c r="C28">
        <v>1559</v>
      </c>
      <c r="D28">
        <v>941</v>
      </c>
      <c r="E28" s="23">
        <v>0.62360000000000004</v>
      </c>
      <c r="F28" s="23">
        <v>0.37640000000000001</v>
      </c>
      <c r="G28">
        <v>53</v>
      </c>
      <c r="H28">
        <v>1</v>
      </c>
      <c r="I28">
        <v>1559</v>
      </c>
      <c r="J28" s="27">
        <v>1</v>
      </c>
      <c r="K28">
        <v>9</v>
      </c>
      <c r="L28">
        <v>128.555556</v>
      </c>
      <c r="M28">
        <v>796</v>
      </c>
      <c r="N28">
        <v>1</v>
      </c>
      <c r="O28">
        <v>1157</v>
      </c>
      <c r="P28" s="23">
        <v>0.74214199999999997</v>
      </c>
    </row>
    <row r="29" spans="1:16" x14ac:dyDescent="0.25">
      <c r="A29" t="s">
        <v>24</v>
      </c>
      <c r="B29" s="22">
        <v>1504854758</v>
      </c>
      <c r="C29">
        <v>1518</v>
      </c>
      <c r="D29">
        <v>982</v>
      </c>
      <c r="E29" s="23">
        <v>0.60719999999999996</v>
      </c>
      <c r="F29" s="23">
        <v>0.39279999999999998</v>
      </c>
      <c r="G29">
        <v>56</v>
      </c>
      <c r="H29">
        <v>4</v>
      </c>
      <c r="I29">
        <v>1503</v>
      </c>
      <c r="J29" s="27">
        <v>0.99011899999999997</v>
      </c>
      <c r="K29">
        <v>10</v>
      </c>
      <c r="L29">
        <v>109.2</v>
      </c>
      <c r="M29">
        <v>848</v>
      </c>
      <c r="N29">
        <v>1</v>
      </c>
      <c r="O29">
        <v>1092</v>
      </c>
      <c r="P29" s="23">
        <v>0.71936800000000001</v>
      </c>
    </row>
    <row r="30" spans="1:16" x14ac:dyDescent="0.25">
      <c r="A30" t="s">
        <v>24</v>
      </c>
      <c r="B30" s="22">
        <v>642884222</v>
      </c>
      <c r="C30">
        <v>1535</v>
      </c>
      <c r="D30">
        <v>965</v>
      </c>
      <c r="E30" s="23">
        <v>0.61399999999999999</v>
      </c>
      <c r="F30" s="23">
        <v>0.38600000000000001</v>
      </c>
      <c r="G30">
        <v>50</v>
      </c>
      <c r="H30">
        <v>2</v>
      </c>
      <c r="I30">
        <v>1502</v>
      </c>
      <c r="J30" s="27">
        <v>0.97850199999999998</v>
      </c>
      <c r="K30">
        <v>7</v>
      </c>
      <c r="L30">
        <v>153.71428599999999</v>
      </c>
      <c r="M30">
        <v>1014</v>
      </c>
      <c r="N30">
        <v>1</v>
      </c>
      <c r="O30">
        <v>1076</v>
      </c>
      <c r="P30" s="23">
        <v>0.70097699999999996</v>
      </c>
    </row>
    <row r="31" spans="1:16" x14ac:dyDescent="0.25">
      <c r="A31" t="s">
        <v>24</v>
      </c>
      <c r="B31" s="22">
        <v>358395282</v>
      </c>
      <c r="C31">
        <v>1331</v>
      </c>
      <c r="D31">
        <v>1169</v>
      </c>
      <c r="E31" s="23">
        <v>0.53239999999999998</v>
      </c>
      <c r="F31" s="23">
        <v>0.46760000000000002</v>
      </c>
      <c r="G31">
        <v>55</v>
      </c>
      <c r="H31">
        <v>7</v>
      </c>
      <c r="I31">
        <v>1294</v>
      </c>
      <c r="J31" s="27">
        <v>0.97220099999999998</v>
      </c>
      <c r="K31">
        <v>16</v>
      </c>
      <c r="L31">
        <v>52.8125</v>
      </c>
      <c r="M31">
        <v>226</v>
      </c>
      <c r="N31">
        <v>5</v>
      </c>
      <c r="O31">
        <v>845</v>
      </c>
      <c r="P31" s="23">
        <v>0.63486100000000001</v>
      </c>
    </row>
    <row r="32" spans="1:16" x14ac:dyDescent="0.25">
      <c r="A32" t="s">
        <v>24</v>
      </c>
      <c r="B32" s="22">
        <v>2070337382</v>
      </c>
      <c r="C32">
        <v>1466</v>
      </c>
      <c r="D32">
        <v>1034</v>
      </c>
      <c r="E32" s="23">
        <v>0.58640000000000003</v>
      </c>
      <c r="F32" s="23">
        <v>0.41360000000000002</v>
      </c>
      <c r="G32">
        <v>60</v>
      </c>
      <c r="H32">
        <v>1</v>
      </c>
      <c r="I32">
        <v>1466</v>
      </c>
      <c r="J32" s="27">
        <v>1</v>
      </c>
      <c r="K32">
        <v>13</v>
      </c>
      <c r="L32">
        <v>75.307692000000003</v>
      </c>
      <c r="M32">
        <v>587</v>
      </c>
      <c r="N32">
        <v>1</v>
      </c>
      <c r="O32">
        <v>979</v>
      </c>
      <c r="P32" s="23">
        <v>0.66780399999999995</v>
      </c>
    </row>
    <row r="33" spans="1:16" x14ac:dyDescent="0.25">
      <c r="A33" t="s">
        <v>24</v>
      </c>
      <c r="B33" s="22">
        <v>1488891268</v>
      </c>
      <c r="C33">
        <v>1422</v>
      </c>
      <c r="D33">
        <v>1078</v>
      </c>
      <c r="E33" s="23">
        <v>0.56879999999999997</v>
      </c>
      <c r="F33" s="23">
        <v>0.43120000000000003</v>
      </c>
      <c r="G33">
        <v>69</v>
      </c>
      <c r="H33">
        <v>3</v>
      </c>
      <c r="I33">
        <v>1417</v>
      </c>
      <c r="J33" s="27">
        <v>0.99648400000000004</v>
      </c>
      <c r="K33">
        <v>15</v>
      </c>
      <c r="L33">
        <v>64.400000000000006</v>
      </c>
      <c r="M33">
        <v>599</v>
      </c>
      <c r="N33">
        <v>1</v>
      </c>
      <c r="O33">
        <v>966</v>
      </c>
      <c r="P33" s="23">
        <v>0.67932499999999996</v>
      </c>
    </row>
    <row r="34" spans="1:16" x14ac:dyDescent="0.25">
      <c r="A34" t="s">
        <v>24</v>
      </c>
      <c r="B34" s="22">
        <v>1185046783</v>
      </c>
      <c r="C34">
        <v>1480</v>
      </c>
      <c r="D34">
        <v>1020</v>
      </c>
      <c r="E34" s="23">
        <v>0.59199999999999997</v>
      </c>
      <c r="F34" s="23">
        <v>0.40799999999999997</v>
      </c>
      <c r="G34">
        <v>56</v>
      </c>
      <c r="H34">
        <v>3</v>
      </c>
      <c r="I34">
        <v>1475</v>
      </c>
      <c r="J34" s="27">
        <v>0.99662200000000001</v>
      </c>
      <c r="K34">
        <v>14</v>
      </c>
      <c r="L34">
        <v>73.857142999999994</v>
      </c>
      <c r="M34">
        <v>434</v>
      </c>
      <c r="N34">
        <v>1</v>
      </c>
      <c r="O34">
        <v>1034</v>
      </c>
      <c r="P34" s="23">
        <v>0.69864899999999996</v>
      </c>
    </row>
    <row r="35" spans="1:16" x14ac:dyDescent="0.25">
      <c r="A35" t="s">
        <v>24</v>
      </c>
      <c r="B35" s="22">
        <v>1652495550</v>
      </c>
      <c r="C35">
        <v>1393</v>
      </c>
      <c r="D35">
        <v>1107</v>
      </c>
      <c r="E35" s="23">
        <v>0.55720000000000003</v>
      </c>
      <c r="F35" s="23">
        <v>0.44280000000000003</v>
      </c>
      <c r="G35">
        <v>88</v>
      </c>
      <c r="H35">
        <v>6</v>
      </c>
      <c r="I35">
        <v>1376</v>
      </c>
      <c r="J35" s="27">
        <v>0.98779600000000001</v>
      </c>
      <c r="K35">
        <v>15</v>
      </c>
      <c r="L35">
        <v>60.466667000000001</v>
      </c>
      <c r="M35">
        <v>274</v>
      </c>
      <c r="N35">
        <v>1</v>
      </c>
      <c r="O35">
        <v>907</v>
      </c>
      <c r="P35" s="23">
        <v>0.65111300000000005</v>
      </c>
    </row>
    <row r="36" spans="1:16" x14ac:dyDescent="0.25">
      <c r="A36" t="s">
        <v>24</v>
      </c>
      <c r="B36" s="22">
        <v>1405125241</v>
      </c>
      <c r="C36">
        <v>1428</v>
      </c>
      <c r="D36">
        <v>1072</v>
      </c>
      <c r="E36" s="23">
        <v>0.57120000000000004</v>
      </c>
      <c r="F36" s="23">
        <v>0.42880000000000001</v>
      </c>
      <c r="G36">
        <v>72</v>
      </c>
      <c r="H36">
        <v>7</v>
      </c>
      <c r="I36">
        <v>1365</v>
      </c>
      <c r="J36" s="27">
        <v>0.95588200000000001</v>
      </c>
      <c r="K36">
        <v>13</v>
      </c>
      <c r="L36">
        <v>78.307692000000003</v>
      </c>
      <c r="M36">
        <v>685</v>
      </c>
      <c r="N36">
        <v>3</v>
      </c>
      <c r="O36">
        <v>1018</v>
      </c>
      <c r="P36" s="23">
        <v>0.71288499999999999</v>
      </c>
    </row>
    <row r="37" spans="1:16" x14ac:dyDescent="0.25">
      <c r="A37" t="s">
        <v>24</v>
      </c>
      <c r="B37" s="22">
        <v>2024616733</v>
      </c>
      <c r="C37">
        <v>1498</v>
      </c>
      <c r="D37">
        <v>1002</v>
      </c>
      <c r="E37" s="23">
        <v>0.59919999999999995</v>
      </c>
      <c r="F37" s="23">
        <v>0.40079999999999999</v>
      </c>
      <c r="G37">
        <v>56</v>
      </c>
      <c r="H37">
        <v>2</v>
      </c>
      <c r="I37">
        <v>1496</v>
      </c>
      <c r="J37" s="27">
        <v>0.99866500000000002</v>
      </c>
      <c r="K37">
        <v>14</v>
      </c>
      <c r="L37">
        <v>72.642857000000006</v>
      </c>
      <c r="M37">
        <v>830</v>
      </c>
      <c r="N37">
        <v>1</v>
      </c>
      <c r="O37">
        <v>1017</v>
      </c>
      <c r="P37" s="23">
        <v>0.67890499999999998</v>
      </c>
    </row>
    <row r="38" spans="1:16" x14ac:dyDescent="0.25">
      <c r="A38" t="s">
        <v>24</v>
      </c>
      <c r="B38" s="22">
        <v>1829257832</v>
      </c>
      <c r="C38">
        <v>1515</v>
      </c>
      <c r="D38">
        <v>985</v>
      </c>
      <c r="E38" s="23">
        <v>0.60599999999999998</v>
      </c>
      <c r="F38" s="23">
        <v>0.39400000000000002</v>
      </c>
      <c r="G38">
        <v>55</v>
      </c>
      <c r="H38">
        <v>4</v>
      </c>
      <c r="I38">
        <v>1505</v>
      </c>
      <c r="J38" s="27">
        <v>0.99339900000000003</v>
      </c>
      <c r="K38">
        <v>10</v>
      </c>
      <c r="L38">
        <v>109.5</v>
      </c>
      <c r="M38">
        <v>422</v>
      </c>
      <c r="N38">
        <v>7</v>
      </c>
      <c r="O38">
        <v>1095</v>
      </c>
      <c r="P38" s="23">
        <v>0.72277199999999997</v>
      </c>
    </row>
    <row r="39" spans="1:16" x14ac:dyDescent="0.25">
      <c r="A39" t="s">
        <v>24</v>
      </c>
      <c r="B39" s="22">
        <v>218528453</v>
      </c>
      <c r="C39">
        <v>1407</v>
      </c>
      <c r="D39">
        <v>1093</v>
      </c>
      <c r="E39" s="23">
        <v>0.56279999999999997</v>
      </c>
      <c r="F39" s="23">
        <v>0.43719999999999998</v>
      </c>
      <c r="G39">
        <v>57</v>
      </c>
      <c r="H39">
        <v>4</v>
      </c>
      <c r="I39">
        <v>1396</v>
      </c>
      <c r="J39" s="27">
        <v>0.99218200000000001</v>
      </c>
      <c r="K39">
        <v>13</v>
      </c>
      <c r="L39">
        <v>73.846153999999999</v>
      </c>
      <c r="M39">
        <v>266</v>
      </c>
      <c r="N39">
        <v>1</v>
      </c>
      <c r="O39">
        <v>960</v>
      </c>
      <c r="P39" s="23">
        <v>0.68230299999999999</v>
      </c>
    </row>
    <row r="40" spans="1:16" x14ac:dyDescent="0.25">
      <c r="A40" t="s">
        <v>24</v>
      </c>
      <c r="B40" s="22">
        <v>1732753210</v>
      </c>
      <c r="C40">
        <v>1531</v>
      </c>
      <c r="D40">
        <v>969</v>
      </c>
      <c r="E40" s="23">
        <v>0.61240000000000006</v>
      </c>
      <c r="F40" s="23">
        <v>0.3876</v>
      </c>
      <c r="G40">
        <v>50</v>
      </c>
      <c r="H40">
        <v>2</v>
      </c>
      <c r="I40">
        <v>1528</v>
      </c>
      <c r="J40" s="27">
        <v>0.99804000000000004</v>
      </c>
      <c r="K40">
        <v>11</v>
      </c>
      <c r="L40">
        <v>101.363636</v>
      </c>
      <c r="M40">
        <v>785</v>
      </c>
      <c r="N40">
        <v>1</v>
      </c>
      <c r="O40">
        <v>1115</v>
      </c>
      <c r="P40" s="23">
        <v>0.72828199999999998</v>
      </c>
    </row>
    <row r="41" spans="1:16" x14ac:dyDescent="0.25">
      <c r="A41" t="s">
        <v>24</v>
      </c>
      <c r="B41" s="22">
        <v>1776438828</v>
      </c>
      <c r="C41">
        <v>1410</v>
      </c>
      <c r="D41">
        <v>1090</v>
      </c>
      <c r="E41" s="23">
        <v>0.56399999999999995</v>
      </c>
      <c r="F41" s="23">
        <v>0.436</v>
      </c>
      <c r="G41">
        <v>83</v>
      </c>
      <c r="H41">
        <v>7</v>
      </c>
      <c r="I41">
        <v>1385</v>
      </c>
      <c r="J41" s="27">
        <v>0.98226999999999998</v>
      </c>
      <c r="K41">
        <v>14</v>
      </c>
      <c r="L41">
        <v>69.857142999999994</v>
      </c>
      <c r="M41">
        <v>266</v>
      </c>
      <c r="N41">
        <v>1</v>
      </c>
      <c r="O41">
        <v>978</v>
      </c>
      <c r="P41" s="23">
        <v>0.69361700000000004</v>
      </c>
    </row>
    <row r="42" spans="1:16" x14ac:dyDescent="0.25">
      <c r="A42" t="s">
        <v>24</v>
      </c>
      <c r="B42" s="22">
        <v>1249927544</v>
      </c>
      <c r="C42">
        <v>1517</v>
      </c>
      <c r="D42">
        <v>983</v>
      </c>
      <c r="E42" s="23">
        <v>0.60680000000000001</v>
      </c>
      <c r="F42" s="23">
        <v>0.39319999999999999</v>
      </c>
      <c r="G42">
        <v>54</v>
      </c>
      <c r="H42">
        <v>7</v>
      </c>
      <c r="I42">
        <v>1493</v>
      </c>
      <c r="J42" s="27">
        <v>0.98417900000000003</v>
      </c>
      <c r="K42">
        <v>7</v>
      </c>
      <c r="L42">
        <v>157.57142899999999</v>
      </c>
      <c r="M42">
        <v>772</v>
      </c>
      <c r="N42">
        <v>2</v>
      </c>
      <c r="O42">
        <v>1103</v>
      </c>
      <c r="P42" s="23">
        <v>0.72709299999999999</v>
      </c>
    </row>
    <row r="43" spans="1:16" x14ac:dyDescent="0.25">
      <c r="A43" t="s">
        <v>24</v>
      </c>
      <c r="B43" s="22">
        <v>18132289</v>
      </c>
      <c r="C43">
        <v>1464</v>
      </c>
      <c r="D43">
        <v>1036</v>
      </c>
      <c r="E43" s="23">
        <v>0.58560000000000001</v>
      </c>
      <c r="F43" s="23">
        <v>0.41439999999999999</v>
      </c>
      <c r="G43">
        <v>59</v>
      </c>
      <c r="H43">
        <v>3</v>
      </c>
      <c r="I43">
        <v>1456</v>
      </c>
      <c r="J43" s="27">
        <v>0.99453599999999998</v>
      </c>
      <c r="K43">
        <v>16</v>
      </c>
      <c r="L43">
        <v>62.4375</v>
      </c>
      <c r="M43">
        <v>616</v>
      </c>
      <c r="N43">
        <v>1</v>
      </c>
      <c r="O43">
        <v>999</v>
      </c>
      <c r="P43" s="23">
        <v>0.68237700000000001</v>
      </c>
    </row>
    <row r="44" spans="1:16" x14ac:dyDescent="0.25">
      <c r="A44" t="s">
        <v>24</v>
      </c>
      <c r="B44" s="22">
        <v>415296055</v>
      </c>
      <c r="C44">
        <v>1629</v>
      </c>
      <c r="D44">
        <v>871</v>
      </c>
      <c r="E44" s="23">
        <v>0.65159999999999996</v>
      </c>
      <c r="F44" s="23">
        <v>0.34839999999999999</v>
      </c>
      <c r="G44">
        <v>58</v>
      </c>
      <c r="H44">
        <v>2</v>
      </c>
      <c r="I44">
        <v>1627</v>
      </c>
      <c r="J44" s="27">
        <v>0.99877199999999999</v>
      </c>
      <c r="K44">
        <v>10</v>
      </c>
      <c r="L44">
        <v>125.8</v>
      </c>
      <c r="M44">
        <v>745</v>
      </c>
      <c r="N44">
        <v>5</v>
      </c>
      <c r="O44">
        <v>1258</v>
      </c>
      <c r="P44" s="23">
        <v>0.77225299999999997</v>
      </c>
    </row>
    <row r="45" spans="1:16" x14ac:dyDescent="0.25">
      <c r="A45" t="s">
        <v>24</v>
      </c>
      <c r="B45" s="22">
        <v>130542256</v>
      </c>
      <c r="C45">
        <v>1400</v>
      </c>
      <c r="D45">
        <v>1100</v>
      </c>
      <c r="E45" s="23">
        <v>0.56000000000000005</v>
      </c>
      <c r="F45" s="23">
        <v>0.44</v>
      </c>
      <c r="G45">
        <v>57</v>
      </c>
      <c r="H45">
        <v>7</v>
      </c>
      <c r="I45">
        <v>1385</v>
      </c>
      <c r="J45" s="27">
        <v>0.989286</v>
      </c>
      <c r="K45">
        <v>15</v>
      </c>
      <c r="L45">
        <v>62.8</v>
      </c>
      <c r="M45">
        <v>425</v>
      </c>
      <c r="N45">
        <v>1</v>
      </c>
      <c r="O45">
        <v>942</v>
      </c>
      <c r="P45" s="23">
        <v>0.67285700000000004</v>
      </c>
    </row>
    <row r="46" spans="1:16" x14ac:dyDescent="0.25">
      <c r="A46" t="s">
        <v>24</v>
      </c>
      <c r="B46" s="22">
        <v>887065126</v>
      </c>
      <c r="C46">
        <v>1478</v>
      </c>
      <c r="D46">
        <v>1022</v>
      </c>
      <c r="E46" s="23">
        <v>0.59119999999999995</v>
      </c>
      <c r="F46" s="23">
        <v>0.4088</v>
      </c>
      <c r="G46">
        <v>58</v>
      </c>
      <c r="H46">
        <v>1</v>
      </c>
      <c r="I46">
        <v>1478</v>
      </c>
      <c r="J46" s="27">
        <v>1</v>
      </c>
      <c r="K46">
        <v>18</v>
      </c>
      <c r="L46">
        <v>55.166666999999997</v>
      </c>
      <c r="M46">
        <v>291</v>
      </c>
      <c r="N46">
        <v>1</v>
      </c>
      <c r="O46">
        <v>993</v>
      </c>
      <c r="P46" s="23">
        <v>0.67185399999999995</v>
      </c>
    </row>
    <row r="47" spans="1:16" x14ac:dyDescent="0.25">
      <c r="A47" t="s">
        <v>24</v>
      </c>
      <c r="B47" s="22">
        <v>45101110</v>
      </c>
      <c r="C47">
        <v>1381</v>
      </c>
      <c r="D47">
        <v>1119</v>
      </c>
      <c r="E47" s="23">
        <v>0.5524</v>
      </c>
      <c r="F47" s="23">
        <v>0.4476</v>
      </c>
      <c r="G47">
        <v>61</v>
      </c>
      <c r="H47">
        <v>5</v>
      </c>
      <c r="I47">
        <v>1332</v>
      </c>
      <c r="J47" s="27">
        <v>0.96451799999999999</v>
      </c>
      <c r="K47">
        <v>12</v>
      </c>
      <c r="L47">
        <v>72.666667000000004</v>
      </c>
      <c r="M47">
        <v>377</v>
      </c>
      <c r="N47">
        <v>3</v>
      </c>
      <c r="O47">
        <v>872</v>
      </c>
      <c r="P47" s="23">
        <v>0.63142699999999996</v>
      </c>
    </row>
    <row r="48" spans="1:16" x14ac:dyDescent="0.25">
      <c r="A48" t="s">
        <v>24</v>
      </c>
      <c r="B48" s="22">
        <v>731715912</v>
      </c>
      <c r="C48">
        <v>1437</v>
      </c>
      <c r="D48">
        <v>1063</v>
      </c>
      <c r="E48" s="23">
        <v>0.57479999999999998</v>
      </c>
      <c r="F48" s="23">
        <v>0.42520000000000002</v>
      </c>
      <c r="G48">
        <v>56</v>
      </c>
      <c r="H48">
        <v>3</v>
      </c>
      <c r="I48">
        <v>1425</v>
      </c>
      <c r="J48" s="27">
        <v>0.991649</v>
      </c>
      <c r="K48">
        <v>13</v>
      </c>
      <c r="L48">
        <v>73.846153999999999</v>
      </c>
      <c r="M48">
        <v>226</v>
      </c>
      <c r="N48">
        <v>1</v>
      </c>
      <c r="O48">
        <v>960</v>
      </c>
      <c r="P48" s="23">
        <v>0.66805800000000004</v>
      </c>
    </row>
    <row r="49" spans="1:16" x14ac:dyDescent="0.25">
      <c r="A49" t="s">
        <v>24</v>
      </c>
      <c r="B49" s="22">
        <v>1921493337</v>
      </c>
      <c r="C49">
        <v>1536</v>
      </c>
      <c r="D49">
        <v>964</v>
      </c>
      <c r="E49" s="23">
        <v>0.61439999999999995</v>
      </c>
      <c r="F49" s="23">
        <v>0.3856</v>
      </c>
      <c r="G49">
        <v>53</v>
      </c>
      <c r="H49">
        <v>7</v>
      </c>
      <c r="I49">
        <v>1509</v>
      </c>
      <c r="J49" s="27">
        <v>0.98242200000000002</v>
      </c>
      <c r="K49">
        <v>11</v>
      </c>
      <c r="L49">
        <v>99.818181999999993</v>
      </c>
      <c r="M49">
        <v>351</v>
      </c>
      <c r="N49">
        <v>6</v>
      </c>
      <c r="O49">
        <v>1098</v>
      </c>
      <c r="P49" s="23">
        <v>0.71484400000000003</v>
      </c>
    </row>
    <row r="50" spans="1:16" x14ac:dyDescent="0.25">
      <c r="A50" t="s">
        <v>24</v>
      </c>
      <c r="B50" s="22">
        <v>1125307489</v>
      </c>
      <c r="C50">
        <v>1295</v>
      </c>
      <c r="D50">
        <v>1205</v>
      </c>
      <c r="E50" s="23">
        <v>0.51800000000000002</v>
      </c>
      <c r="F50" s="23">
        <v>0.48199999999999998</v>
      </c>
      <c r="G50">
        <v>61</v>
      </c>
      <c r="H50">
        <v>8</v>
      </c>
      <c r="I50">
        <v>1025</v>
      </c>
      <c r="J50" s="27">
        <v>0.79150600000000004</v>
      </c>
      <c r="K50">
        <v>16</v>
      </c>
      <c r="L50">
        <v>49.5625</v>
      </c>
      <c r="M50">
        <v>225</v>
      </c>
      <c r="N50">
        <v>1</v>
      </c>
      <c r="O50">
        <v>793</v>
      </c>
      <c r="P50" s="23">
        <v>0.61235499999999998</v>
      </c>
    </row>
    <row r="51" spans="1:16" x14ac:dyDescent="0.25">
      <c r="A51" t="s">
        <v>24</v>
      </c>
      <c r="B51" s="22">
        <v>1864562028</v>
      </c>
      <c r="C51">
        <v>1553</v>
      </c>
      <c r="D51">
        <v>947</v>
      </c>
      <c r="E51" s="23">
        <v>0.62119999999999997</v>
      </c>
      <c r="F51" s="23">
        <v>0.37880000000000003</v>
      </c>
      <c r="G51">
        <v>54</v>
      </c>
      <c r="H51">
        <v>4</v>
      </c>
      <c r="I51">
        <v>1547</v>
      </c>
      <c r="J51" s="27">
        <v>0.99613700000000005</v>
      </c>
      <c r="K51">
        <v>7</v>
      </c>
      <c r="L51">
        <v>166.28571400000001</v>
      </c>
      <c r="M51">
        <v>1102</v>
      </c>
      <c r="N51">
        <v>1</v>
      </c>
      <c r="O51">
        <v>1164</v>
      </c>
      <c r="P51" s="23">
        <v>0.74951699999999999</v>
      </c>
    </row>
    <row r="52" spans="1:16" x14ac:dyDescent="0.25">
      <c r="A52" t="s">
        <v>26</v>
      </c>
      <c r="B52"/>
      <c r="C52">
        <f>SUBTOTAL(101,CA4_wall70_it5_neigh3[floors])</f>
        <v>1455.88</v>
      </c>
      <c r="D52">
        <f>SUBTOTAL(101,CA4_wall70_it5_neigh3[walls])</f>
        <v>1044.1199999999999</v>
      </c>
      <c r="E52" s="24">
        <f>SUBTOTAL(101,CA4_wall70_it5_neigh3[floor_percent])</f>
        <v>0.58235200000000009</v>
      </c>
      <c r="F52" s="24">
        <f>SUBTOTAL(101,CA4_wall70_it5_neigh3[wall_percent])</f>
        <v>0.41764800000000007</v>
      </c>
      <c r="G52">
        <f>SUBTOTAL(101,CA4_wall70_it5_neigh3[longest_shortest_path])</f>
        <v>62.42</v>
      </c>
      <c r="H52">
        <f>SUBTOTAL(101,CA4_wall70_it5_neigh3[component_count])</f>
        <v>4.0199999999999996</v>
      </c>
      <c r="I52">
        <f>SUBTOTAL(101,CA4_wall70_it5_neigh3[max_component_size])</f>
        <v>1428.62</v>
      </c>
      <c r="J52" s="25">
        <f>SUBTOTAL(101,CA4_wall70_it5_neigh3[connectivity_ratio])</f>
        <v>0.98000655999999997</v>
      </c>
      <c r="K52">
        <f>SUBTOTAL(101,CA4_wall70_it5_neigh3[room_count])</f>
        <v>13.2</v>
      </c>
      <c r="L52">
        <f>SUBTOTAL(101,CA4_wall70_it5_neigh3[avg_room_size])</f>
        <v>85.505042199999991</v>
      </c>
      <c r="M52">
        <f>SUBTOTAL(101,CA4_wall70_it5_neigh3[max_room_size])</f>
        <v>531.62</v>
      </c>
      <c r="N52">
        <f>SUBTOTAL(101,CA4_wall70_it5_neigh3[min_room_size])</f>
        <v>1.84</v>
      </c>
      <c r="O52">
        <f>SUBTOTAL(101,CA4_wall70_it5_neigh3[room_tiles])</f>
        <v>1000.96</v>
      </c>
      <c r="P52" s="24">
        <f>SUBTOTAL(101,CA4_wall70_it5_neigh3[room_ratio])</f>
        <v>0.68509073999999981</v>
      </c>
    </row>
    <row r="53" spans="1:16" x14ac:dyDescent="0.25">
      <c r="A53" s="26" t="s">
        <v>28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20BE-4803-4664-A5E8-DE4739AF3725}">
  <dimension ref="A1:P53"/>
  <sheetViews>
    <sheetView workbookViewId="0">
      <selection activeCell="J1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1133137922</v>
      </c>
      <c r="C2">
        <v>1327</v>
      </c>
      <c r="D2">
        <v>1173</v>
      </c>
      <c r="E2" s="23">
        <v>0.53080000000000005</v>
      </c>
      <c r="F2" s="23">
        <v>0.46920000000000001</v>
      </c>
      <c r="G2">
        <v>70</v>
      </c>
      <c r="H2">
        <v>4</v>
      </c>
      <c r="I2">
        <v>1278</v>
      </c>
      <c r="J2" s="27">
        <v>0.96307500000000001</v>
      </c>
      <c r="K2">
        <v>24</v>
      </c>
      <c r="L2">
        <v>32.958333000000003</v>
      </c>
      <c r="M2">
        <v>250</v>
      </c>
      <c r="N2">
        <v>1</v>
      </c>
      <c r="O2">
        <v>791</v>
      </c>
      <c r="P2" s="23">
        <v>0.59608099999999997</v>
      </c>
    </row>
    <row r="3" spans="1:16" x14ac:dyDescent="0.25">
      <c r="A3" t="s">
        <v>24</v>
      </c>
      <c r="B3" s="22">
        <v>430141763</v>
      </c>
      <c r="C3">
        <v>1272</v>
      </c>
      <c r="D3">
        <v>1228</v>
      </c>
      <c r="E3" s="23">
        <v>0.50880000000000003</v>
      </c>
      <c r="F3" s="23">
        <v>0.49120000000000003</v>
      </c>
      <c r="G3">
        <v>62</v>
      </c>
      <c r="H3">
        <v>10</v>
      </c>
      <c r="I3">
        <v>1213</v>
      </c>
      <c r="J3" s="27">
        <v>0.95361600000000002</v>
      </c>
      <c r="K3">
        <v>18</v>
      </c>
      <c r="L3">
        <v>42.555556000000003</v>
      </c>
      <c r="M3">
        <v>383</v>
      </c>
      <c r="N3">
        <v>1</v>
      </c>
      <c r="O3">
        <v>766</v>
      </c>
      <c r="P3" s="23">
        <v>0.60220099999999999</v>
      </c>
    </row>
    <row r="4" spans="1:16" x14ac:dyDescent="0.25">
      <c r="A4" t="s">
        <v>24</v>
      </c>
      <c r="B4" s="22">
        <v>284588383</v>
      </c>
      <c r="C4">
        <v>1469</v>
      </c>
      <c r="D4">
        <v>1031</v>
      </c>
      <c r="E4" s="23">
        <v>0.58760000000000001</v>
      </c>
      <c r="F4" s="23">
        <v>0.41239999999999999</v>
      </c>
      <c r="G4">
        <v>57</v>
      </c>
      <c r="H4">
        <v>2</v>
      </c>
      <c r="I4">
        <v>1466</v>
      </c>
      <c r="J4" s="27">
        <v>0.99795800000000001</v>
      </c>
      <c r="K4">
        <v>13</v>
      </c>
      <c r="L4">
        <v>78.769231000000005</v>
      </c>
      <c r="M4">
        <v>512</v>
      </c>
      <c r="N4">
        <v>1</v>
      </c>
      <c r="O4">
        <v>1024</v>
      </c>
      <c r="P4" s="23">
        <v>0.69707300000000005</v>
      </c>
    </row>
    <row r="5" spans="1:16" x14ac:dyDescent="0.25">
      <c r="A5" t="s">
        <v>24</v>
      </c>
      <c r="B5" s="22">
        <v>1689843916</v>
      </c>
      <c r="C5">
        <v>1290</v>
      </c>
      <c r="D5">
        <v>1210</v>
      </c>
      <c r="E5" s="23">
        <v>0.51600000000000001</v>
      </c>
      <c r="F5" s="23">
        <v>0.48399999999999999</v>
      </c>
      <c r="G5">
        <v>107</v>
      </c>
      <c r="H5">
        <v>4</v>
      </c>
      <c r="I5">
        <v>1272</v>
      </c>
      <c r="J5" s="27">
        <v>0.98604700000000001</v>
      </c>
      <c r="K5">
        <v>20</v>
      </c>
      <c r="L5">
        <v>39.9</v>
      </c>
      <c r="M5">
        <v>192</v>
      </c>
      <c r="N5">
        <v>2</v>
      </c>
      <c r="O5">
        <v>798</v>
      </c>
      <c r="P5" s="23">
        <v>0.61860499999999996</v>
      </c>
    </row>
    <row r="6" spans="1:16" x14ac:dyDescent="0.25">
      <c r="A6" t="s">
        <v>24</v>
      </c>
      <c r="B6" s="22">
        <v>1889114246</v>
      </c>
      <c r="C6">
        <v>1310</v>
      </c>
      <c r="D6">
        <v>1190</v>
      </c>
      <c r="E6" s="23">
        <v>0.52400000000000002</v>
      </c>
      <c r="F6" s="23">
        <v>0.47599999999999998</v>
      </c>
      <c r="G6">
        <v>79</v>
      </c>
      <c r="H6">
        <v>4</v>
      </c>
      <c r="I6">
        <v>1279</v>
      </c>
      <c r="J6" s="27">
        <v>0.97633599999999998</v>
      </c>
      <c r="K6">
        <v>17</v>
      </c>
      <c r="L6">
        <v>47.529412000000001</v>
      </c>
      <c r="M6">
        <v>230</v>
      </c>
      <c r="N6">
        <v>2</v>
      </c>
      <c r="O6">
        <v>808</v>
      </c>
      <c r="P6" s="23">
        <v>0.61679399999999995</v>
      </c>
    </row>
    <row r="7" spans="1:16" x14ac:dyDescent="0.25">
      <c r="A7" t="s">
        <v>24</v>
      </c>
      <c r="B7" s="22">
        <v>1615105523</v>
      </c>
      <c r="C7">
        <v>1333</v>
      </c>
      <c r="D7">
        <v>1167</v>
      </c>
      <c r="E7" s="23">
        <v>0.53320000000000001</v>
      </c>
      <c r="F7" s="23">
        <v>0.46679999999999999</v>
      </c>
      <c r="G7">
        <v>75</v>
      </c>
      <c r="H7">
        <v>2</v>
      </c>
      <c r="I7">
        <v>1325</v>
      </c>
      <c r="J7" s="27">
        <v>0.99399800000000005</v>
      </c>
      <c r="K7">
        <v>18</v>
      </c>
      <c r="L7">
        <v>44.277777999999998</v>
      </c>
      <c r="M7">
        <v>506</v>
      </c>
      <c r="N7">
        <v>1</v>
      </c>
      <c r="O7">
        <v>797</v>
      </c>
      <c r="P7" s="23">
        <v>0.59789899999999996</v>
      </c>
    </row>
    <row r="8" spans="1:16" x14ac:dyDescent="0.25">
      <c r="A8" t="s">
        <v>24</v>
      </c>
      <c r="B8" s="22">
        <v>91202343</v>
      </c>
      <c r="C8">
        <v>1360</v>
      </c>
      <c r="D8">
        <v>1140</v>
      </c>
      <c r="E8" s="23">
        <v>0.54400000000000004</v>
      </c>
      <c r="F8" s="23">
        <v>0.45600000000000002</v>
      </c>
      <c r="G8">
        <v>52</v>
      </c>
      <c r="H8">
        <v>3</v>
      </c>
      <c r="I8">
        <v>1349</v>
      </c>
      <c r="J8" s="27">
        <v>0.99191200000000002</v>
      </c>
      <c r="K8">
        <v>11</v>
      </c>
      <c r="L8">
        <v>83.636364</v>
      </c>
      <c r="M8">
        <v>497</v>
      </c>
      <c r="N8">
        <v>1</v>
      </c>
      <c r="O8">
        <v>920</v>
      </c>
      <c r="P8" s="23">
        <v>0.67647100000000004</v>
      </c>
    </row>
    <row r="9" spans="1:16" x14ac:dyDescent="0.25">
      <c r="A9" t="s">
        <v>24</v>
      </c>
      <c r="B9" s="22">
        <v>1286041268</v>
      </c>
      <c r="C9">
        <v>1279</v>
      </c>
      <c r="D9">
        <v>1221</v>
      </c>
      <c r="E9" s="23">
        <v>0.51160000000000005</v>
      </c>
      <c r="F9" s="23">
        <v>0.4884</v>
      </c>
      <c r="G9">
        <v>58</v>
      </c>
      <c r="H9">
        <v>6</v>
      </c>
      <c r="I9">
        <v>1233</v>
      </c>
      <c r="J9" s="27">
        <v>0.96403399999999995</v>
      </c>
      <c r="K9">
        <v>18</v>
      </c>
      <c r="L9">
        <v>43.388888999999999</v>
      </c>
      <c r="M9">
        <v>247</v>
      </c>
      <c r="N9">
        <v>1</v>
      </c>
      <c r="O9">
        <v>781</v>
      </c>
      <c r="P9" s="23">
        <v>0.61063299999999998</v>
      </c>
    </row>
    <row r="10" spans="1:16" x14ac:dyDescent="0.25">
      <c r="A10" t="s">
        <v>24</v>
      </c>
      <c r="B10" s="22">
        <v>1521929510</v>
      </c>
      <c r="C10">
        <v>1188</v>
      </c>
      <c r="D10">
        <v>1312</v>
      </c>
      <c r="E10" s="23">
        <v>0.47520000000000001</v>
      </c>
      <c r="F10" s="23">
        <v>0.52480000000000004</v>
      </c>
      <c r="G10">
        <v>64</v>
      </c>
      <c r="H10">
        <v>13</v>
      </c>
      <c r="I10">
        <v>1088</v>
      </c>
      <c r="J10" s="27">
        <v>0.915825</v>
      </c>
      <c r="K10">
        <v>23</v>
      </c>
      <c r="L10">
        <v>29.695651999999999</v>
      </c>
      <c r="M10">
        <v>233</v>
      </c>
      <c r="N10">
        <v>1</v>
      </c>
      <c r="O10">
        <v>683</v>
      </c>
      <c r="P10" s="23">
        <v>0.57491599999999998</v>
      </c>
    </row>
    <row r="11" spans="1:16" x14ac:dyDescent="0.25">
      <c r="A11" t="s">
        <v>24</v>
      </c>
      <c r="B11" s="22">
        <v>34946134</v>
      </c>
      <c r="C11">
        <v>1337</v>
      </c>
      <c r="D11">
        <v>1163</v>
      </c>
      <c r="E11" s="23">
        <v>0.53480000000000005</v>
      </c>
      <c r="F11" s="23">
        <v>0.4652</v>
      </c>
      <c r="G11">
        <v>69</v>
      </c>
      <c r="H11">
        <v>3</v>
      </c>
      <c r="I11">
        <v>1333</v>
      </c>
      <c r="J11" s="27">
        <v>0.99700800000000001</v>
      </c>
      <c r="K11">
        <v>16</v>
      </c>
      <c r="L11">
        <v>52.125</v>
      </c>
      <c r="M11">
        <v>287</v>
      </c>
      <c r="N11">
        <v>1</v>
      </c>
      <c r="O11">
        <v>834</v>
      </c>
      <c r="P11" s="23">
        <v>0.62378500000000003</v>
      </c>
    </row>
    <row r="12" spans="1:16" x14ac:dyDescent="0.25">
      <c r="A12" t="s">
        <v>24</v>
      </c>
      <c r="B12" s="22">
        <v>162242577</v>
      </c>
      <c r="C12">
        <v>1398</v>
      </c>
      <c r="D12">
        <v>1102</v>
      </c>
      <c r="E12" s="23">
        <v>0.55920000000000003</v>
      </c>
      <c r="F12" s="23">
        <v>0.44080000000000003</v>
      </c>
      <c r="G12">
        <v>59</v>
      </c>
      <c r="H12">
        <v>1</v>
      </c>
      <c r="I12">
        <v>1398</v>
      </c>
      <c r="J12" s="27">
        <v>1</v>
      </c>
      <c r="K12">
        <v>18</v>
      </c>
      <c r="L12">
        <v>50.722222000000002</v>
      </c>
      <c r="M12">
        <v>317</v>
      </c>
      <c r="N12">
        <v>3</v>
      </c>
      <c r="O12">
        <v>913</v>
      </c>
      <c r="P12" s="23">
        <v>0.65307599999999999</v>
      </c>
    </row>
    <row r="13" spans="1:16" x14ac:dyDescent="0.25">
      <c r="A13" t="s">
        <v>24</v>
      </c>
      <c r="B13" s="22">
        <v>1323297006</v>
      </c>
      <c r="C13">
        <v>1272</v>
      </c>
      <c r="D13">
        <v>1228</v>
      </c>
      <c r="E13" s="23">
        <v>0.50880000000000003</v>
      </c>
      <c r="F13" s="23">
        <v>0.49120000000000003</v>
      </c>
      <c r="G13">
        <v>57</v>
      </c>
      <c r="H13">
        <v>11</v>
      </c>
      <c r="I13">
        <v>1102</v>
      </c>
      <c r="J13" s="27">
        <v>0.86635200000000001</v>
      </c>
      <c r="K13">
        <v>13</v>
      </c>
      <c r="L13">
        <v>57.923076999999999</v>
      </c>
      <c r="M13">
        <v>204</v>
      </c>
      <c r="N13">
        <v>1</v>
      </c>
      <c r="O13">
        <v>753</v>
      </c>
      <c r="P13" s="23">
        <v>0.59198099999999998</v>
      </c>
    </row>
    <row r="14" spans="1:16" x14ac:dyDescent="0.25">
      <c r="A14" t="s">
        <v>24</v>
      </c>
      <c r="B14" s="22">
        <v>1563948833</v>
      </c>
      <c r="C14">
        <v>1378</v>
      </c>
      <c r="D14">
        <v>1122</v>
      </c>
      <c r="E14" s="23">
        <v>0.55120000000000002</v>
      </c>
      <c r="F14" s="23">
        <v>0.44879999999999998</v>
      </c>
      <c r="G14">
        <v>62</v>
      </c>
      <c r="H14">
        <v>4</v>
      </c>
      <c r="I14">
        <v>1367</v>
      </c>
      <c r="J14" s="27">
        <v>0.99201700000000004</v>
      </c>
      <c r="K14">
        <v>14</v>
      </c>
      <c r="L14">
        <v>64.214286000000001</v>
      </c>
      <c r="M14">
        <v>324</v>
      </c>
      <c r="N14">
        <v>1</v>
      </c>
      <c r="O14">
        <v>899</v>
      </c>
      <c r="P14" s="23">
        <v>0.65239499999999995</v>
      </c>
    </row>
    <row r="15" spans="1:16" x14ac:dyDescent="0.25">
      <c r="A15" t="s">
        <v>24</v>
      </c>
      <c r="B15" s="22">
        <v>1699453457</v>
      </c>
      <c r="C15">
        <v>1165</v>
      </c>
      <c r="D15">
        <v>1335</v>
      </c>
      <c r="E15" s="23">
        <v>0.46600000000000003</v>
      </c>
      <c r="F15" s="23">
        <v>0.53400000000000003</v>
      </c>
      <c r="G15">
        <v>62</v>
      </c>
      <c r="H15">
        <v>10</v>
      </c>
      <c r="I15">
        <v>1034</v>
      </c>
      <c r="J15" s="27">
        <v>0.88755399999999995</v>
      </c>
      <c r="K15">
        <v>22</v>
      </c>
      <c r="L15">
        <v>29.727273</v>
      </c>
      <c r="M15">
        <v>144</v>
      </c>
      <c r="N15">
        <v>1</v>
      </c>
      <c r="O15">
        <v>654</v>
      </c>
      <c r="P15" s="23">
        <v>0.56137300000000001</v>
      </c>
    </row>
    <row r="16" spans="1:16" x14ac:dyDescent="0.25">
      <c r="A16" t="s">
        <v>24</v>
      </c>
      <c r="B16" s="22">
        <v>575742394</v>
      </c>
      <c r="C16">
        <v>1371</v>
      </c>
      <c r="D16">
        <v>1129</v>
      </c>
      <c r="E16" s="23">
        <v>0.5484</v>
      </c>
      <c r="F16" s="23">
        <v>0.4516</v>
      </c>
      <c r="G16">
        <v>63</v>
      </c>
      <c r="H16">
        <v>4</v>
      </c>
      <c r="I16">
        <v>1350</v>
      </c>
      <c r="J16" s="27">
        <v>0.98468299999999997</v>
      </c>
      <c r="K16">
        <v>14</v>
      </c>
      <c r="L16">
        <v>65.785713999999999</v>
      </c>
      <c r="M16">
        <v>512</v>
      </c>
      <c r="N16">
        <v>1</v>
      </c>
      <c r="O16">
        <v>921</v>
      </c>
      <c r="P16" s="23">
        <v>0.67177200000000004</v>
      </c>
    </row>
    <row r="17" spans="1:16" x14ac:dyDescent="0.25">
      <c r="A17" t="s">
        <v>24</v>
      </c>
      <c r="B17" s="22">
        <v>747934463</v>
      </c>
      <c r="C17">
        <v>1308</v>
      </c>
      <c r="D17">
        <v>1192</v>
      </c>
      <c r="E17" s="23">
        <v>0.5232</v>
      </c>
      <c r="F17" s="23">
        <v>0.4768</v>
      </c>
      <c r="G17">
        <v>59</v>
      </c>
      <c r="H17">
        <v>5</v>
      </c>
      <c r="I17">
        <v>1292</v>
      </c>
      <c r="J17" s="27">
        <v>0.98776799999999998</v>
      </c>
      <c r="K17">
        <v>23</v>
      </c>
      <c r="L17">
        <v>33.565216999999997</v>
      </c>
      <c r="M17">
        <v>325</v>
      </c>
      <c r="N17">
        <v>1</v>
      </c>
      <c r="O17">
        <v>772</v>
      </c>
      <c r="P17" s="23">
        <v>0.59021400000000002</v>
      </c>
    </row>
    <row r="18" spans="1:16" x14ac:dyDescent="0.25">
      <c r="A18" t="s">
        <v>24</v>
      </c>
      <c r="B18" s="22">
        <v>668424145</v>
      </c>
      <c r="C18">
        <v>1298</v>
      </c>
      <c r="D18">
        <v>1202</v>
      </c>
      <c r="E18" s="23">
        <v>0.51919999999999999</v>
      </c>
      <c r="F18" s="23">
        <v>0.48080000000000001</v>
      </c>
      <c r="G18">
        <v>55</v>
      </c>
      <c r="H18">
        <v>10</v>
      </c>
      <c r="I18">
        <v>1253</v>
      </c>
      <c r="J18" s="27">
        <v>0.96533100000000005</v>
      </c>
      <c r="K18">
        <v>17</v>
      </c>
      <c r="L18">
        <v>46.058824000000001</v>
      </c>
      <c r="M18">
        <v>323</v>
      </c>
      <c r="N18">
        <v>1</v>
      </c>
      <c r="O18">
        <v>783</v>
      </c>
      <c r="P18" s="23">
        <v>0.60323599999999999</v>
      </c>
    </row>
    <row r="19" spans="1:16" x14ac:dyDescent="0.25">
      <c r="A19" t="s">
        <v>24</v>
      </c>
      <c r="B19" s="22">
        <v>264791691</v>
      </c>
      <c r="C19">
        <v>1271</v>
      </c>
      <c r="D19">
        <v>1229</v>
      </c>
      <c r="E19" s="23">
        <v>0.50839999999999996</v>
      </c>
      <c r="F19" s="23">
        <v>0.49159999999999998</v>
      </c>
      <c r="G19">
        <v>66</v>
      </c>
      <c r="H19">
        <v>7</v>
      </c>
      <c r="I19">
        <v>1224</v>
      </c>
      <c r="J19" s="27">
        <v>0.96302100000000002</v>
      </c>
      <c r="K19">
        <v>20</v>
      </c>
      <c r="L19">
        <v>38</v>
      </c>
      <c r="M19">
        <v>242</v>
      </c>
      <c r="N19">
        <v>1</v>
      </c>
      <c r="O19">
        <v>760</v>
      </c>
      <c r="P19" s="23">
        <v>0.59795399999999999</v>
      </c>
    </row>
    <row r="20" spans="1:16" x14ac:dyDescent="0.25">
      <c r="A20" t="s">
        <v>24</v>
      </c>
      <c r="B20" s="22">
        <v>1099056682</v>
      </c>
      <c r="C20">
        <v>1299</v>
      </c>
      <c r="D20">
        <v>1201</v>
      </c>
      <c r="E20" s="23">
        <v>0.51959999999999995</v>
      </c>
      <c r="F20" s="23">
        <v>0.48039999999999999</v>
      </c>
      <c r="G20">
        <v>69</v>
      </c>
      <c r="H20">
        <v>4</v>
      </c>
      <c r="I20">
        <v>1292</v>
      </c>
      <c r="J20" s="27">
        <v>0.99461100000000002</v>
      </c>
      <c r="K20">
        <v>23</v>
      </c>
      <c r="L20">
        <v>33.217390999999999</v>
      </c>
      <c r="M20">
        <v>182</v>
      </c>
      <c r="N20">
        <v>2</v>
      </c>
      <c r="O20">
        <v>764</v>
      </c>
      <c r="P20" s="23">
        <v>0.58814500000000003</v>
      </c>
    </row>
    <row r="21" spans="1:16" x14ac:dyDescent="0.25">
      <c r="A21" t="s">
        <v>24</v>
      </c>
      <c r="B21" s="22">
        <v>1805339573</v>
      </c>
      <c r="C21">
        <v>1373</v>
      </c>
      <c r="D21">
        <v>1127</v>
      </c>
      <c r="E21" s="23">
        <v>0.54920000000000002</v>
      </c>
      <c r="F21" s="23">
        <v>0.45079999999999998</v>
      </c>
      <c r="G21">
        <v>73</v>
      </c>
      <c r="H21">
        <v>2</v>
      </c>
      <c r="I21">
        <v>1367</v>
      </c>
      <c r="J21" s="27">
        <v>0.99563000000000001</v>
      </c>
      <c r="K21">
        <v>13</v>
      </c>
      <c r="L21">
        <v>67.846153999999999</v>
      </c>
      <c r="M21">
        <v>723</v>
      </c>
      <c r="N21">
        <v>1</v>
      </c>
      <c r="O21">
        <v>882</v>
      </c>
      <c r="P21" s="23">
        <v>0.64238899999999999</v>
      </c>
    </row>
    <row r="22" spans="1:16" x14ac:dyDescent="0.25">
      <c r="A22" t="s">
        <v>24</v>
      </c>
      <c r="B22" s="22">
        <v>548464712</v>
      </c>
      <c r="C22">
        <v>1348</v>
      </c>
      <c r="D22">
        <v>1152</v>
      </c>
      <c r="E22" s="23">
        <v>0.53920000000000001</v>
      </c>
      <c r="F22" s="23">
        <v>0.46079999999999999</v>
      </c>
      <c r="G22">
        <v>55</v>
      </c>
      <c r="H22">
        <v>6</v>
      </c>
      <c r="I22">
        <v>1215</v>
      </c>
      <c r="J22" s="27">
        <v>0.901335</v>
      </c>
      <c r="K22">
        <v>13</v>
      </c>
      <c r="L22">
        <v>69.538461999999996</v>
      </c>
      <c r="M22">
        <v>661</v>
      </c>
      <c r="N22">
        <v>2</v>
      </c>
      <c r="O22">
        <v>904</v>
      </c>
      <c r="P22" s="23">
        <v>0.67062299999999997</v>
      </c>
    </row>
    <row r="23" spans="1:16" x14ac:dyDescent="0.25">
      <c r="A23" t="s">
        <v>24</v>
      </c>
      <c r="B23" s="22">
        <v>1295596517</v>
      </c>
      <c r="C23">
        <v>1351</v>
      </c>
      <c r="D23">
        <v>1149</v>
      </c>
      <c r="E23" s="23">
        <v>0.54039999999999999</v>
      </c>
      <c r="F23" s="23">
        <v>0.45960000000000001</v>
      </c>
      <c r="G23">
        <v>57</v>
      </c>
      <c r="H23">
        <v>2</v>
      </c>
      <c r="I23">
        <v>1349</v>
      </c>
      <c r="J23" s="27">
        <v>0.99851999999999996</v>
      </c>
      <c r="K23">
        <v>18</v>
      </c>
      <c r="L23">
        <v>46.833333000000003</v>
      </c>
      <c r="M23">
        <v>219</v>
      </c>
      <c r="N23">
        <v>1</v>
      </c>
      <c r="O23">
        <v>843</v>
      </c>
      <c r="P23" s="23">
        <v>0.62398200000000004</v>
      </c>
    </row>
    <row r="24" spans="1:16" x14ac:dyDescent="0.25">
      <c r="A24" t="s">
        <v>24</v>
      </c>
      <c r="B24" s="22">
        <v>898017464</v>
      </c>
      <c r="C24">
        <v>1303</v>
      </c>
      <c r="D24">
        <v>1197</v>
      </c>
      <c r="E24" s="23">
        <v>0.5212</v>
      </c>
      <c r="F24" s="23">
        <v>0.4788</v>
      </c>
      <c r="G24">
        <v>58</v>
      </c>
      <c r="H24">
        <v>3</v>
      </c>
      <c r="I24">
        <v>1296</v>
      </c>
      <c r="J24" s="27">
        <v>0.99462799999999996</v>
      </c>
      <c r="K24">
        <v>18</v>
      </c>
      <c r="L24">
        <v>42.611111000000001</v>
      </c>
      <c r="M24">
        <v>450</v>
      </c>
      <c r="N24">
        <v>1</v>
      </c>
      <c r="O24">
        <v>767</v>
      </c>
      <c r="P24" s="23">
        <v>0.588642</v>
      </c>
    </row>
    <row r="25" spans="1:16" x14ac:dyDescent="0.25">
      <c r="A25" t="s">
        <v>24</v>
      </c>
      <c r="B25" s="22">
        <v>459106893</v>
      </c>
      <c r="C25">
        <v>1250</v>
      </c>
      <c r="D25">
        <v>1250</v>
      </c>
      <c r="E25" s="23">
        <v>0.5</v>
      </c>
      <c r="F25" s="23">
        <v>0.5</v>
      </c>
      <c r="G25">
        <v>58</v>
      </c>
      <c r="H25">
        <v>7</v>
      </c>
      <c r="I25">
        <v>1227</v>
      </c>
      <c r="J25" s="27">
        <v>0.98160000000000003</v>
      </c>
      <c r="K25">
        <v>19</v>
      </c>
      <c r="L25">
        <v>39.736842000000003</v>
      </c>
      <c r="M25">
        <v>171</v>
      </c>
      <c r="N25">
        <v>1</v>
      </c>
      <c r="O25">
        <v>755</v>
      </c>
      <c r="P25" s="23">
        <v>0.60399999999999998</v>
      </c>
    </row>
    <row r="26" spans="1:16" x14ac:dyDescent="0.25">
      <c r="A26" t="s">
        <v>24</v>
      </c>
      <c r="B26" s="22">
        <v>1650757125</v>
      </c>
      <c r="C26">
        <v>1294</v>
      </c>
      <c r="D26">
        <v>1206</v>
      </c>
      <c r="E26" s="23">
        <v>0.51759999999999995</v>
      </c>
      <c r="F26" s="23">
        <v>0.4824</v>
      </c>
      <c r="G26">
        <v>78</v>
      </c>
      <c r="H26">
        <v>5</v>
      </c>
      <c r="I26">
        <v>1250</v>
      </c>
      <c r="J26" s="27">
        <v>0.96599699999999999</v>
      </c>
      <c r="K26">
        <v>29</v>
      </c>
      <c r="L26">
        <v>26.482759000000001</v>
      </c>
      <c r="M26">
        <v>339</v>
      </c>
      <c r="N26">
        <v>1</v>
      </c>
      <c r="O26">
        <v>768</v>
      </c>
      <c r="P26" s="23">
        <v>0.59350899999999995</v>
      </c>
    </row>
    <row r="27" spans="1:16" x14ac:dyDescent="0.25">
      <c r="A27" t="s">
        <v>24</v>
      </c>
      <c r="B27" s="22">
        <v>423280697</v>
      </c>
      <c r="C27">
        <v>1402</v>
      </c>
      <c r="D27">
        <v>1098</v>
      </c>
      <c r="E27" s="23">
        <v>0.56079999999999997</v>
      </c>
      <c r="F27" s="23">
        <v>0.43919999999999998</v>
      </c>
      <c r="G27">
        <v>66</v>
      </c>
      <c r="H27">
        <v>5</v>
      </c>
      <c r="I27">
        <v>1363</v>
      </c>
      <c r="J27" s="27">
        <v>0.97218300000000002</v>
      </c>
      <c r="K27">
        <v>15</v>
      </c>
      <c r="L27">
        <v>63.666666999999997</v>
      </c>
      <c r="M27">
        <v>282</v>
      </c>
      <c r="N27">
        <v>1</v>
      </c>
      <c r="O27">
        <v>955</v>
      </c>
      <c r="P27" s="23">
        <v>0.68117000000000005</v>
      </c>
    </row>
    <row r="28" spans="1:16" x14ac:dyDescent="0.25">
      <c r="A28" t="s">
        <v>24</v>
      </c>
      <c r="B28" s="22">
        <v>1592432947</v>
      </c>
      <c r="C28">
        <v>1192</v>
      </c>
      <c r="D28">
        <v>1308</v>
      </c>
      <c r="E28" s="23">
        <v>0.4768</v>
      </c>
      <c r="F28" s="23">
        <v>0.5232</v>
      </c>
      <c r="G28">
        <v>56</v>
      </c>
      <c r="H28">
        <v>10</v>
      </c>
      <c r="I28">
        <v>1110</v>
      </c>
      <c r="J28" s="27">
        <v>0.93120800000000004</v>
      </c>
      <c r="K28">
        <v>19</v>
      </c>
      <c r="L28">
        <v>35.736842000000003</v>
      </c>
      <c r="M28">
        <v>268</v>
      </c>
      <c r="N28">
        <v>1</v>
      </c>
      <c r="O28">
        <v>679</v>
      </c>
      <c r="P28" s="23">
        <v>0.569631</v>
      </c>
    </row>
    <row r="29" spans="1:16" x14ac:dyDescent="0.25">
      <c r="A29" t="s">
        <v>24</v>
      </c>
      <c r="B29" s="22">
        <v>1136355177</v>
      </c>
      <c r="C29">
        <v>1239</v>
      </c>
      <c r="D29">
        <v>1261</v>
      </c>
      <c r="E29" s="23">
        <v>0.49559999999999998</v>
      </c>
      <c r="F29" s="23">
        <v>0.50439999999999996</v>
      </c>
      <c r="G29">
        <v>59</v>
      </c>
      <c r="H29">
        <v>7</v>
      </c>
      <c r="I29">
        <v>1189</v>
      </c>
      <c r="J29" s="27">
        <v>0.95964499999999997</v>
      </c>
      <c r="K29">
        <v>19</v>
      </c>
      <c r="L29">
        <v>39.263157999999997</v>
      </c>
      <c r="M29">
        <v>245</v>
      </c>
      <c r="N29">
        <v>2</v>
      </c>
      <c r="O29">
        <v>746</v>
      </c>
      <c r="P29" s="23">
        <v>0.60209800000000002</v>
      </c>
    </row>
    <row r="30" spans="1:16" x14ac:dyDescent="0.25">
      <c r="A30" t="s">
        <v>24</v>
      </c>
      <c r="B30" s="22">
        <v>672420610</v>
      </c>
      <c r="C30">
        <v>1289</v>
      </c>
      <c r="D30">
        <v>1211</v>
      </c>
      <c r="E30" s="23">
        <v>0.51559999999999995</v>
      </c>
      <c r="F30" s="23">
        <v>0.4844</v>
      </c>
      <c r="G30">
        <v>60</v>
      </c>
      <c r="H30">
        <v>2</v>
      </c>
      <c r="I30">
        <v>1285</v>
      </c>
      <c r="J30" s="27">
        <v>0.99689700000000003</v>
      </c>
      <c r="K30">
        <v>20</v>
      </c>
      <c r="L30">
        <v>36.5</v>
      </c>
      <c r="M30">
        <v>155</v>
      </c>
      <c r="N30">
        <v>2</v>
      </c>
      <c r="O30">
        <v>730</v>
      </c>
      <c r="P30" s="23">
        <v>0.56633</v>
      </c>
    </row>
    <row r="31" spans="1:16" x14ac:dyDescent="0.25">
      <c r="A31" t="s">
        <v>24</v>
      </c>
      <c r="B31" s="22">
        <v>414089102</v>
      </c>
      <c r="C31">
        <v>1379</v>
      </c>
      <c r="D31">
        <v>1121</v>
      </c>
      <c r="E31" s="23">
        <v>0.55159999999999998</v>
      </c>
      <c r="F31" s="23">
        <v>0.44840000000000002</v>
      </c>
      <c r="G31">
        <v>56</v>
      </c>
      <c r="H31">
        <v>3</v>
      </c>
      <c r="I31">
        <v>1374</v>
      </c>
      <c r="J31" s="27">
        <v>0.99637399999999998</v>
      </c>
      <c r="K31">
        <v>17</v>
      </c>
      <c r="L31">
        <v>50.058824000000001</v>
      </c>
      <c r="M31">
        <v>250</v>
      </c>
      <c r="N31">
        <v>1</v>
      </c>
      <c r="O31">
        <v>851</v>
      </c>
      <c r="P31" s="23">
        <v>0.61711400000000005</v>
      </c>
    </row>
    <row r="32" spans="1:16" x14ac:dyDescent="0.25">
      <c r="A32" t="s">
        <v>24</v>
      </c>
      <c r="B32" s="22">
        <v>1883326269</v>
      </c>
      <c r="C32">
        <v>1384</v>
      </c>
      <c r="D32">
        <v>1116</v>
      </c>
      <c r="E32" s="23">
        <v>0.55359999999999998</v>
      </c>
      <c r="F32" s="23">
        <v>0.44640000000000002</v>
      </c>
      <c r="G32">
        <v>53</v>
      </c>
      <c r="H32">
        <v>2</v>
      </c>
      <c r="I32">
        <v>1382</v>
      </c>
      <c r="J32" s="27">
        <v>0.99855499999999997</v>
      </c>
      <c r="K32">
        <v>20</v>
      </c>
      <c r="L32">
        <v>45.4</v>
      </c>
      <c r="M32">
        <v>585</v>
      </c>
      <c r="N32">
        <v>1</v>
      </c>
      <c r="O32">
        <v>908</v>
      </c>
      <c r="P32" s="23">
        <v>0.65606900000000001</v>
      </c>
    </row>
    <row r="33" spans="1:16" x14ac:dyDescent="0.25">
      <c r="A33" t="s">
        <v>24</v>
      </c>
      <c r="B33" s="22">
        <v>1479893769</v>
      </c>
      <c r="C33">
        <v>1302</v>
      </c>
      <c r="D33">
        <v>1198</v>
      </c>
      <c r="E33" s="23">
        <v>0.52080000000000004</v>
      </c>
      <c r="F33" s="23">
        <v>0.47920000000000001</v>
      </c>
      <c r="G33">
        <v>83</v>
      </c>
      <c r="H33">
        <v>3</v>
      </c>
      <c r="I33">
        <v>1270</v>
      </c>
      <c r="J33" s="27">
        <v>0.97542200000000001</v>
      </c>
      <c r="K33">
        <v>12</v>
      </c>
      <c r="L33">
        <v>69.25</v>
      </c>
      <c r="M33">
        <v>369</v>
      </c>
      <c r="N33">
        <v>4</v>
      </c>
      <c r="O33">
        <v>831</v>
      </c>
      <c r="P33" s="23">
        <v>0.63824899999999996</v>
      </c>
    </row>
    <row r="34" spans="1:16" x14ac:dyDescent="0.25">
      <c r="A34" t="s">
        <v>24</v>
      </c>
      <c r="B34" s="22">
        <v>179214723</v>
      </c>
      <c r="C34">
        <v>1451</v>
      </c>
      <c r="D34">
        <v>1049</v>
      </c>
      <c r="E34" s="23">
        <v>0.58040000000000003</v>
      </c>
      <c r="F34" s="23">
        <v>0.41959999999999997</v>
      </c>
      <c r="G34">
        <v>58</v>
      </c>
      <c r="H34">
        <v>5</v>
      </c>
      <c r="I34">
        <v>1405</v>
      </c>
      <c r="J34" s="27">
        <v>0.96829799999999999</v>
      </c>
      <c r="K34">
        <v>13</v>
      </c>
      <c r="L34">
        <v>78.384614999999997</v>
      </c>
      <c r="M34">
        <v>439</v>
      </c>
      <c r="N34">
        <v>2</v>
      </c>
      <c r="O34">
        <v>1019</v>
      </c>
      <c r="P34" s="23">
        <v>0.70227399999999995</v>
      </c>
    </row>
    <row r="35" spans="1:16" x14ac:dyDescent="0.25">
      <c r="A35" t="s">
        <v>24</v>
      </c>
      <c r="B35" s="22">
        <v>401974359</v>
      </c>
      <c r="C35">
        <v>1356</v>
      </c>
      <c r="D35">
        <v>1144</v>
      </c>
      <c r="E35" s="23">
        <v>0.54239999999999999</v>
      </c>
      <c r="F35" s="23">
        <v>0.45760000000000001</v>
      </c>
      <c r="G35">
        <v>71</v>
      </c>
      <c r="H35">
        <v>3</v>
      </c>
      <c r="I35">
        <v>1349</v>
      </c>
      <c r="J35" s="27">
        <v>0.994838</v>
      </c>
      <c r="K35">
        <v>17</v>
      </c>
      <c r="L35">
        <v>48.705882000000003</v>
      </c>
      <c r="M35">
        <v>296</v>
      </c>
      <c r="N35">
        <v>1</v>
      </c>
      <c r="O35">
        <v>828</v>
      </c>
      <c r="P35" s="23">
        <v>0.61061900000000002</v>
      </c>
    </row>
    <row r="36" spans="1:16" x14ac:dyDescent="0.25">
      <c r="A36" t="s">
        <v>24</v>
      </c>
      <c r="B36" s="22">
        <v>896937913</v>
      </c>
      <c r="C36">
        <v>1581</v>
      </c>
      <c r="D36">
        <v>919</v>
      </c>
      <c r="E36" s="23">
        <v>0.63239999999999996</v>
      </c>
      <c r="F36" s="23">
        <v>0.36759999999999998</v>
      </c>
      <c r="G36">
        <v>55</v>
      </c>
      <c r="H36">
        <v>4</v>
      </c>
      <c r="I36">
        <v>1574</v>
      </c>
      <c r="J36" s="27">
        <v>0.99557200000000001</v>
      </c>
      <c r="K36">
        <v>9</v>
      </c>
      <c r="L36">
        <v>131.33333300000001</v>
      </c>
      <c r="M36">
        <v>976</v>
      </c>
      <c r="N36">
        <v>1</v>
      </c>
      <c r="O36">
        <v>1182</v>
      </c>
      <c r="P36" s="23">
        <v>0.74762799999999996</v>
      </c>
    </row>
    <row r="37" spans="1:16" x14ac:dyDescent="0.25">
      <c r="A37" t="s">
        <v>24</v>
      </c>
      <c r="B37" s="22">
        <v>375719708</v>
      </c>
      <c r="C37">
        <v>1435</v>
      </c>
      <c r="D37">
        <v>1065</v>
      </c>
      <c r="E37" s="23">
        <v>0.57399999999999995</v>
      </c>
      <c r="F37" s="23">
        <v>0.42599999999999999</v>
      </c>
      <c r="G37">
        <v>63</v>
      </c>
      <c r="H37">
        <v>3</v>
      </c>
      <c r="I37">
        <v>1426</v>
      </c>
      <c r="J37" s="27">
        <v>0.99372799999999994</v>
      </c>
      <c r="K37">
        <v>14</v>
      </c>
      <c r="L37">
        <v>66</v>
      </c>
      <c r="M37">
        <v>364</v>
      </c>
      <c r="N37">
        <v>1</v>
      </c>
      <c r="O37">
        <v>924</v>
      </c>
      <c r="P37" s="23">
        <v>0.64390199999999997</v>
      </c>
    </row>
    <row r="38" spans="1:16" x14ac:dyDescent="0.25">
      <c r="A38" t="s">
        <v>24</v>
      </c>
      <c r="B38" s="22">
        <v>777984823</v>
      </c>
      <c r="C38">
        <v>1305</v>
      </c>
      <c r="D38">
        <v>1195</v>
      </c>
      <c r="E38" s="23">
        <v>0.52200000000000002</v>
      </c>
      <c r="F38" s="23">
        <v>0.47799999999999998</v>
      </c>
      <c r="G38">
        <v>50</v>
      </c>
      <c r="H38">
        <v>6</v>
      </c>
      <c r="I38">
        <v>1252</v>
      </c>
      <c r="J38" s="27">
        <v>0.95938699999999999</v>
      </c>
      <c r="K38">
        <v>16</v>
      </c>
      <c r="L38">
        <v>48.75</v>
      </c>
      <c r="M38">
        <v>310</v>
      </c>
      <c r="N38">
        <v>1</v>
      </c>
      <c r="O38">
        <v>780</v>
      </c>
      <c r="P38" s="23">
        <v>0.59770100000000004</v>
      </c>
    </row>
    <row r="39" spans="1:16" x14ac:dyDescent="0.25">
      <c r="A39" t="s">
        <v>24</v>
      </c>
      <c r="B39" s="22">
        <v>1694539605</v>
      </c>
      <c r="C39">
        <v>1451</v>
      </c>
      <c r="D39">
        <v>1049</v>
      </c>
      <c r="E39" s="23">
        <v>0.58040000000000003</v>
      </c>
      <c r="F39" s="23">
        <v>0.41959999999999997</v>
      </c>
      <c r="G39">
        <v>60</v>
      </c>
      <c r="H39">
        <v>5</v>
      </c>
      <c r="I39">
        <v>1418</v>
      </c>
      <c r="J39" s="27">
        <v>0.97725700000000004</v>
      </c>
      <c r="K39">
        <v>12</v>
      </c>
      <c r="L39">
        <v>83.75</v>
      </c>
      <c r="M39">
        <v>380</v>
      </c>
      <c r="N39">
        <v>1</v>
      </c>
      <c r="O39">
        <v>1005</v>
      </c>
      <c r="P39" s="23">
        <v>0.69262599999999996</v>
      </c>
    </row>
    <row r="40" spans="1:16" x14ac:dyDescent="0.25">
      <c r="A40" t="s">
        <v>24</v>
      </c>
      <c r="B40" s="22">
        <v>393662056</v>
      </c>
      <c r="C40">
        <v>1356</v>
      </c>
      <c r="D40">
        <v>1144</v>
      </c>
      <c r="E40" s="23">
        <v>0.54239999999999999</v>
      </c>
      <c r="F40" s="23">
        <v>0.45760000000000001</v>
      </c>
      <c r="G40">
        <v>72</v>
      </c>
      <c r="H40">
        <v>4</v>
      </c>
      <c r="I40">
        <v>1296</v>
      </c>
      <c r="J40" s="27">
        <v>0.95575200000000005</v>
      </c>
      <c r="K40">
        <v>16</v>
      </c>
      <c r="L40">
        <v>53.1875</v>
      </c>
      <c r="M40">
        <v>407</v>
      </c>
      <c r="N40">
        <v>1</v>
      </c>
      <c r="O40">
        <v>851</v>
      </c>
      <c r="P40" s="23">
        <v>0.62758100000000006</v>
      </c>
    </row>
    <row r="41" spans="1:16" x14ac:dyDescent="0.25">
      <c r="A41" t="s">
        <v>24</v>
      </c>
      <c r="B41" s="22">
        <v>940895570</v>
      </c>
      <c r="C41">
        <v>1370</v>
      </c>
      <c r="D41">
        <v>1130</v>
      </c>
      <c r="E41" s="23">
        <v>0.54800000000000004</v>
      </c>
      <c r="F41" s="23">
        <v>0.45200000000000001</v>
      </c>
      <c r="G41">
        <v>68</v>
      </c>
      <c r="H41">
        <v>4</v>
      </c>
      <c r="I41">
        <v>1343</v>
      </c>
      <c r="J41" s="27">
        <v>0.98029200000000005</v>
      </c>
      <c r="K41">
        <v>14</v>
      </c>
      <c r="L41">
        <v>65.5</v>
      </c>
      <c r="M41">
        <v>669</v>
      </c>
      <c r="N41">
        <v>1</v>
      </c>
      <c r="O41">
        <v>917</v>
      </c>
      <c r="P41" s="23">
        <v>0.66934300000000002</v>
      </c>
    </row>
    <row r="42" spans="1:16" x14ac:dyDescent="0.25">
      <c r="A42" t="s">
        <v>24</v>
      </c>
      <c r="B42" s="22">
        <v>1666058539</v>
      </c>
      <c r="C42">
        <v>1376</v>
      </c>
      <c r="D42">
        <v>1124</v>
      </c>
      <c r="E42" s="23">
        <v>0.5504</v>
      </c>
      <c r="F42" s="23">
        <v>0.4496</v>
      </c>
      <c r="G42">
        <v>55</v>
      </c>
      <c r="H42">
        <v>5</v>
      </c>
      <c r="I42">
        <v>1360</v>
      </c>
      <c r="J42" s="27">
        <v>0.98837200000000003</v>
      </c>
      <c r="K42">
        <v>13</v>
      </c>
      <c r="L42">
        <v>68.769231000000005</v>
      </c>
      <c r="M42">
        <v>501</v>
      </c>
      <c r="N42">
        <v>1</v>
      </c>
      <c r="O42">
        <v>894</v>
      </c>
      <c r="P42" s="23">
        <v>0.64970899999999998</v>
      </c>
    </row>
    <row r="43" spans="1:16" x14ac:dyDescent="0.25">
      <c r="A43" t="s">
        <v>24</v>
      </c>
      <c r="B43" s="22">
        <v>1915136575</v>
      </c>
      <c r="C43">
        <v>1269</v>
      </c>
      <c r="D43">
        <v>1231</v>
      </c>
      <c r="E43" s="23">
        <v>0.50760000000000005</v>
      </c>
      <c r="F43" s="23">
        <v>0.4924</v>
      </c>
      <c r="G43">
        <v>62</v>
      </c>
      <c r="H43">
        <v>9</v>
      </c>
      <c r="I43">
        <v>1157</v>
      </c>
      <c r="J43" s="27">
        <v>0.91174200000000005</v>
      </c>
      <c r="K43">
        <v>20</v>
      </c>
      <c r="L43">
        <v>37.6</v>
      </c>
      <c r="M43">
        <v>264</v>
      </c>
      <c r="N43">
        <v>1</v>
      </c>
      <c r="O43">
        <v>752</v>
      </c>
      <c r="P43" s="23">
        <v>0.59259300000000004</v>
      </c>
    </row>
    <row r="44" spans="1:16" x14ac:dyDescent="0.25">
      <c r="A44" t="s">
        <v>24</v>
      </c>
      <c r="B44" s="22">
        <v>2128347791</v>
      </c>
      <c r="C44">
        <v>1368</v>
      </c>
      <c r="D44">
        <v>1132</v>
      </c>
      <c r="E44" s="23">
        <v>0.54720000000000002</v>
      </c>
      <c r="F44" s="23">
        <v>0.45279999999999998</v>
      </c>
      <c r="G44">
        <v>58</v>
      </c>
      <c r="H44">
        <v>5</v>
      </c>
      <c r="I44">
        <v>1336</v>
      </c>
      <c r="J44" s="27">
        <v>0.97660800000000003</v>
      </c>
      <c r="K44">
        <v>19</v>
      </c>
      <c r="L44">
        <v>45.947367999999997</v>
      </c>
      <c r="M44">
        <v>448</v>
      </c>
      <c r="N44">
        <v>1</v>
      </c>
      <c r="O44">
        <v>873</v>
      </c>
      <c r="P44" s="23">
        <v>0.638158</v>
      </c>
    </row>
    <row r="45" spans="1:16" x14ac:dyDescent="0.25">
      <c r="A45" t="s">
        <v>24</v>
      </c>
      <c r="B45" s="22">
        <v>467495853</v>
      </c>
      <c r="C45">
        <v>1216</v>
      </c>
      <c r="D45">
        <v>1284</v>
      </c>
      <c r="E45" s="23">
        <v>0.4864</v>
      </c>
      <c r="F45" s="23">
        <v>0.51359999999999995</v>
      </c>
      <c r="G45">
        <v>59</v>
      </c>
      <c r="H45">
        <v>9</v>
      </c>
      <c r="I45">
        <v>771</v>
      </c>
      <c r="J45" s="27">
        <v>0.634046</v>
      </c>
      <c r="K45">
        <v>18</v>
      </c>
      <c r="L45">
        <v>42.5</v>
      </c>
      <c r="M45">
        <v>160</v>
      </c>
      <c r="N45">
        <v>1</v>
      </c>
      <c r="O45">
        <v>765</v>
      </c>
      <c r="P45" s="23">
        <v>0.629112</v>
      </c>
    </row>
    <row r="46" spans="1:16" x14ac:dyDescent="0.25">
      <c r="A46" t="s">
        <v>24</v>
      </c>
      <c r="B46" s="22">
        <v>1071236062</v>
      </c>
      <c r="C46">
        <v>1254</v>
      </c>
      <c r="D46">
        <v>1246</v>
      </c>
      <c r="E46" s="23">
        <v>0.50160000000000005</v>
      </c>
      <c r="F46" s="23">
        <v>0.49840000000000001</v>
      </c>
      <c r="G46">
        <v>70</v>
      </c>
      <c r="H46">
        <v>3</v>
      </c>
      <c r="I46">
        <v>1243</v>
      </c>
      <c r="J46" s="27">
        <v>0.991228</v>
      </c>
      <c r="K46">
        <v>20</v>
      </c>
      <c r="L46">
        <v>35.6</v>
      </c>
      <c r="M46">
        <v>156</v>
      </c>
      <c r="N46">
        <v>5</v>
      </c>
      <c r="O46">
        <v>712</v>
      </c>
      <c r="P46" s="23">
        <v>0.56778300000000004</v>
      </c>
    </row>
    <row r="47" spans="1:16" x14ac:dyDescent="0.25">
      <c r="A47" t="s">
        <v>24</v>
      </c>
      <c r="B47" s="22">
        <v>1989728393</v>
      </c>
      <c r="C47">
        <v>1278</v>
      </c>
      <c r="D47">
        <v>1222</v>
      </c>
      <c r="E47" s="23">
        <v>0.51119999999999999</v>
      </c>
      <c r="F47" s="23">
        <v>0.48880000000000001</v>
      </c>
      <c r="G47">
        <v>80</v>
      </c>
      <c r="H47">
        <v>4</v>
      </c>
      <c r="I47">
        <v>1271</v>
      </c>
      <c r="J47" s="27">
        <v>0.99452300000000005</v>
      </c>
      <c r="K47">
        <v>18</v>
      </c>
      <c r="L47">
        <v>38.555556000000003</v>
      </c>
      <c r="M47">
        <v>218</v>
      </c>
      <c r="N47">
        <v>1</v>
      </c>
      <c r="O47">
        <v>694</v>
      </c>
      <c r="P47" s="23">
        <v>0.54303599999999996</v>
      </c>
    </row>
    <row r="48" spans="1:16" x14ac:dyDescent="0.25">
      <c r="A48" t="s">
        <v>24</v>
      </c>
      <c r="B48" s="22">
        <v>1796731849</v>
      </c>
      <c r="C48">
        <v>1248</v>
      </c>
      <c r="D48">
        <v>1252</v>
      </c>
      <c r="E48" s="23">
        <v>0.49919999999999998</v>
      </c>
      <c r="F48" s="23">
        <v>0.50080000000000002</v>
      </c>
      <c r="G48">
        <v>58</v>
      </c>
      <c r="H48">
        <v>10</v>
      </c>
      <c r="I48">
        <v>1191</v>
      </c>
      <c r="J48" s="27">
        <v>0.95432700000000004</v>
      </c>
      <c r="K48">
        <v>17</v>
      </c>
      <c r="L48">
        <v>44.588234999999997</v>
      </c>
      <c r="M48">
        <v>366</v>
      </c>
      <c r="N48">
        <v>2</v>
      </c>
      <c r="O48">
        <v>758</v>
      </c>
      <c r="P48" s="23">
        <v>0.60737200000000002</v>
      </c>
    </row>
    <row r="49" spans="1:16" x14ac:dyDescent="0.25">
      <c r="A49" t="s">
        <v>24</v>
      </c>
      <c r="B49" s="22">
        <v>672096114</v>
      </c>
      <c r="C49">
        <v>1248</v>
      </c>
      <c r="D49">
        <v>1252</v>
      </c>
      <c r="E49" s="23">
        <v>0.49919999999999998</v>
      </c>
      <c r="F49" s="23">
        <v>0.50080000000000002</v>
      </c>
      <c r="G49">
        <v>103</v>
      </c>
      <c r="H49">
        <v>6</v>
      </c>
      <c r="I49">
        <v>1202</v>
      </c>
      <c r="J49" s="27">
        <v>0.96314100000000002</v>
      </c>
      <c r="K49">
        <v>25</v>
      </c>
      <c r="L49">
        <v>28.88</v>
      </c>
      <c r="M49">
        <v>136</v>
      </c>
      <c r="N49">
        <v>1</v>
      </c>
      <c r="O49">
        <v>722</v>
      </c>
      <c r="P49" s="23">
        <v>0.57852599999999998</v>
      </c>
    </row>
    <row r="50" spans="1:16" x14ac:dyDescent="0.25">
      <c r="A50" t="s">
        <v>24</v>
      </c>
      <c r="B50" s="22">
        <v>8702027</v>
      </c>
      <c r="C50">
        <v>1281</v>
      </c>
      <c r="D50">
        <v>1219</v>
      </c>
      <c r="E50" s="23">
        <v>0.51239999999999997</v>
      </c>
      <c r="F50" s="23">
        <v>0.48759999999999998</v>
      </c>
      <c r="G50">
        <v>116</v>
      </c>
      <c r="H50">
        <v>6</v>
      </c>
      <c r="I50">
        <v>1269</v>
      </c>
      <c r="J50" s="27">
        <v>0.99063199999999996</v>
      </c>
      <c r="K50">
        <v>17</v>
      </c>
      <c r="L50">
        <v>45.941175999999999</v>
      </c>
      <c r="M50">
        <v>217</v>
      </c>
      <c r="N50">
        <v>1</v>
      </c>
      <c r="O50">
        <v>781</v>
      </c>
      <c r="P50" s="23">
        <v>0.60968</v>
      </c>
    </row>
    <row r="51" spans="1:16" x14ac:dyDescent="0.25">
      <c r="A51" t="s">
        <v>24</v>
      </c>
      <c r="B51" s="22">
        <v>199727298</v>
      </c>
      <c r="C51">
        <v>1387</v>
      </c>
      <c r="D51">
        <v>1113</v>
      </c>
      <c r="E51" s="23">
        <v>0.55479999999999996</v>
      </c>
      <c r="F51" s="23">
        <v>0.44519999999999998</v>
      </c>
      <c r="G51">
        <v>57</v>
      </c>
      <c r="H51">
        <v>3</v>
      </c>
      <c r="I51">
        <v>1344</v>
      </c>
      <c r="J51" s="27">
        <v>0.96899800000000003</v>
      </c>
      <c r="K51">
        <v>13</v>
      </c>
      <c r="L51">
        <v>69.923077000000006</v>
      </c>
      <c r="M51">
        <v>295</v>
      </c>
      <c r="N51">
        <v>1</v>
      </c>
      <c r="O51">
        <v>909</v>
      </c>
      <c r="P51" s="23">
        <v>0.65537100000000004</v>
      </c>
    </row>
    <row r="52" spans="1:16" x14ac:dyDescent="0.25">
      <c r="A52" t="s">
        <v>26</v>
      </c>
      <c r="B52"/>
      <c r="C52">
        <f>SUBTOTAL(101,CA4_wall70_it4_neigh3[floors])</f>
        <v>1325.22</v>
      </c>
      <c r="D52">
        <f>SUBTOTAL(101,CA4_wall70_it4_neigh3[walls])</f>
        <v>1174.78</v>
      </c>
      <c r="E52" s="24">
        <f>SUBTOTAL(101,CA4_wall70_it4_neigh3[floor_percent])</f>
        <v>0.53008799999999989</v>
      </c>
      <c r="F52" s="24">
        <f>SUBTOTAL(101,CA4_wall70_it4_neigh3[wall_percent])</f>
        <v>0.46991200000000005</v>
      </c>
      <c r="G52">
        <f>SUBTOTAL(101,CA4_wall70_it4_neigh3[longest_shortest_path])</f>
        <v>65.44</v>
      </c>
      <c r="H52">
        <f>SUBTOTAL(101,CA4_wall70_it4_neigh3[component_count])</f>
        <v>5.16</v>
      </c>
      <c r="I52">
        <f>SUBTOTAL(101,CA4_wall70_it4_neigh3[max_component_size])</f>
        <v>1280.6400000000001</v>
      </c>
      <c r="J52" s="25">
        <f>SUBTOTAL(101,CA4_wall70_it4_neigh3[connectivity_ratio])</f>
        <v>0.96495761999999974</v>
      </c>
      <c r="K52">
        <f>SUBTOTAL(101,CA4_wall70_it4_neigh3[room_count])</f>
        <v>17.3</v>
      </c>
      <c r="L52">
        <f>SUBTOTAL(101,CA4_wall70_it4_neigh3[avg_room_size])</f>
        <v>51.617806879999996</v>
      </c>
      <c r="M52">
        <f>SUBTOTAL(101,CA4_wall70_it4_neigh3[max_room_size])</f>
        <v>344.58</v>
      </c>
      <c r="N52">
        <f>SUBTOTAL(101,CA4_wall70_it4_neigh3[min_room_size])</f>
        <v>1.34</v>
      </c>
      <c r="O52">
        <f>SUBTOTAL(101,CA4_wall70_it4_neigh3[room_tiles])</f>
        <v>828.12</v>
      </c>
      <c r="P52" s="24">
        <f>SUBTOTAL(101,CA4_wall70_it4_neigh3[room_ratio])</f>
        <v>0.62282848000000013</v>
      </c>
    </row>
    <row r="53" spans="1:16" x14ac:dyDescent="0.25">
      <c r="A53" s="26" t="s">
        <v>29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7479-61C1-4E57-B1BC-6EFBEEF4E345}">
  <dimension ref="A1:P53"/>
  <sheetViews>
    <sheetView topLeftCell="A34" workbookViewId="0">
      <selection activeCell="J34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241009736</v>
      </c>
      <c r="C2">
        <v>1069</v>
      </c>
      <c r="D2">
        <v>1431</v>
      </c>
      <c r="E2" s="23">
        <v>0.42759999999999998</v>
      </c>
      <c r="F2" s="23">
        <v>0.57240000000000002</v>
      </c>
      <c r="G2">
        <v>88</v>
      </c>
      <c r="H2">
        <v>14</v>
      </c>
      <c r="I2">
        <v>925</v>
      </c>
      <c r="J2" s="27">
        <v>0.86529500000000004</v>
      </c>
      <c r="K2">
        <v>29</v>
      </c>
      <c r="L2">
        <v>18.482759000000001</v>
      </c>
      <c r="M2">
        <v>111</v>
      </c>
      <c r="N2">
        <v>1</v>
      </c>
      <c r="O2">
        <v>536</v>
      </c>
      <c r="P2" s="23">
        <v>0.50140300000000004</v>
      </c>
    </row>
    <row r="3" spans="1:16" x14ac:dyDescent="0.25">
      <c r="A3" t="s">
        <v>24</v>
      </c>
      <c r="B3" s="22">
        <v>899628007</v>
      </c>
      <c r="C3">
        <v>1154</v>
      </c>
      <c r="D3">
        <v>1346</v>
      </c>
      <c r="E3" s="23">
        <v>0.46160000000000001</v>
      </c>
      <c r="F3" s="23">
        <v>0.53839999999999999</v>
      </c>
      <c r="G3">
        <v>96</v>
      </c>
      <c r="H3">
        <v>9</v>
      </c>
      <c r="I3">
        <v>1106</v>
      </c>
      <c r="J3" s="27">
        <v>0.95840599999999998</v>
      </c>
      <c r="K3">
        <v>21</v>
      </c>
      <c r="L3">
        <v>29.714286000000001</v>
      </c>
      <c r="M3">
        <v>96</v>
      </c>
      <c r="N3">
        <v>1</v>
      </c>
      <c r="O3">
        <v>624</v>
      </c>
      <c r="P3" s="23">
        <v>0.54072799999999999</v>
      </c>
    </row>
    <row r="4" spans="1:16" x14ac:dyDescent="0.25">
      <c r="A4" t="s">
        <v>24</v>
      </c>
      <c r="B4" s="22">
        <v>2097211901</v>
      </c>
      <c r="C4">
        <v>1222</v>
      </c>
      <c r="D4">
        <v>1278</v>
      </c>
      <c r="E4" s="23">
        <v>0.48880000000000001</v>
      </c>
      <c r="F4" s="23">
        <v>0.51119999999999999</v>
      </c>
      <c r="G4">
        <v>97</v>
      </c>
      <c r="H4">
        <v>6</v>
      </c>
      <c r="I4">
        <v>1208</v>
      </c>
      <c r="J4" s="27">
        <v>0.98854299999999995</v>
      </c>
      <c r="K4">
        <v>27</v>
      </c>
      <c r="L4">
        <v>25.444444000000001</v>
      </c>
      <c r="M4">
        <v>134</v>
      </c>
      <c r="N4">
        <v>1</v>
      </c>
      <c r="O4">
        <v>687</v>
      </c>
      <c r="P4" s="23">
        <v>0.56219300000000005</v>
      </c>
    </row>
    <row r="5" spans="1:16" x14ac:dyDescent="0.25">
      <c r="A5" t="s">
        <v>24</v>
      </c>
      <c r="B5" s="22">
        <v>2123319138</v>
      </c>
      <c r="C5">
        <v>1264</v>
      </c>
      <c r="D5">
        <v>1236</v>
      </c>
      <c r="E5" s="23">
        <v>0.50560000000000005</v>
      </c>
      <c r="F5" s="23">
        <v>0.49440000000000001</v>
      </c>
      <c r="G5">
        <v>81</v>
      </c>
      <c r="H5">
        <v>2</v>
      </c>
      <c r="I5">
        <v>1241</v>
      </c>
      <c r="J5" s="27">
        <v>0.98180400000000001</v>
      </c>
      <c r="K5">
        <v>22</v>
      </c>
      <c r="L5">
        <v>35.318182</v>
      </c>
      <c r="M5">
        <v>192</v>
      </c>
      <c r="N5">
        <v>1</v>
      </c>
      <c r="O5">
        <v>777</v>
      </c>
      <c r="P5" s="23">
        <v>0.61471500000000001</v>
      </c>
    </row>
    <row r="6" spans="1:16" x14ac:dyDescent="0.25">
      <c r="A6" t="s">
        <v>24</v>
      </c>
      <c r="B6" s="22">
        <v>1092500818</v>
      </c>
      <c r="C6">
        <v>1219</v>
      </c>
      <c r="D6">
        <v>1281</v>
      </c>
      <c r="E6" s="23">
        <v>0.48759999999999998</v>
      </c>
      <c r="F6" s="23">
        <v>0.51239999999999997</v>
      </c>
      <c r="G6">
        <v>57</v>
      </c>
      <c r="H6">
        <v>7</v>
      </c>
      <c r="I6">
        <v>1152</v>
      </c>
      <c r="J6" s="27">
        <v>0.94503700000000002</v>
      </c>
      <c r="K6">
        <v>25</v>
      </c>
      <c r="L6">
        <v>27.04</v>
      </c>
      <c r="M6">
        <v>274</v>
      </c>
      <c r="N6">
        <v>1</v>
      </c>
      <c r="O6">
        <v>676</v>
      </c>
      <c r="P6" s="23">
        <v>0.55455299999999996</v>
      </c>
    </row>
    <row r="7" spans="1:16" x14ac:dyDescent="0.25">
      <c r="A7" t="s">
        <v>24</v>
      </c>
      <c r="B7" s="22">
        <v>1836055522</v>
      </c>
      <c r="C7">
        <v>1323</v>
      </c>
      <c r="D7">
        <v>1177</v>
      </c>
      <c r="E7" s="23">
        <v>0.5292</v>
      </c>
      <c r="F7" s="23">
        <v>0.4708</v>
      </c>
      <c r="G7">
        <v>76</v>
      </c>
      <c r="H7">
        <v>4</v>
      </c>
      <c r="I7">
        <v>1170</v>
      </c>
      <c r="J7" s="27">
        <v>0.88435399999999997</v>
      </c>
      <c r="K7">
        <v>16</v>
      </c>
      <c r="L7">
        <v>52.6875</v>
      </c>
      <c r="M7">
        <v>286</v>
      </c>
      <c r="N7">
        <v>1</v>
      </c>
      <c r="O7">
        <v>843</v>
      </c>
      <c r="P7" s="23">
        <v>0.63718799999999998</v>
      </c>
    </row>
    <row r="8" spans="1:16" x14ac:dyDescent="0.25">
      <c r="A8" t="s">
        <v>24</v>
      </c>
      <c r="B8" s="22">
        <v>1454769715</v>
      </c>
      <c r="C8">
        <v>1225</v>
      </c>
      <c r="D8">
        <v>1275</v>
      </c>
      <c r="E8" s="23">
        <v>0.49</v>
      </c>
      <c r="F8" s="23">
        <v>0.51</v>
      </c>
      <c r="G8">
        <v>72</v>
      </c>
      <c r="H8">
        <v>4</v>
      </c>
      <c r="I8">
        <v>1211</v>
      </c>
      <c r="J8" s="27">
        <v>0.98857099999999998</v>
      </c>
      <c r="K8">
        <v>18</v>
      </c>
      <c r="L8">
        <v>37.777777999999998</v>
      </c>
      <c r="M8">
        <v>166</v>
      </c>
      <c r="N8">
        <v>1</v>
      </c>
      <c r="O8">
        <v>680</v>
      </c>
      <c r="P8" s="23">
        <v>0.55510199999999998</v>
      </c>
    </row>
    <row r="9" spans="1:16" x14ac:dyDescent="0.25">
      <c r="A9" t="s">
        <v>24</v>
      </c>
      <c r="B9" s="22">
        <v>1059043548</v>
      </c>
      <c r="C9">
        <v>1239</v>
      </c>
      <c r="D9">
        <v>1261</v>
      </c>
      <c r="E9" s="23">
        <v>0.49559999999999998</v>
      </c>
      <c r="F9" s="23">
        <v>0.50439999999999996</v>
      </c>
      <c r="G9">
        <v>59</v>
      </c>
      <c r="H9">
        <v>5</v>
      </c>
      <c r="I9">
        <v>1225</v>
      </c>
      <c r="J9" s="27">
        <v>0.98870100000000005</v>
      </c>
      <c r="K9">
        <v>23</v>
      </c>
      <c r="L9">
        <v>30.173912999999999</v>
      </c>
      <c r="M9">
        <v>259</v>
      </c>
      <c r="N9">
        <v>1</v>
      </c>
      <c r="O9">
        <v>694</v>
      </c>
      <c r="P9" s="23">
        <v>0.56012899999999999</v>
      </c>
    </row>
    <row r="10" spans="1:16" x14ac:dyDescent="0.25">
      <c r="A10" t="s">
        <v>24</v>
      </c>
      <c r="B10" s="22">
        <v>829013562</v>
      </c>
      <c r="C10">
        <v>1269</v>
      </c>
      <c r="D10">
        <v>1231</v>
      </c>
      <c r="E10" s="23">
        <v>0.50760000000000005</v>
      </c>
      <c r="F10" s="23">
        <v>0.4924</v>
      </c>
      <c r="G10">
        <v>68</v>
      </c>
      <c r="H10">
        <v>3</v>
      </c>
      <c r="I10">
        <v>1262</v>
      </c>
      <c r="J10" s="27">
        <v>0.99448400000000003</v>
      </c>
      <c r="K10">
        <v>25</v>
      </c>
      <c r="L10">
        <v>28.28</v>
      </c>
      <c r="M10">
        <v>130</v>
      </c>
      <c r="N10">
        <v>1</v>
      </c>
      <c r="O10">
        <v>707</v>
      </c>
      <c r="P10" s="23">
        <v>0.55713199999999996</v>
      </c>
    </row>
    <row r="11" spans="1:16" x14ac:dyDescent="0.25">
      <c r="A11" t="s">
        <v>24</v>
      </c>
      <c r="B11" s="22">
        <v>1853750259</v>
      </c>
      <c r="C11">
        <v>1173</v>
      </c>
      <c r="D11">
        <v>1327</v>
      </c>
      <c r="E11" s="23">
        <v>0.46920000000000001</v>
      </c>
      <c r="F11" s="23">
        <v>0.53080000000000005</v>
      </c>
      <c r="G11">
        <v>63</v>
      </c>
      <c r="H11">
        <v>7</v>
      </c>
      <c r="I11">
        <v>1144</v>
      </c>
      <c r="J11" s="27">
        <v>0.97527699999999995</v>
      </c>
      <c r="K11">
        <v>25</v>
      </c>
      <c r="L11">
        <v>24.44</v>
      </c>
      <c r="M11">
        <v>209</v>
      </c>
      <c r="N11">
        <v>1</v>
      </c>
      <c r="O11">
        <v>611</v>
      </c>
      <c r="P11" s="23">
        <v>0.52088699999999999</v>
      </c>
    </row>
    <row r="12" spans="1:16" x14ac:dyDescent="0.25">
      <c r="A12" t="s">
        <v>24</v>
      </c>
      <c r="B12" s="22">
        <v>1536875702</v>
      </c>
      <c r="C12">
        <v>1218</v>
      </c>
      <c r="D12">
        <v>1282</v>
      </c>
      <c r="E12" s="23">
        <v>0.48720000000000002</v>
      </c>
      <c r="F12" s="23">
        <v>0.51280000000000003</v>
      </c>
      <c r="G12">
        <v>52</v>
      </c>
      <c r="H12">
        <v>7</v>
      </c>
      <c r="I12">
        <v>1139</v>
      </c>
      <c r="J12" s="27">
        <v>0.93513999999999997</v>
      </c>
      <c r="K12">
        <v>24</v>
      </c>
      <c r="L12">
        <v>29.458333</v>
      </c>
      <c r="M12">
        <v>212</v>
      </c>
      <c r="N12">
        <v>1</v>
      </c>
      <c r="O12">
        <v>707</v>
      </c>
      <c r="P12" s="23">
        <v>0.58045999999999998</v>
      </c>
    </row>
    <row r="13" spans="1:16" x14ac:dyDescent="0.25">
      <c r="A13" t="s">
        <v>24</v>
      </c>
      <c r="B13" s="22">
        <v>2032979761</v>
      </c>
      <c r="C13">
        <v>1243</v>
      </c>
      <c r="D13">
        <v>1257</v>
      </c>
      <c r="E13" s="23">
        <v>0.49719999999999998</v>
      </c>
      <c r="F13" s="23">
        <v>0.50280000000000002</v>
      </c>
      <c r="G13">
        <v>72</v>
      </c>
      <c r="H13">
        <v>10</v>
      </c>
      <c r="I13">
        <v>1210</v>
      </c>
      <c r="J13" s="27">
        <v>0.97345099999999996</v>
      </c>
      <c r="K13">
        <v>18</v>
      </c>
      <c r="L13">
        <v>42.055556000000003</v>
      </c>
      <c r="M13">
        <v>363</v>
      </c>
      <c r="N13">
        <v>1</v>
      </c>
      <c r="O13">
        <v>757</v>
      </c>
      <c r="P13" s="23">
        <v>0.60901000000000005</v>
      </c>
    </row>
    <row r="14" spans="1:16" x14ac:dyDescent="0.25">
      <c r="A14" t="s">
        <v>24</v>
      </c>
      <c r="B14" s="22">
        <v>1631560520</v>
      </c>
      <c r="C14">
        <v>1260</v>
      </c>
      <c r="D14">
        <v>1240</v>
      </c>
      <c r="E14" s="23">
        <v>0.504</v>
      </c>
      <c r="F14" s="23">
        <v>0.496</v>
      </c>
      <c r="G14">
        <v>93</v>
      </c>
      <c r="H14">
        <v>4</v>
      </c>
      <c r="I14">
        <v>1252</v>
      </c>
      <c r="J14" s="27">
        <v>0.99365099999999995</v>
      </c>
      <c r="K14">
        <v>20</v>
      </c>
      <c r="L14">
        <v>36.6</v>
      </c>
      <c r="M14">
        <v>191</v>
      </c>
      <c r="N14">
        <v>1</v>
      </c>
      <c r="O14">
        <v>732</v>
      </c>
      <c r="P14" s="23">
        <v>0.58095200000000002</v>
      </c>
    </row>
    <row r="15" spans="1:16" x14ac:dyDescent="0.25">
      <c r="A15" t="s">
        <v>24</v>
      </c>
      <c r="B15" s="22">
        <v>1668420852</v>
      </c>
      <c r="C15">
        <v>1163</v>
      </c>
      <c r="D15">
        <v>1337</v>
      </c>
      <c r="E15" s="23">
        <v>0.4652</v>
      </c>
      <c r="F15" s="23">
        <v>0.53480000000000005</v>
      </c>
      <c r="G15">
        <v>103</v>
      </c>
      <c r="H15">
        <v>3</v>
      </c>
      <c r="I15">
        <v>1159</v>
      </c>
      <c r="J15" s="27">
        <v>0.99656100000000003</v>
      </c>
      <c r="K15">
        <v>22</v>
      </c>
      <c r="L15">
        <v>26.681818</v>
      </c>
      <c r="M15">
        <v>174</v>
      </c>
      <c r="N15">
        <v>1</v>
      </c>
      <c r="O15">
        <v>587</v>
      </c>
      <c r="P15" s="23">
        <v>0.50472899999999998</v>
      </c>
    </row>
    <row r="16" spans="1:16" x14ac:dyDescent="0.25">
      <c r="A16" t="s">
        <v>24</v>
      </c>
      <c r="B16" s="22">
        <v>1935857297</v>
      </c>
      <c r="C16">
        <v>1215</v>
      </c>
      <c r="D16">
        <v>1285</v>
      </c>
      <c r="E16" s="23">
        <v>0.48599999999999999</v>
      </c>
      <c r="F16" s="23">
        <v>0.51400000000000001</v>
      </c>
      <c r="G16">
        <v>75</v>
      </c>
      <c r="H16">
        <v>4</v>
      </c>
      <c r="I16">
        <v>1203</v>
      </c>
      <c r="J16" s="27">
        <v>0.99012299999999998</v>
      </c>
      <c r="K16">
        <v>22</v>
      </c>
      <c r="L16">
        <v>31.772727</v>
      </c>
      <c r="M16">
        <v>155</v>
      </c>
      <c r="N16">
        <v>1</v>
      </c>
      <c r="O16">
        <v>699</v>
      </c>
      <c r="P16" s="23">
        <v>0.57530899999999996</v>
      </c>
    </row>
    <row r="17" spans="1:16" x14ac:dyDescent="0.25">
      <c r="A17" t="s">
        <v>24</v>
      </c>
      <c r="B17" s="22">
        <v>1541779340</v>
      </c>
      <c r="C17">
        <v>1240</v>
      </c>
      <c r="D17">
        <v>1260</v>
      </c>
      <c r="E17" s="23">
        <v>0.496</v>
      </c>
      <c r="F17" s="23">
        <v>0.504</v>
      </c>
      <c r="G17">
        <v>56</v>
      </c>
      <c r="H17">
        <v>5</v>
      </c>
      <c r="I17">
        <v>1218</v>
      </c>
      <c r="J17" s="27">
        <v>0.98225799999999996</v>
      </c>
      <c r="K17">
        <v>13</v>
      </c>
      <c r="L17">
        <v>57.538462000000003</v>
      </c>
      <c r="M17">
        <v>203</v>
      </c>
      <c r="N17">
        <v>3</v>
      </c>
      <c r="O17">
        <v>748</v>
      </c>
      <c r="P17" s="23">
        <v>0.60322600000000004</v>
      </c>
    </row>
    <row r="18" spans="1:16" x14ac:dyDescent="0.25">
      <c r="A18" t="s">
        <v>24</v>
      </c>
      <c r="B18" s="22">
        <v>1452191509</v>
      </c>
      <c r="C18">
        <v>1114</v>
      </c>
      <c r="D18">
        <v>1386</v>
      </c>
      <c r="E18" s="23">
        <v>0.4456</v>
      </c>
      <c r="F18" s="23">
        <v>0.5544</v>
      </c>
      <c r="G18">
        <v>70</v>
      </c>
      <c r="H18">
        <v>12</v>
      </c>
      <c r="I18">
        <v>966</v>
      </c>
      <c r="J18" s="27">
        <v>0.86714500000000005</v>
      </c>
      <c r="K18">
        <v>26</v>
      </c>
      <c r="L18">
        <v>22</v>
      </c>
      <c r="M18">
        <v>107</v>
      </c>
      <c r="N18">
        <v>1</v>
      </c>
      <c r="O18">
        <v>572</v>
      </c>
      <c r="P18" s="23">
        <v>0.51346499999999995</v>
      </c>
    </row>
    <row r="19" spans="1:16" x14ac:dyDescent="0.25">
      <c r="A19" t="s">
        <v>24</v>
      </c>
      <c r="B19" s="22">
        <v>1035457318</v>
      </c>
      <c r="C19">
        <v>1237</v>
      </c>
      <c r="D19">
        <v>1263</v>
      </c>
      <c r="E19" s="23">
        <v>0.49480000000000002</v>
      </c>
      <c r="F19" s="23">
        <v>0.50519999999999998</v>
      </c>
      <c r="G19">
        <v>69</v>
      </c>
      <c r="H19">
        <v>3</v>
      </c>
      <c r="I19">
        <v>1233</v>
      </c>
      <c r="J19" s="27">
        <v>0.99676600000000004</v>
      </c>
      <c r="K19">
        <v>22</v>
      </c>
      <c r="L19">
        <v>31.954545</v>
      </c>
      <c r="M19">
        <v>161</v>
      </c>
      <c r="N19">
        <v>1</v>
      </c>
      <c r="O19">
        <v>703</v>
      </c>
      <c r="P19" s="23">
        <v>0.56830999999999998</v>
      </c>
    </row>
    <row r="20" spans="1:16" x14ac:dyDescent="0.25">
      <c r="A20" t="s">
        <v>24</v>
      </c>
      <c r="B20" s="22">
        <v>1240761226</v>
      </c>
      <c r="C20">
        <v>1198</v>
      </c>
      <c r="D20">
        <v>1302</v>
      </c>
      <c r="E20" s="23">
        <v>0.47920000000000001</v>
      </c>
      <c r="F20" s="23">
        <v>0.52080000000000004</v>
      </c>
      <c r="G20">
        <v>81</v>
      </c>
      <c r="H20">
        <v>6</v>
      </c>
      <c r="I20">
        <v>1176</v>
      </c>
      <c r="J20" s="27">
        <v>0.98163599999999995</v>
      </c>
      <c r="K20">
        <v>23</v>
      </c>
      <c r="L20">
        <v>28.565217000000001</v>
      </c>
      <c r="M20">
        <v>158</v>
      </c>
      <c r="N20">
        <v>1</v>
      </c>
      <c r="O20">
        <v>657</v>
      </c>
      <c r="P20" s="23">
        <v>0.54841399999999996</v>
      </c>
    </row>
    <row r="21" spans="1:16" x14ac:dyDescent="0.25">
      <c r="A21" t="s">
        <v>24</v>
      </c>
      <c r="B21" s="22">
        <v>1947471109</v>
      </c>
      <c r="C21">
        <v>1173</v>
      </c>
      <c r="D21">
        <v>1327</v>
      </c>
      <c r="E21" s="23">
        <v>0.46920000000000001</v>
      </c>
      <c r="F21" s="23">
        <v>0.53080000000000005</v>
      </c>
      <c r="G21">
        <v>68</v>
      </c>
      <c r="H21">
        <v>8</v>
      </c>
      <c r="I21">
        <v>1023</v>
      </c>
      <c r="J21" s="27">
        <v>0.87212299999999998</v>
      </c>
      <c r="K21">
        <v>15</v>
      </c>
      <c r="L21">
        <v>41.2</v>
      </c>
      <c r="M21">
        <v>314</v>
      </c>
      <c r="N21">
        <v>1</v>
      </c>
      <c r="O21">
        <v>618</v>
      </c>
      <c r="P21" s="23">
        <v>0.52685400000000004</v>
      </c>
    </row>
    <row r="22" spans="1:16" x14ac:dyDescent="0.25">
      <c r="A22" t="s">
        <v>24</v>
      </c>
      <c r="B22" s="22">
        <v>1575460109</v>
      </c>
      <c r="C22">
        <v>1183</v>
      </c>
      <c r="D22">
        <v>1317</v>
      </c>
      <c r="E22" s="23">
        <v>0.47320000000000001</v>
      </c>
      <c r="F22" s="23">
        <v>0.52680000000000005</v>
      </c>
      <c r="G22">
        <v>76</v>
      </c>
      <c r="H22">
        <v>7</v>
      </c>
      <c r="I22">
        <v>1162</v>
      </c>
      <c r="J22" s="27">
        <v>0.98224900000000004</v>
      </c>
      <c r="K22">
        <v>27</v>
      </c>
      <c r="L22">
        <v>23.592593000000001</v>
      </c>
      <c r="M22">
        <v>104</v>
      </c>
      <c r="N22">
        <v>1</v>
      </c>
      <c r="O22">
        <v>637</v>
      </c>
      <c r="P22" s="23">
        <v>0.538462</v>
      </c>
    </row>
    <row r="23" spans="1:16" x14ac:dyDescent="0.25">
      <c r="A23" t="s">
        <v>24</v>
      </c>
      <c r="B23" s="22">
        <v>1187235527</v>
      </c>
      <c r="C23">
        <v>1279</v>
      </c>
      <c r="D23">
        <v>1221</v>
      </c>
      <c r="E23" s="23">
        <v>0.51160000000000005</v>
      </c>
      <c r="F23" s="23">
        <v>0.4884</v>
      </c>
      <c r="G23">
        <v>56</v>
      </c>
      <c r="H23">
        <v>4</v>
      </c>
      <c r="I23">
        <v>1266</v>
      </c>
      <c r="J23" s="27">
        <v>0.98983600000000005</v>
      </c>
      <c r="K23">
        <v>17</v>
      </c>
      <c r="L23">
        <v>45.176470999999999</v>
      </c>
      <c r="M23">
        <v>474</v>
      </c>
      <c r="N23">
        <v>1</v>
      </c>
      <c r="O23">
        <v>768</v>
      </c>
      <c r="P23" s="23">
        <v>0.60046900000000003</v>
      </c>
    </row>
    <row r="24" spans="1:16" x14ac:dyDescent="0.25">
      <c r="A24" t="s">
        <v>24</v>
      </c>
      <c r="B24" s="22">
        <v>1893230656</v>
      </c>
      <c r="C24">
        <v>1291</v>
      </c>
      <c r="D24">
        <v>1209</v>
      </c>
      <c r="E24" s="23">
        <v>0.51639999999999997</v>
      </c>
      <c r="F24" s="23">
        <v>0.48359999999999997</v>
      </c>
      <c r="G24">
        <v>63</v>
      </c>
      <c r="H24">
        <v>7</v>
      </c>
      <c r="I24">
        <v>1255</v>
      </c>
      <c r="J24" s="27">
        <v>0.97211499999999995</v>
      </c>
      <c r="K24">
        <v>16</v>
      </c>
      <c r="L24">
        <v>49.875</v>
      </c>
      <c r="M24">
        <v>174</v>
      </c>
      <c r="N24">
        <v>1</v>
      </c>
      <c r="O24">
        <v>798</v>
      </c>
      <c r="P24" s="23">
        <v>0.61812500000000004</v>
      </c>
    </row>
    <row r="25" spans="1:16" x14ac:dyDescent="0.25">
      <c r="A25" t="s">
        <v>24</v>
      </c>
      <c r="B25" s="22">
        <v>875617185</v>
      </c>
      <c r="C25">
        <v>1079</v>
      </c>
      <c r="D25">
        <v>1421</v>
      </c>
      <c r="E25" s="23">
        <v>0.43159999999999998</v>
      </c>
      <c r="F25" s="23">
        <v>0.56840000000000002</v>
      </c>
      <c r="G25">
        <v>76</v>
      </c>
      <c r="H25">
        <v>9</v>
      </c>
      <c r="I25">
        <v>948</v>
      </c>
      <c r="J25" s="27">
        <v>0.87859100000000001</v>
      </c>
      <c r="K25">
        <v>27</v>
      </c>
      <c r="L25">
        <v>19.185185000000001</v>
      </c>
      <c r="M25">
        <v>83</v>
      </c>
      <c r="N25">
        <v>1</v>
      </c>
      <c r="O25">
        <v>518</v>
      </c>
      <c r="P25" s="23">
        <v>0.480074</v>
      </c>
    </row>
    <row r="26" spans="1:16" x14ac:dyDescent="0.25">
      <c r="A26" t="s">
        <v>24</v>
      </c>
      <c r="B26" s="22">
        <v>1801920795</v>
      </c>
      <c r="C26">
        <v>1275</v>
      </c>
      <c r="D26">
        <v>1225</v>
      </c>
      <c r="E26" s="23">
        <v>0.51</v>
      </c>
      <c r="F26" s="23">
        <v>0.49</v>
      </c>
      <c r="G26">
        <v>54</v>
      </c>
      <c r="H26">
        <v>7</v>
      </c>
      <c r="I26">
        <v>1260</v>
      </c>
      <c r="J26" s="27">
        <v>0.98823499999999997</v>
      </c>
      <c r="K26">
        <v>20</v>
      </c>
      <c r="L26">
        <v>36.65</v>
      </c>
      <c r="M26">
        <v>266</v>
      </c>
      <c r="N26">
        <v>1</v>
      </c>
      <c r="O26">
        <v>733</v>
      </c>
      <c r="P26" s="23">
        <v>0.57490200000000002</v>
      </c>
    </row>
    <row r="27" spans="1:16" x14ac:dyDescent="0.25">
      <c r="A27" t="s">
        <v>24</v>
      </c>
      <c r="B27" s="22">
        <v>601496617</v>
      </c>
      <c r="C27">
        <v>1357</v>
      </c>
      <c r="D27">
        <v>1143</v>
      </c>
      <c r="E27" s="23">
        <v>0.54279999999999995</v>
      </c>
      <c r="F27" s="23">
        <v>0.4572</v>
      </c>
      <c r="G27">
        <v>71</v>
      </c>
      <c r="H27">
        <v>7</v>
      </c>
      <c r="I27">
        <v>1334</v>
      </c>
      <c r="J27" s="27">
        <v>0.98305100000000001</v>
      </c>
      <c r="K27">
        <v>19</v>
      </c>
      <c r="L27">
        <v>46.473683999999999</v>
      </c>
      <c r="M27">
        <v>391</v>
      </c>
      <c r="N27">
        <v>1</v>
      </c>
      <c r="O27">
        <v>883</v>
      </c>
      <c r="P27" s="23">
        <v>0.65069999999999995</v>
      </c>
    </row>
    <row r="28" spans="1:16" x14ac:dyDescent="0.25">
      <c r="A28" t="s">
        <v>24</v>
      </c>
      <c r="B28" s="22">
        <v>445257519</v>
      </c>
      <c r="C28">
        <v>1127</v>
      </c>
      <c r="D28">
        <v>1373</v>
      </c>
      <c r="E28" s="23">
        <v>0.45079999999999998</v>
      </c>
      <c r="F28" s="23">
        <v>0.54920000000000002</v>
      </c>
      <c r="G28">
        <v>106</v>
      </c>
      <c r="H28">
        <v>11</v>
      </c>
      <c r="I28">
        <v>1088</v>
      </c>
      <c r="J28" s="27">
        <v>0.965395</v>
      </c>
      <c r="K28">
        <v>21</v>
      </c>
      <c r="L28">
        <v>26.666667</v>
      </c>
      <c r="M28">
        <v>120</v>
      </c>
      <c r="N28">
        <v>1</v>
      </c>
      <c r="O28">
        <v>560</v>
      </c>
      <c r="P28" s="23">
        <v>0.496894</v>
      </c>
    </row>
    <row r="29" spans="1:16" x14ac:dyDescent="0.25">
      <c r="A29" t="s">
        <v>24</v>
      </c>
      <c r="B29" s="22">
        <v>218396117</v>
      </c>
      <c r="C29">
        <v>1192</v>
      </c>
      <c r="D29">
        <v>1308</v>
      </c>
      <c r="E29" s="23">
        <v>0.4768</v>
      </c>
      <c r="F29" s="23">
        <v>0.5232</v>
      </c>
      <c r="G29">
        <v>61</v>
      </c>
      <c r="H29">
        <v>7</v>
      </c>
      <c r="I29">
        <v>1131</v>
      </c>
      <c r="J29" s="27">
        <v>0.94882599999999995</v>
      </c>
      <c r="K29">
        <v>29</v>
      </c>
      <c r="L29">
        <v>22.586207000000002</v>
      </c>
      <c r="M29">
        <v>94</v>
      </c>
      <c r="N29">
        <v>1</v>
      </c>
      <c r="O29">
        <v>655</v>
      </c>
      <c r="P29" s="23">
        <v>0.54949700000000001</v>
      </c>
    </row>
    <row r="30" spans="1:16" x14ac:dyDescent="0.25">
      <c r="A30" t="s">
        <v>24</v>
      </c>
      <c r="B30" s="22">
        <v>1379662010</v>
      </c>
      <c r="C30">
        <v>1168</v>
      </c>
      <c r="D30">
        <v>1332</v>
      </c>
      <c r="E30" s="23">
        <v>0.4672</v>
      </c>
      <c r="F30" s="23">
        <v>0.53280000000000005</v>
      </c>
      <c r="G30">
        <v>99</v>
      </c>
      <c r="H30">
        <v>6</v>
      </c>
      <c r="I30">
        <v>1152</v>
      </c>
      <c r="J30" s="27">
        <v>0.98630099999999998</v>
      </c>
      <c r="K30">
        <v>25</v>
      </c>
      <c r="L30">
        <v>25.6</v>
      </c>
      <c r="M30">
        <v>137</v>
      </c>
      <c r="N30">
        <v>1</v>
      </c>
      <c r="O30">
        <v>640</v>
      </c>
      <c r="P30" s="23">
        <v>0.54794500000000002</v>
      </c>
    </row>
    <row r="31" spans="1:16" x14ac:dyDescent="0.25">
      <c r="A31" t="s">
        <v>24</v>
      </c>
      <c r="B31" s="22">
        <v>2036065784</v>
      </c>
      <c r="C31">
        <v>1111</v>
      </c>
      <c r="D31">
        <v>1389</v>
      </c>
      <c r="E31" s="23">
        <v>0.44440000000000002</v>
      </c>
      <c r="F31" s="23">
        <v>0.55559999999999998</v>
      </c>
      <c r="G31">
        <v>49</v>
      </c>
      <c r="H31">
        <v>10</v>
      </c>
      <c r="I31">
        <v>600</v>
      </c>
      <c r="J31" s="27">
        <v>0.54005400000000003</v>
      </c>
      <c r="K31">
        <v>29</v>
      </c>
      <c r="L31">
        <v>18.758621000000002</v>
      </c>
      <c r="M31">
        <v>55</v>
      </c>
      <c r="N31">
        <v>1</v>
      </c>
      <c r="O31">
        <v>544</v>
      </c>
      <c r="P31" s="23">
        <v>0.489649</v>
      </c>
    </row>
    <row r="32" spans="1:16" x14ac:dyDescent="0.25">
      <c r="A32" t="s">
        <v>24</v>
      </c>
      <c r="B32" s="22">
        <v>1603851046</v>
      </c>
      <c r="C32">
        <v>1237</v>
      </c>
      <c r="D32">
        <v>1263</v>
      </c>
      <c r="E32" s="23">
        <v>0.49480000000000002</v>
      </c>
      <c r="F32" s="23">
        <v>0.50519999999999998</v>
      </c>
      <c r="G32">
        <v>69</v>
      </c>
      <c r="H32">
        <v>4</v>
      </c>
      <c r="I32">
        <v>1221</v>
      </c>
      <c r="J32" s="27">
        <v>0.98706499999999997</v>
      </c>
      <c r="K32">
        <v>18</v>
      </c>
      <c r="L32">
        <v>39.444443999999997</v>
      </c>
      <c r="M32">
        <v>219</v>
      </c>
      <c r="N32">
        <v>1</v>
      </c>
      <c r="O32">
        <v>710</v>
      </c>
      <c r="P32" s="23">
        <v>0.57396899999999995</v>
      </c>
    </row>
    <row r="33" spans="1:16" x14ac:dyDescent="0.25">
      <c r="A33" t="s">
        <v>24</v>
      </c>
      <c r="B33" s="22">
        <v>238844552</v>
      </c>
      <c r="C33">
        <v>1135</v>
      </c>
      <c r="D33">
        <v>1365</v>
      </c>
      <c r="E33" s="23">
        <v>0.45400000000000001</v>
      </c>
      <c r="F33" s="23">
        <v>0.54600000000000004</v>
      </c>
      <c r="G33">
        <v>97</v>
      </c>
      <c r="H33">
        <v>6</v>
      </c>
      <c r="I33">
        <v>1122</v>
      </c>
      <c r="J33" s="27">
        <v>0.98854600000000004</v>
      </c>
      <c r="K33">
        <v>27</v>
      </c>
      <c r="L33">
        <v>21.481480999999999</v>
      </c>
      <c r="M33">
        <v>112</v>
      </c>
      <c r="N33">
        <v>1</v>
      </c>
      <c r="O33">
        <v>580</v>
      </c>
      <c r="P33" s="23">
        <v>0.51101300000000005</v>
      </c>
    </row>
    <row r="34" spans="1:16" x14ac:dyDescent="0.25">
      <c r="A34" t="s">
        <v>24</v>
      </c>
      <c r="B34" s="22">
        <v>940901882</v>
      </c>
      <c r="C34">
        <v>1138</v>
      </c>
      <c r="D34">
        <v>1362</v>
      </c>
      <c r="E34" s="23">
        <v>0.45519999999999999</v>
      </c>
      <c r="F34" s="23">
        <v>0.54479999999999995</v>
      </c>
      <c r="G34">
        <v>103</v>
      </c>
      <c r="H34">
        <v>9</v>
      </c>
      <c r="I34">
        <v>1050</v>
      </c>
      <c r="J34" s="27">
        <v>0.92267100000000002</v>
      </c>
      <c r="K34">
        <v>24</v>
      </c>
      <c r="L34">
        <v>23.208333</v>
      </c>
      <c r="M34">
        <v>156</v>
      </c>
      <c r="N34">
        <v>1</v>
      </c>
      <c r="O34">
        <v>557</v>
      </c>
      <c r="P34" s="23">
        <v>0.48945499999999997</v>
      </c>
    </row>
    <row r="35" spans="1:16" x14ac:dyDescent="0.25">
      <c r="A35" t="s">
        <v>24</v>
      </c>
      <c r="B35" s="22">
        <v>1669454859</v>
      </c>
      <c r="C35">
        <v>1176</v>
      </c>
      <c r="D35">
        <v>1324</v>
      </c>
      <c r="E35" s="23">
        <v>0.47039999999999998</v>
      </c>
      <c r="F35" s="23">
        <v>0.52959999999999996</v>
      </c>
      <c r="G35">
        <v>71</v>
      </c>
      <c r="H35">
        <v>9</v>
      </c>
      <c r="I35">
        <v>1092</v>
      </c>
      <c r="J35" s="27">
        <v>0.92857100000000004</v>
      </c>
      <c r="K35">
        <v>22</v>
      </c>
      <c r="L35">
        <v>29.818182</v>
      </c>
      <c r="M35">
        <v>156</v>
      </c>
      <c r="N35">
        <v>1</v>
      </c>
      <c r="O35">
        <v>656</v>
      </c>
      <c r="P35" s="23">
        <v>0.55782299999999996</v>
      </c>
    </row>
    <row r="36" spans="1:16" x14ac:dyDescent="0.25">
      <c r="A36" t="s">
        <v>24</v>
      </c>
      <c r="B36" s="22">
        <v>92797574</v>
      </c>
      <c r="C36">
        <v>1198</v>
      </c>
      <c r="D36">
        <v>1302</v>
      </c>
      <c r="E36" s="23">
        <v>0.47920000000000001</v>
      </c>
      <c r="F36" s="23">
        <v>0.52080000000000004</v>
      </c>
      <c r="G36">
        <v>84</v>
      </c>
      <c r="H36">
        <v>9</v>
      </c>
      <c r="I36">
        <v>1102</v>
      </c>
      <c r="J36" s="27">
        <v>0.91986599999999996</v>
      </c>
      <c r="K36">
        <v>26</v>
      </c>
      <c r="L36">
        <v>25.807691999999999</v>
      </c>
      <c r="M36">
        <v>197</v>
      </c>
      <c r="N36">
        <v>1</v>
      </c>
      <c r="O36">
        <v>671</v>
      </c>
      <c r="P36" s="23">
        <v>0.56010000000000004</v>
      </c>
    </row>
    <row r="37" spans="1:16" x14ac:dyDescent="0.25">
      <c r="A37" t="s">
        <v>24</v>
      </c>
      <c r="B37" s="22">
        <v>1988728846</v>
      </c>
      <c r="C37">
        <v>1081</v>
      </c>
      <c r="D37">
        <v>1419</v>
      </c>
      <c r="E37" s="23">
        <v>0.43240000000000001</v>
      </c>
      <c r="F37" s="23">
        <v>0.56759999999999999</v>
      </c>
      <c r="G37">
        <v>84</v>
      </c>
      <c r="H37">
        <v>7</v>
      </c>
      <c r="I37">
        <v>1050</v>
      </c>
      <c r="J37" s="27">
        <v>0.97132300000000005</v>
      </c>
      <c r="K37">
        <v>24</v>
      </c>
      <c r="L37">
        <v>22.791667</v>
      </c>
      <c r="M37">
        <v>176</v>
      </c>
      <c r="N37">
        <v>1</v>
      </c>
      <c r="O37">
        <v>547</v>
      </c>
      <c r="P37" s="23">
        <v>0.50601300000000005</v>
      </c>
    </row>
    <row r="38" spans="1:16" x14ac:dyDescent="0.25">
      <c r="A38" t="s">
        <v>24</v>
      </c>
      <c r="B38" s="22">
        <v>1078268829</v>
      </c>
      <c r="C38">
        <v>1163</v>
      </c>
      <c r="D38">
        <v>1337</v>
      </c>
      <c r="E38" s="23">
        <v>0.4652</v>
      </c>
      <c r="F38" s="23">
        <v>0.53480000000000005</v>
      </c>
      <c r="G38">
        <v>85</v>
      </c>
      <c r="H38">
        <v>5</v>
      </c>
      <c r="I38">
        <v>1133</v>
      </c>
      <c r="J38" s="27">
        <v>0.97420499999999999</v>
      </c>
      <c r="K38">
        <v>20</v>
      </c>
      <c r="L38">
        <v>29.25</v>
      </c>
      <c r="M38">
        <v>143</v>
      </c>
      <c r="N38">
        <v>1</v>
      </c>
      <c r="O38">
        <v>585</v>
      </c>
      <c r="P38" s="23">
        <v>0.50300900000000004</v>
      </c>
    </row>
    <row r="39" spans="1:16" x14ac:dyDescent="0.25">
      <c r="A39" t="s">
        <v>24</v>
      </c>
      <c r="B39" s="22">
        <v>897546250</v>
      </c>
      <c r="C39">
        <v>1028</v>
      </c>
      <c r="D39">
        <v>1472</v>
      </c>
      <c r="E39" s="23">
        <v>0.41120000000000001</v>
      </c>
      <c r="F39" s="23">
        <v>0.58879999999999999</v>
      </c>
      <c r="G39">
        <v>67</v>
      </c>
      <c r="H39">
        <v>12</v>
      </c>
      <c r="I39">
        <v>746</v>
      </c>
      <c r="J39" s="27">
        <v>0.72568100000000002</v>
      </c>
      <c r="K39">
        <v>21</v>
      </c>
      <c r="L39">
        <v>24.904762000000002</v>
      </c>
      <c r="M39">
        <v>149</v>
      </c>
      <c r="N39">
        <v>1</v>
      </c>
      <c r="O39">
        <v>523</v>
      </c>
      <c r="P39" s="23">
        <v>0.50875499999999996</v>
      </c>
    </row>
    <row r="40" spans="1:16" x14ac:dyDescent="0.25">
      <c r="A40" t="s">
        <v>24</v>
      </c>
      <c r="B40" s="22">
        <v>1686194014</v>
      </c>
      <c r="C40">
        <v>1323</v>
      </c>
      <c r="D40">
        <v>1177</v>
      </c>
      <c r="E40" s="23">
        <v>0.5292</v>
      </c>
      <c r="F40" s="23">
        <v>0.4708</v>
      </c>
      <c r="G40">
        <v>68</v>
      </c>
      <c r="H40">
        <v>5</v>
      </c>
      <c r="I40">
        <v>1282</v>
      </c>
      <c r="J40" s="27">
        <v>0.96901000000000004</v>
      </c>
      <c r="K40">
        <v>14</v>
      </c>
      <c r="L40">
        <v>59.5</v>
      </c>
      <c r="M40">
        <v>380</v>
      </c>
      <c r="N40">
        <v>1</v>
      </c>
      <c r="O40">
        <v>833</v>
      </c>
      <c r="P40" s="23">
        <v>0.62963000000000002</v>
      </c>
    </row>
    <row r="41" spans="1:16" x14ac:dyDescent="0.25">
      <c r="A41" t="s">
        <v>24</v>
      </c>
      <c r="B41" s="22">
        <v>832071889</v>
      </c>
      <c r="C41">
        <v>1071</v>
      </c>
      <c r="D41">
        <v>1429</v>
      </c>
      <c r="E41" s="23">
        <v>0.4284</v>
      </c>
      <c r="F41" s="23">
        <v>0.5716</v>
      </c>
      <c r="G41">
        <v>58</v>
      </c>
      <c r="H41">
        <v>14</v>
      </c>
      <c r="I41">
        <v>684</v>
      </c>
      <c r="J41" s="27">
        <v>0.63865499999999997</v>
      </c>
      <c r="K41">
        <v>17</v>
      </c>
      <c r="L41">
        <v>32.882353000000002</v>
      </c>
      <c r="M41">
        <v>165</v>
      </c>
      <c r="N41">
        <v>1</v>
      </c>
      <c r="O41">
        <v>559</v>
      </c>
      <c r="P41" s="23">
        <v>0.52194200000000002</v>
      </c>
    </row>
    <row r="42" spans="1:16" x14ac:dyDescent="0.25">
      <c r="A42" t="s">
        <v>24</v>
      </c>
      <c r="B42" s="22">
        <v>4115287</v>
      </c>
      <c r="C42">
        <v>1193</v>
      </c>
      <c r="D42">
        <v>1307</v>
      </c>
      <c r="E42" s="23">
        <v>0.47720000000000001</v>
      </c>
      <c r="F42" s="23">
        <v>0.52280000000000004</v>
      </c>
      <c r="G42">
        <v>65</v>
      </c>
      <c r="H42">
        <v>8</v>
      </c>
      <c r="I42">
        <v>1168</v>
      </c>
      <c r="J42" s="27">
        <v>0.97904400000000003</v>
      </c>
      <c r="K42">
        <v>23</v>
      </c>
      <c r="L42">
        <v>29.304348000000001</v>
      </c>
      <c r="M42">
        <v>153</v>
      </c>
      <c r="N42">
        <v>1</v>
      </c>
      <c r="O42">
        <v>674</v>
      </c>
      <c r="P42" s="23">
        <v>0.56496199999999996</v>
      </c>
    </row>
    <row r="43" spans="1:16" x14ac:dyDescent="0.25">
      <c r="A43" t="s">
        <v>24</v>
      </c>
      <c r="B43" s="22">
        <v>2059491467</v>
      </c>
      <c r="C43">
        <v>1129</v>
      </c>
      <c r="D43">
        <v>1371</v>
      </c>
      <c r="E43" s="23">
        <v>0.4516</v>
      </c>
      <c r="F43" s="23">
        <v>0.5484</v>
      </c>
      <c r="G43">
        <v>79</v>
      </c>
      <c r="H43">
        <v>10</v>
      </c>
      <c r="I43">
        <v>1051</v>
      </c>
      <c r="J43" s="27">
        <v>0.93091199999999996</v>
      </c>
      <c r="K43">
        <v>24</v>
      </c>
      <c r="L43">
        <v>26.291667</v>
      </c>
      <c r="M43">
        <v>261</v>
      </c>
      <c r="N43">
        <v>1</v>
      </c>
      <c r="O43">
        <v>631</v>
      </c>
      <c r="P43" s="23">
        <v>0.55890200000000001</v>
      </c>
    </row>
    <row r="44" spans="1:16" x14ac:dyDescent="0.25">
      <c r="A44" t="s">
        <v>24</v>
      </c>
      <c r="B44" s="22">
        <v>987146692</v>
      </c>
      <c r="C44">
        <v>1177</v>
      </c>
      <c r="D44">
        <v>1323</v>
      </c>
      <c r="E44" s="23">
        <v>0.4708</v>
      </c>
      <c r="F44" s="23">
        <v>0.5292</v>
      </c>
      <c r="G44">
        <v>66</v>
      </c>
      <c r="H44">
        <v>2</v>
      </c>
      <c r="I44">
        <v>1144</v>
      </c>
      <c r="J44" s="27">
        <v>0.97196300000000002</v>
      </c>
      <c r="K44">
        <v>26</v>
      </c>
      <c r="L44">
        <v>22.846153999999999</v>
      </c>
      <c r="M44">
        <v>89</v>
      </c>
      <c r="N44">
        <v>1</v>
      </c>
      <c r="O44">
        <v>594</v>
      </c>
      <c r="P44" s="23">
        <v>0.50467300000000004</v>
      </c>
    </row>
    <row r="45" spans="1:16" x14ac:dyDescent="0.25">
      <c r="A45" t="s">
        <v>24</v>
      </c>
      <c r="B45" s="22">
        <v>758092190</v>
      </c>
      <c r="C45">
        <v>1249</v>
      </c>
      <c r="D45">
        <v>1251</v>
      </c>
      <c r="E45" s="23">
        <v>0.49959999999999999</v>
      </c>
      <c r="F45" s="23">
        <v>0.50039999999999996</v>
      </c>
      <c r="G45">
        <v>57</v>
      </c>
      <c r="H45">
        <v>7</v>
      </c>
      <c r="I45">
        <v>1058</v>
      </c>
      <c r="J45" s="27">
        <v>0.847078</v>
      </c>
      <c r="K45">
        <v>22</v>
      </c>
      <c r="L45">
        <v>34.5</v>
      </c>
      <c r="M45">
        <v>264</v>
      </c>
      <c r="N45">
        <v>1</v>
      </c>
      <c r="O45">
        <v>759</v>
      </c>
      <c r="P45" s="23">
        <v>0.60768599999999995</v>
      </c>
    </row>
    <row r="46" spans="1:16" x14ac:dyDescent="0.25">
      <c r="A46" t="s">
        <v>24</v>
      </c>
      <c r="B46" s="22">
        <v>1157431649</v>
      </c>
      <c r="C46">
        <v>1202</v>
      </c>
      <c r="D46">
        <v>1298</v>
      </c>
      <c r="E46" s="23">
        <v>0.48080000000000001</v>
      </c>
      <c r="F46" s="23">
        <v>0.51919999999999999</v>
      </c>
      <c r="G46">
        <v>67</v>
      </c>
      <c r="H46">
        <v>6</v>
      </c>
      <c r="I46">
        <v>1188</v>
      </c>
      <c r="J46" s="27">
        <v>0.98835300000000004</v>
      </c>
      <c r="K46">
        <v>29</v>
      </c>
      <c r="L46">
        <v>21.37931</v>
      </c>
      <c r="M46">
        <v>81</v>
      </c>
      <c r="N46">
        <v>1</v>
      </c>
      <c r="O46">
        <v>620</v>
      </c>
      <c r="P46" s="23">
        <v>0.51580700000000002</v>
      </c>
    </row>
    <row r="47" spans="1:16" x14ac:dyDescent="0.25">
      <c r="A47" t="s">
        <v>24</v>
      </c>
      <c r="B47" s="22">
        <v>196667495</v>
      </c>
      <c r="C47">
        <v>1143</v>
      </c>
      <c r="D47">
        <v>1357</v>
      </c>
      <c r="E47" s="23">
        <v>0.4572</v>
      </c>
      <c r="F47" s="23">
        <v>0.54279999999999995</v>
      </c>
      <c r="G47">
        <v>92</v>
      </c>
      <c r="H47">
        <v>8</v>
      </c>
      <c r="I47">
        <v>1097</v>
      </c>
      <c r="J47" s="27">
        <v>0.95975500000000002</v>
      </c>
      <c r="K47">
        <v>31</v>
      </c>
      <c r="L47">
        <v>17.903226</v>
      </c>
      <c r="M47">
        <v>70</v>
      </c>
      <c r="N47">
        <v>1</v>
      </c>
      <c r="O47">
        <v>555</v>
      </c>
      <c r="P47" s="23">
        <v>0.485564</v>
      </c>
    </row>
    <row r="48" spans="1:16" x14ac:dyDescent="0.25">
      <c r="A48" t="s">
        <v>24</v>
      </c>
      <c r="B48" s="22">
        <v>1842894457</v>
      </c>
      <c r="C48">
        <v>1175</v>
      </c>
      <c r="D48">
        <v>1325</v>
      </c>
      <c r="E48" s="23">
        <v>0.47</v>
      </c>
      <c r="F48" s="23">
        <v>0.53</v>
      </c>
      <c r="G48">
        <v>68</v>
      </c>
      <c r="H48">
        <v>9</v>
      </c>
      <c r="I48">
        <v>1076</v>
      </c>
      <c r="J48" s="27">
        <v>0.91574500000000003</v>
      </c>
      <c r="K48">
        <v>26</v>
      </c>
      <c r="L48">
        <v>23.846153999999999</v>
      </c>
      <c r="M48">
        <v>196</v>
      </c>
      <c r="N48">
        <v>1</v>
      </c>
      <c r="O48">
        <v>620</v>
      </c>
      <c r="P48" s="23">
        <v>0.52766000000000002</v>
      </c>
    </row>
    <row r="49" spans="1:16" x14ac:dyDescent="0.25">
      <c r="A49" t="s">
        <v>24</v>
      </c>
      <c r="B49" s="22">
        <v>1211425811</v>
      </c>
      <c r="C49">
        <v>1225</v>
      </c>
      <c r="D49">
        <v>1275</v>
      </c>
      <c r="E49" s="23">
        <v>0.49</v>
      </c>
      <c r="F49" s="23">
        <v>0.51</v>
      </c>
      <c r="G49">
        <v>74</v>
      </c>
      <c r="H49">
        <v>7</v>
      </c>
      <c r="I49">
        <v>1144</v>
      </c>
      <c r="J49" s="27">
        <v>0.93387799999999999</v>
      </c>
      <c r="K49">
        <v>24</v>
      </c>
      <c r="L49">
        <v>26.958333</v>
      </c>
      <c r="M49">
        <v>124</v>
      </c>
      <c r="N49">
        <v>1</v>
      </c>
      <c r="O49">
        <v>647</v>
      </c>
      <c r="P49" s="23">
        <v>0.52816300000000005</v>
      </c>
    </row>
    <row r="50" spans="1:16" x14ac:dyDescent="0.25">
      <c r="A50" t="s">
        <v>24</v>
      </c>
      <c r="B50" s="22">
        <v>983926424</v>
      </c>
      <c r="C50">
        <v>1266</v>
      </c>
      <c r="D50">
        <v>1234</v>
      </c>
      <c r="E50" s="23">
        <v>0.50639999999999996</v>
      </c>
      <c r="F50" s="23">
        <v>0.49359999999999998</v>
      </c>
      <c r="G50">
        <v>85</v>
      </c>
      <c r="H50">
        <v>2</v>
      </c>
      <c r="I50">
        <v>1264</v>
      </c>
      <c r="J50" s="27">
        <v>0.99841999999999997</v>
      </c>
      <c r="K50">
        <v>25</v>
      </c>
      <c r="L50">
        <v>28.48</v>
      </c>
      <c r="M50">
        <v>164</v>
      </c>
      <c r="N50">
        <v>1</v>
      </c>
      <c r="O50">
        <v>712</v>
      </c>
      <c r="P50" s="23">
        <v>0.56240100000000004</v>
      </c>
    </row>
    <row r="51" spans="1:16" x14ac:dyDescent="0.25">
      <c r="A51" t="s">
        <v>24</v>
      </c>
      <c r="B51" s="22">
        <v>75588038</v>
      </c>
      <c r="C51">
        <v>1128</v>
      </c>
      <c r="D51">
        <v>1372</v>
      </c>
      <c r="E51" s="23">
        <v>0.45119999999999999</v>
      </c>
      <c r="F51" s="23">
        <v>0.54879999999999995</v>
      </c>
      <c r="G51">
        <v>111</v>
      </c>
      <c r="H51">
        <v>7</v>
      </c>
      <c r="I51">
        <v>1100</v>
      </c>
      <c r="J51" s="27">
        <v>0.97517699999999996</v>
      </c>
      <c r="K51">
        <v>24</v>
      </c>
      <c r="L51">
        <v>24.25</v>
      </c>
      <c r="M51">
        <v>78</v>
      </c>
      <c r="N51">
        <v>1</v>
      </c>
      <c r="O51">
        <v>582</v>
      </c>
      <c r="P51" s="23">
        <v>0.515957</v>
      </c>
    </row>
    <row r="52" spans="1:16" x14ac:dyDescent="0.25">
      <c r="A52" t="s">
        <v>26</v>
      </c>
      <c r="B52"/>
      <c r="C52">
        <f>SUBTOTAL(101,CA4_wall70_it3_neigh3[floors])</f>
        <v>1194.3399999999999</v>
      </c>
      <c r="D52">
        <f>SUBTOTAL(101,CA4_wall70_it3_neigh3[walls])</f>
        <v>1305.6600000000001</v>
      </c>
      <c r="E52" s="24">
        <f>SUBTOTAL(101,CA4_wall70_it3_neigh3[floor_percent])</f>
        <v>0.47773599999999994</v>
      </c>
      <c r="F52" s="24">
        <f>SUBTOTAL(101,CA4_wall70_it3_neigh3[wall_percent])</f>
        <v>0.52226400000000006</v>
      </c>
      <c r="G52">
        <f>SUBTOTAL(101,CA4_wall70_it3_neigh3[longest_shortest_path])</f>
        <v>75.14</v>
      </c>
      <c r="H52">
        <f>SUBTOTAL(101,CA4_wall70_it3_neigh3[component_count])</f>
        <v>6.88</v>
      </c>
      <c r="I52">
        <f>SUBTOTAL(101,CA4_wall70_it3_neigh3[max_component_size])</f>
        <v>1123.82</v>
      </c>
      <c r="J52" s="25">
        <f>SUBTOTAL(101,CA4_wall70_it3_neigh3[connectivity_ratio])</f>
        <v>0.93839794000000043</v>
      </c>
      <c r="K52">
        <f>SUBTOTAL(101,CA4_wall70_it3_neigh3[room_count])</f>
        <v>22.66</v>
      </c>
      <c r="L52">
        <f>SUBTOTAL(101,CA4_wall70_it3_neigh3[avg_room_size])</f>
        <v>30.731961079999998</v>
      </c>
      <c r="M52">
        <f>SUBTOTAL(101,CA4_wall70_it3_neigh3[max_room_size])</f>
        <v>182.52</v>
      </c>
      <c r="N52">
        <f>SUBTOTAL(101,CA4_wall70_it3_neigh3[min_room_size])</f>
        <v>1.04</v>
      </c>
      <c r="O52">
        <f>SUBTOTAL(101,CA4_wall70_it3_neigh3[room_tiles])</f>
        <v>659.32</v>
      </c>
      <c r="P52" s="24">
        <f>SUBTOTAL(101,CA4_wall70_it3_neigh3[room_ratio])</f>
        <v>0.54989919999999992</v>
      </c>
    </row>
    <row r="53" spans="1:16" x14ac:dyDescent="0.25">
      <c r="A53" s="26" t="s">
        <v>30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419F-6E45-4B2B-B789-647CBFD29EFF}">
  <dimension ref="A1:P53"/>
  <sheetViews>
    <sheetView topLeftCell="A34" workbookViewId="0">
      <selection activeCell="J34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932528316</v>
      </c>
      <c r="C2">
        <v>1162</v>
      </c>
      <c r="D2">
        <v>1338</v>
      </c>
      <c r="E2" s="23">
        <v>0.46479999999999999</v>
      </c>
      <c r="F2" s="23">
        <v>0.53520000000000001</v>
      </c>
      <c r="G2">
        <v>61</v>
      </c>
      <c r="H2">
        <v>7</v>
      </c>
      <c r="I2">
        <v>804</v>
      </c>
      <c r="J2" s="27">
        <v>0.69191000000000003</v>
      </c>
      <c r="K2">
        <v>31</v>
      </c>
      <c r="L2">
        <v>19.258064999999998</v>
      </c>
      <c r="M2">
        <v>121</v>
      </c>
      <c r="N2">
        <v>1</v>
      </c>
      <c r="O2">
        <v>597</v>
      </c>
      <c r="P2" s="23">
        <v>0.51376900000000003</v>
      </c>
    </row>
    <row r="3" spans="1:16" x14ac:dyDescent="0.25">
      <c r="A3" t="s">
        <v>24</v>
      </c>
      <c r="B3" s="22">
        <v>113598296</v>
      </c>
      <c r="C3">
        <v>1036</v>
      </c>
      <c r="D3">
        <v>1464</v>
      </c>
      <c r="E3" s="23">
        <v>0.41439999999999999</v>
      </c>
      <c r="F3" s="23">
        <v>0.58560000000000001</v>
      </c>
      <c r="G3">
        <v>94</v>
      </c>
      <c r="H3">
        <v>7</v>
      </c>
      <c r="I3">
        <v>737</v>
      </c>
      <c r="J3" s="27">
        <v>0.71138999999999997</v>
      </c>
      <c r="K3">
        <v>33</v>
      </c>
      <c r="L3">
        <v>13.424242</v>
      </c>
      <c r="M3">
        <v>149</v>
      </c>
      <c r="N3">
        <v>1</v>
      </c>
      <c r="O3">
        <v>443</v>
      </c>
      <c r="P3" s="23">
        <v>0.42760599999999999</v>
      </c>
    </row>
    <row r="4" spans="1:16" x14ac:dyDescent="0.25">
      <c r="A4" t="s">
        <v>24</v>
      </c>
      <c r="B4" s="22">
        <v>2079427217</v>
      </c>
      <c r="C4">
        <v>1010</v>
      </c>
      <c r="D4">
        <v>1490</v>
      </c>
      <c r="E4" s="23">
        <v>0.40400000000000003</v>
      </c>
      <c r="F4" s="23">
        <v>0.59599999999999997</v>
      </c>
      <c r="G4">
        <v>63</v>
      </c>
      <c r="H4">
        <v>12</v>
      </c>
      <c r="I4">
        <v>488</v>
      </c>
      <c r="J4" s="27">
        <v>0.48316799999999999</v>
      </c>
      <c r="K4">
        <v>34</v>
      </c>
      <c r="L4">
        <v>12.441176</v>
      </c>
      <c r="M4">
        <v>57</v>
      </c>
      <c r="N4">
        <v>1</v>
      </c>
      <c r="O4">
        <v>423</v>
      </c>
      <c r="P4" s="23">
        <v>0.41881200000000002</v>
      </c>
    </row>
    <row r="5" spans="1:16" x14ac:dyDescent="0.25">
      <c r="A5" t="s">
        <v>24</v>
      </c>
      <c r="B5" s="22">
        <v>558583656</v>
      </c>
      <c r="C5">
        <v>956</v>
      </c>
      <c r="D5">
        <v>1544</v>
      </c>
      <c r="E5" s="23">
        <v>0.38240000000000002</v>
      </c>
      <c r="F5" s="23">
        <v>0.61760000000000004</v>
      </c>
      <c r="G5">
        <v>49</v>
      </c>
      <c r="H5">
        <v>24</v>
      </c>
      <c r="I5">
        <v>420</v>
      </c>
      <c r="J5" s="27">
        <v>0.43933100000000003</v>
      </c>
      <c r="K5">
        <v>32</v>
      </c>
      <c r="L5">
        <v>12.96875</v>
      </c>
      <c r="M5">
        <v>53</v>
      </c>
      <c r="N5">
        <v>1</v>
      </c>
      <c r="O5">
        <v>415</v>
      </c>
      <c r="P5" s="23">
        <v>0.43409999999999999</v>
      </c>
    </row>
    <row r="6" spans="1:16" x14ac:dyDescent="0.25">
      <c r="A6" t="s">
        <v>24</v>
      </c>
      <c r="B6" s="22">
        <v>181165814</v>
      </c>
      <c r="C6">
        <v>994</v>
      </c>
      <c r="D6">
        <v>1506</v>
      </c>
      <c r="E6" s="23">
        <v>0.39760000000000001</v>
      </c>
      <c r="F6" s="23">
        <v>0.60240000000000005</v>
      </c>
      <c r="G6">
        <v>79</v>
      </c>
      <c r="H6">
        <v>12</v>
      </c>
      <c r="I6">
        <v>858</v>
      </c>
      <c r="J6" s="27">
        <v>0.86317900000000003</v>
      </c>
      <c r="K6">
        <v>24</v>
      </c>
      <c r="L6">
        <v>18.708333</v>
      </c>
      <c r="M6">
        <v>111</v>
      </c>
      <c r="N6">
        <v>1</v>
      </c>
      <c r="O6">
        <v>449</v>
      </c>
      <c r="P6" s="23">
        <v>0.45171</v>
      </c>
    </row>
    <row r="7" spans="1:16" x14ac:dyDescent="0.25">
      <c r="A7" t="s">
        <v>24</v>
      </c>
      <c r="B7" s="22">
        <v>516267796</v>
      </c>
      <c r="C7">
        <v>999</v>
      </c>
      <c r="D7">
        <v>1501</v>
      </c>
      <c r="E7" s="23">
        <v>0.39960000000000001</v>
      </c>
      <c r="F7" s="23">
        <v>0.60040000000000004</v>
      </c>
      <c r="G7">
        <v>99</v>
      </c>
      <c r="H7">
        <v>15</v>
      </c>
      <c r="I7">
        <v>891</v>
      </c>
      <c r="J7" s="27">
        <v>0.89189200000000002</v>
      </c>
      <c r="K7">
        <v>28</v>
      </c>
      <c r="L7">
        <v>14.785714</v>
      </c>
      <c r="M7">
        <v>104</v>
      </c>
      <c r="N7">
        <v>1</v>
      </c>
      <c r="O7">
        <v>414</v>
      </c>
      <c r="P7" s="23">
        <v>0.414414</v>
      </c>
    </row>
    <row r="8" spans="1:16" x14ac:dyDescent="0.25">
      <c r="A8" t="s">
        <v>24</v>
      </c>
      <c r="B8" s="22">
        <v>1037227184</v>
      </c>
      <c r="C8">
        <v>1035</v>
      </c>
      <c r="D8">
        <v>1465</v>
      </c>
      <c r="E8" s="23">
        <v>0.41399999999999998</v>
      </c>
      <c r="F8" s="23">
        <v>0.58599999999999997</v>
      </c>
      <c r="G8">
        <v>48</v>
      </c>
      <c r="H8">
        <v>12</v>
      </c>
      <c r="I8">
        <v>383</v>
      </c>
      <c r="J8" s="27">
        <v>0.37004799999999999</v>
      </c>
      <c r="K8">
        <v>30</v>
      </c>
      <c r="L8">
        <v>16.533332999999999</v>
      </c>
      <c r="M8">
        <v>62</v>
      </c>
      <c r="N8">
        <v>1</v>
      </c>
      <c r="O8">
        <v>496</v>
      </c>
      <c r="P8" s="23">
        <v>0.47922700000000001</v>
      </c>
    </row>
    <row r="9" spans="1:16" x14ac:dyDescent="0.25">
      <c r="A9" t="s">
        <v>24</v>
      </c>
      <c r="B9" s="22">
        <v>802000865</v>
      </c>
      <c r="C9">
        <v>1029</v>
      </c>
      <c r="D9">
        <v>1471</v>
      </c>
      <c r="E9" s="23">
        <v>0.41160000000000002</v>
      </c>
      <c r="F9" s="23">
        <v>0.58840000000000003</v>
      </c>
      <c r="G9">
        <v>58</v>
      </c>
      <c r="H9">
        <v>10</v>
      </c>
      <c r="I9">
        <v>625</v>
      </c>
      <c r="J9" s="27">
        <v>0.60738599999999998</v>
      </c>
      <c r="K9">
        <v>36</v>
      </c>
      <c r="L9">
        <v>12.5</v>
      </c>
      <c r="M9">
        <v>71</v>
      </c>
      <c r="N9">
        <v>1</v>
      </c>
      <c r="O9">
        <v>450</v>
      </c>
      <c r="P9" s="23">
        <v>0.43731799999999998</v>
      </c>
    </row>
    <row r="10" spans="1:16" x14ac:dyDescent="0.25">
      <c r="A10" t="s">
        <v>24</v>
      </c>
      <c r="B10" s="22">
        <v>721102292</v>
      </c>
      <c r="C10">
        <v>1018</v>
      </c>
      <c r="D10">
        <v>1482</v>
      </c>
      <c r="E10" s="23">
        <v>0.40720000000000001</v>
      </c>
      <c r="F10" s="23">
        <v>0.59279999999999999</v>
      </c>
      <c r="G10">
        <v>81</v>
      </c>
      <c r="H10">
        <v>5</v>
      </c>
      <c r="I10">
        <v>986</v>
      </c>
      <c r="J10" s="27">
        <v>0.96856600000000004</v>
      </c>
      <c r="K10">
        <v>34</v>
      </c>
      <c r="L10">
        <v>12.617647</v>
      </c>
      <c r="M10">
        <v>99</v>
      </c>
      <c r="N10">
        <v>1</v>
      </c>
      <c r="O10">
        <v>429</v>
      </c>
      <c r="P10" s="23">
        <v>0.42141499999999998</v>
      </c>
    </row>
    <row r="11" spans="1:16" x14ac:dyDescent="0.25">
      <c r="A11" t="s">
        <v>24</v>
      </c>
      <c r="B11" s="22">
        <v>616224776</v>
      </c>
      <c r="C11">
        <v>1123</v>
      </c>
      <c r="D11">
        <v>1377</v>
      </c>
      <c r="E11" s="23">
        <v>0.44919999999999999</v>
      </c>
      <c r="F11" s="23">
        <v>0.55079999999999996</v>
      </c>
      <c r="G11">
        <v>79</v>
      </c>
      <c r="H11">
        <v>9</v>
      </c>
      <c r="I11">
        <v>1093</v>
      </c>
      <c r="J11" s="27">
        <v>0.97328599999999998</v>
      </c>
      <c r="K11">
        <v>38</v>
      </c>
      <c r="L11">
        <v>13.131579</v>
      </c>
      <c r="M11">
        <v>109</v>
      </c>
      <c r="N11">
        <v>1</v>
      </c>
      <c r="O11">
        <v>499</v>
      </c>
      <c r="P11" s="23">
        <v>0.44434600000000002</v>
      </c>
    </row>
    <row r="12" spans="1:16" x14ac:dyDescent="0.25">
      <c r="A12" t="s">
        <v>24</v>
      </c>
      <c r="B12" s="22">
        <v>1254028791</v>
      </c>
      <c r="C12">
        <v>895</v>
      </c>
      <c r="D12">
        <v>1605</v>
      </c>
      <c r="E12" s="23">
        <v>0.35799999999999998</v>
      </c>
      <c r="F12" s="23">
        <v>0.64200000000000002</v>
      </c>
      <c r="G12">
        <v>70</v>
      </c>
      <c r="H12">
        <v>14</v>
      </c>
      <c r="I12">
        <v>660</v>
      </c>
      <c r="J12" s="27">
        <v>0.73743000000000003</v>
      </c>
      <c r="K12">
        <v>31</v>
      </c>
      <c r="L12">
        <v>10.548387</v>
      </c>
      <c r="M12">
        <v>67</v>
      </c>
      <c r="N12">
        <v>1</v>
      </c>
      <c r="O12">
        <v>327</v>
      </c>
      <c r="P12" s="23">
        <v>0.36536299999999999</v>
      </c>
    </row>
    <row r="13" spans="1:16" x14ac:dyDescent="0.25">
      <c r="A13" t="s">
        <v>24</v>
      </c>
      <c r="B13" s="22">
        <v>449856083</v>
      </c>
      <c r="C13">
        <v>1059</v>
      </c>
      <c r="D13">
        <v>1441</v>
      </c>
      <c r="E13" s="23">
        <v>0.42359999999999998</v>
      </c>
      <c r="F13" s="23">
        <v>0.57640000000000002</v>
      </c>
      <c r="G13">
        <v>99</v>
      </c>
      <c r="H13">
        <v>7</v>
      </c>
      <c r="I13">
        <v>1043</v>
      </c>
      <c r="J13" s="27">
        <v>0.98489099999999996</v>
      </c>
      <c r="K13">
        <v>27</v>
      </c>
      <c r="L13">
        <v>17.703703999999998</v>
      </c>
      <c r="M13">
        <v>132</v>
      </c>
      <c r="N13">
        <v>1</v>
      </c>
      <c r="O13">
        <v>478</v>
      </c>
      <c r="P13" s="23">
        <v>0.45136900000000002</v>
      </c>
    </row>
    <row r="14" spans="1:16" x14ac:dyDescent="0.25">
      <c r="A14" t="s">
        <v>24</v>
      </c>
      <c r="B14" s="22">
        <v>2006307206</v>
      </c>
      <c r="C14">
        <v>1031</v>
      </c>
      <c r="D14">
        <v>1469</v>
      </c>
      <c r="E14" s="23">
        <v>0.41239999999999999</v>
      </c>
      <c r="F14" s="23">
        <v>0.58760000000000001</v>
      </c>
      <c r="G14">
        <v>75</v>
      </c>
      <c r="H14">
        <v>8</v>
      </c>
      <c r="I14">
        <v>1016</v>
      </c>
      <c r="J14" s="27">
        <v>0.98545099999999997</v>
      </c>
      <c r="K14">
        <v>31</v>
      </c>
      <c r="L14">
        <v>13.838710000000001</v>
      </c>
      <c r="M14">
        <v>62</v>
      </c>
      <c r="N14">
        <v>1</v>
      </c>
      <c r="O14">
        <v>429</v>
      </c>
      <c r="P14" s="23">
        <v>0.416101</v>
      </c>
    </row>
    <row r="15" spans="1:16" x14ac:dyDescent="0.25">
      <c r="A15" t="s">
        <v>24</v>
      </c>
      <c r="B15" s="22">
        <v>1815877005</v>
      </c>
      <c r="C15">
        <v>1017</v>
      </c>
      <c r="D15">
        <v>1483</v>
      </c>
      <c r="E15" s="23">
        <v>0.40679999999999999</v>
      </c>
      <c r="F15" s="23">
        <v>0.59319999999999995</v>
      </c>
      <c r="G15">
        <v>74</v>
      </c>
      <c r="H15">
        <v>9</v>
      </c>
      <c r="I15">
        <v>848</v>
      </c>
      <c r="J15" s="27">
        <v>0.83382500000000004</v>
      </c>
      <c r="K15">
        <v>33</v>
      </c>
      <c r="L15">
        <v>14.666667</v>
      </c>
      <c r="M15">
        <v>106</v>
      </c>
      <c r="N15">
        <v>1</v>
      </c>
      <c r="O15">
        <v>484</v>
      </c>
      <c r="P15" s="23">
        <v>0.47591</v>
      </c>
    </row>
    <row r="16" spans="1:16" x14ac:dyDescent="0.25">
      <c r="A16" t="s">
        <v>24</v>
      </c>
      <c r="B16" s="22">
        <v>2110446752</v>
      </c>
      <c r="C16">
        <v>1052</v>
      </c>
      <c r="D16">
        <v>1448</v>
      </c>
      <c r="E16" s="23">
        <v>0.42080000000000001</v>
      </c>
      <c r="F16" s="23">
        <v>0.57920000000000005</v>
      </c>
      <c r="G16">
        <v>66</v>
      </c>
      <c r="H16">
        <v>9</v>
      </c>
      <c r="I16">
        <v>506</v>
      </c>
      <c r="J16" s="27">
        <v>0.480989</v>
      </c>
      <c r="K16">
        <v>39</v>
      </c>
      <c r="L16">
        <v>11.974359</v>
      </c>
      <c r="M16">
        <v>93</v>
      </c>
      <c r="N16">
        <v>1</v>
      </c>
      <c r="O16">
        <v>467</v>
      </c>
      <c r="P16" s="23">
        <v>0.44391599999999998</v>
      </c>
    </row>
    <row r="17" spans="1:16" x14ac:dyDescent="0.25">
      <c r="A17" t="s">
        <v>24</v>
      </c>
      <c r="B17" s="22">
        <v>752989110</v>
      </c>
      <c r="C17">
        <v>1118</v>
      </c>
      <c r="D17">
        <v>1382</v>
      </c>
      <c r="E17" s="23">
        <v>0.44719999999999999</v>
      </c>
      <c r="F17" s="23">
        <v>0.55279999999999996</v>
      </c>
      <c r="G17">
        <v>65</v>
      </c>
      <c r="H17">
        <v>14</v>
      </c>
      <c r="I17">
        <v>1044</v>
      </c>
      <c r="J17" s="27">
        <v>0.93381000000000003</v>
      </c>
      <c r="K17">
        <v>22</v>
      </c>
      <c r="L17">
        <v>26.636364</v>
      </c>
      <c r="M17">
        <v>137</v>
      </c>
      <c r="N17">
        <v>1</v>
      </c>
      <c r="O17">
        <v>586</v>
      </c>
      <c r="P17" s="23">
        <v>0.52415</v>
      </c>
    </row>
    <row r="18" spans="1:16" x14ac:dyDescent="0.25">
      <c r="A18" t="s">
        <v>24</v>
      </c>
      <c r="B18" s="22">
        <v>418093295</v>
      </c>
      <c r="C18">
        <v>1082</v>
      </c>
      <c r="D18">
        <v>1418</v>
      </c>
      <c r="E18" s="23">
        <v>0.43280000000000002</v>
      </c>
      <c r="F18" s="23">
        <v>0.56720000000000004</v>
      </c>
      <c r="G18">
        <v>72</v>
      </c>
      <c r="H18">
        <v>11</v>
      </c>
      <c r="I18">
        <v>912</v>
      </c>
      <c r="J18" s="27">
        <v>0.84288399999999997</v>
      </c>
      <c r="K18">
        <v>30</v>
      </c>
      <c r="L18">
        <v>16.8</v>
      </c>
      <c r="M18">
        <v>109</v>
      </c>
      <c r="N18">
        <v>1</v>
      </c>
      <c r="O18">
        <v>504</v>
      </c>
      <c r="P18" s="23">
        <v>0.465804</v>
      </c>
    </row>
    <row r="19" spans="1:16" x14ac:dyDescent="0.25">
      <c r="A19" t="s">
        <v>24</v>
      </c>
      <c r="B19" s="22">
        <v>1373525521</v>
      </c>
      <c r="C19">
        <v>1048</v>
      </c>
      <c r="D19">
        <v>1452</v>
      </c>
      <c r="E19" s="23">
        <v>0.41920000000000002</v>
      </c>
      <c r="F19" s="23">
        <v>0.58079999999999998</v>
      </c>
      <c r="G19">
        <v>78</v>
      </c>
      <c r="H19">
        <v>3</v>
      </c>
      <c r="I19">
        <v>1038</v>
      </c>
      <c r="J19" s="27">
        <v>0.99045799999999995</v>
      </c>
      <c r="K19">
        <v>31</v>
      </c>
      <c r="L19">
        <v>14.032258000000001</v>
      </c>
      <c r="M19">
        <v>63</v>
      </c>
      <c r="N19">
        <v>1</v>
      </c>
      <c r="O19">
        <v>435</v>
      </c>
      <c r="P19" s="23">
        <v>0.415076</v>
      </c>
    </row>
    <row r="20" spans="1:16" x14ac:dyDescent="0.25">
      <c r="A20" t="s">
        <v>24</v>
      </c>
      <c r="B20" s="22">
        <v>1761948959</v>
      </c>
      <c r="C20">
        <v>1095</v>
      </c>
      <c r="D20">
        <v>1405</v>
      </c>
      <c r="E20" s="23">
        <v>0.438</v>
      </c>
      <c r="F20" s="23">
        <v>0.56200000000000006</v>
      </c>
      <c r="G20">
        <v>87</v>
      </c>
      <c r="H20">
        <v>9</v>
      </c>
      <c r="I20">
        <v>867</v>
      </c>
      <c r="J20" s="27">
        <v>0.79178099999999996</v>
      </c>
      <c r="K20">
        <v>31</v>
      </c>
      <c r="L20">
        <v>17.129031999999999</v>
      </c>
      <c r="M20">
        <v>79</v>
      </c>
      <c r="N20">
        <v>1</v>
      </c>
      <c r="O20">
        <v>531</v>
      </c>
      <c r="P20" s="23">
        <v>0.48493199999999997</v>
      </c>
    </row>
    <row r="21" spans="1:16" x14ac:dyDescent="0.25">
      <c r="A21" t="s">
        <v>24</v>
      </c>
      <c r="B21" s="22">
        <v>763938292</v>
      </c>
      <c r="C21">
        <v>1064</v>
      </c>
      <c r="D21">
        <v>1436</v>
      </c>
      <c r="E21" s="23">
        <v>0.42559999999999998</v>
      </c>
      <c r="F21" s="23">
        <v>0.57440000000000002</v>
      </c>
      <c r="G21">
        <v>97</v>
      </c>
      <c r="H21">
        <v>10</v>
      </c>
      <c r="I21">
        <v>1021</v>
      </c>
      <c r="J21" s="27">
        <v>0.95958600000000005</v>
      </c>
      <c r="K21">
        <v>33</v>
      </c>
      <c r="L21">
        <v>14.727273</v>
      </c>
      <c r="M21">
        <v>103</v>
      </c>
      <c r="N21">
        <v>1</v>
      </c>
      <c r="O21">
        <v>486</v>
      </c>
      <c r="P21" s="23">
        <v>0.45676699999999998</v>
      </c>
    </row>
    <row r="22" spans="1:16" x14ac:dyDescent="0.25">
      <c r="A22" t="s">
        <v>24</v>
      </c>
      <c r="B22" s="22">
        <v>593726533</v>
      </c>
      <c r="C22">
        <v>1078</v>
      </c>
      <c r="D22">
        <v>1422</v>
      </c>
      <c r="E22" s="23">
        <v>0.43120000000000003</v>
      </c>
      <c r="F22" s="23">
        <v>0.56879999999999997</v>
      </c>
      <c r="G22">
        <v>60</v>
      </c>
      <c r="H22">
        <v>9</v>
      </c>
      <c r="I22">
        <v>1020</v>
      </c>
      <c r="J22" s="27">
        <v>0.94619699999999995</v>
      </c>
      <c r="K22">
        <v>33</v>
      </c>
      <c r="L22">
        <v>15.454545</v>
      </c>
      <c r="M22">
        <v>123</v>
      </c>
      <c r="N22">
        <v>1</v>
      </c>
      <c r="O22">
        <v>510</v>
      </c>
      <c r="P22" s="23">
        <v>0.47309800000000002</v>
      </c>
    </row>
    <row r="23" spans="1:16" x14ac:dyDescent="0.25">
      <c r="A23" t="s">
        <v>24</v>
      </c>
      <c r="B23" s="22">
        <v>296974282</v>
      </c>
      <c r="C23">
        <v>974</v>
      </c>
      <c r="D23">
        <v>1526</v>
      </c>
      <c r="E23" s="23">
        <v>0.3896</v>
      </c>
      <c r="F23" s="23">
        <v>0.61040000000000005</v>
      </c>
      <c r="G23">
        <v>48</v>
      </c>
      <c r="H23">
        <v>12</v>
      </c>
      <c r="I23">
        <v>603</v>
      </c>
      <c r="J23" s="27">
        <v>0.61909700000000001</v>
      </c>
      <c r="K23">
        <v>33</v>
      </c>
      <c r="L23">
        <v>12.030303</v>
      </c>
      <c r="M23">
        <v>50</v>
      </c>
      <c r="N23">
        <v>1</v>
      </c>
      <c r="O23">
        <v>397</v>
      </c>
      <c r="P23" s="23">
        <v>0.40759800000000002</v>
      </c>
    </row>
    <row r="24" spans="1:16" x14ac:dyDescent="0.25">
      <c r="A24" t="s">
        <v>24</v>
      </c>
      <c r="B24" s="22">
        <v>1303530816</v>
      </c>
      <c r="C24">
        <v>1035</v>
      </c>
      <c r="D24">
        <v>1465</v>
      </c>
      <c r="E24" s="23">
        <v>0.41399999999999998</v>
      </c>
      <c r="F24" s="23">
        <v>0.58599999999999997</v>
      </c>
      <c r="G24">
        <v>64</v>
      </c>
      <c r="H24">
        <v>9</v>
      </c>
      <c r="I24">
        <v>753</v>
      </c>
      <c r="J24" s="27">
        <v>0.72753599999999996</v>
      </c>
      <c r="K24">
        <v>31</v>
      </c>
      <c r="L24">
        <v>14.258065</v>
      </c>
      <c r="M24">
        <v>44</v>
      </c>
      <c r="N24">
        <v>1</v>
      </c>
      <c r="O24">
        <v>442</v>
      </c>
      <c r="P24" s="23">
        <v>0.42705300000000002</v>
      </c>
    </row>
    <row r="25" spans="1:16" x14ac:dyDescent="0.25">
      <c r="A25" t="s">
        <v>24</v>
      </c>
      <c r="B25" s="22">
        <v>1647718939</v>
      </c>
      <c r="C25">
        <v>1095</v>
      </c>
      <c r="D25">
        <v>1405</v>
      </c>
      <c r="E25" s="23">
        <v>0.438</v>
      </c>
      <c r="F25" s="23">
        <v>0.56200000000000006</v>
      </c>
      <c r="G25">
        <v>85</v>
      </c>
      <c r="H25">
        <v>3</v>
      </c>
      <c r="I25">
        <v>1085</v>
      </c>
      <c r="J25" s="27">
        <v>0.99086799999999997</v>
      </c>
      <c r="K25">
        <v>26</v>
      </c>
      <c r="L25">
        <v>19.769231000000001</v>
      </c>
      <c r="M25">
        <v>112</v>
      </c>
      <c r="N25">
        <v>1</v>
      </c>
      <c r="O25">
        <v>514</v>
      </c>
      <c r="P25" s="23">
        <v>0.46940599999999999</v>
      </c>
    </row>
    <row r="26" spans="1:16" x14ac:dyDescent="0.25">
      <c r="A26" t="s">
        <v>24</v>
      </c>
      <c r="B26" s="22">
        <v>337877599</v>
      </c>
      <c r="C26">
        <v>1028</v>
      </c>
      <c r="D26">
        <v>1472</v>
      </c>
      <c r="E26" s="23">
        <v>0.41120000000000001</v>
      </c>
      <c r="F26" s="23">
        <v>0.58879999999999999</v>
      </c>
      <c r="G26">
        <v>72</v>
      </c>
      <c r="H26">
        <v>6</v>
      </c>
      <c r="I26">
        <v>870</v>
      </c>
      <c r="J26" s="27">
        <v>0.84630399999999995</v>
      </c>
      <c r="K26">
        <v>33</v>
      </c>
      <c r="L26">
        <v>13.060606</v>
      </c>
      <c r="M26">
        <v>55</v>
      </c>
      <c r="N26">
        <v>1</v>
      </c>
      <c r="O26">
        <v>431</v>
      </c>
      <c r="P26" s="23">
        <v>0.41926099999999999</v>
      </c>
    </row>
    <row r="27" spans="1:16" x14ac:dyDescent="0.25">
      <c r="A27" t="s">
        <v>24</v>
      </c>
      <c r="B27" s="22">
        <v>581334943</v>
      </c>
      <c r="C27">
        <v>964</v>
      </c>
      <c r="D27">
        <v>1536</v>
      </c>
      <c r="E27" s="23">
        <v>0.3856</v>
      </c>
      <c r="F27" s="23">
        <v>0.61439999999999995</v>
      </c>
      <c r="G27">
        <v>67</v>
      </c>
      <c r="H27">
        <v>16</v>
      </c>
      <c r="I27">
        <v>399</v>
      </c>
      <c r="J27" s="27">
        <v>0.41389999999999999</v>
      </c>
      <c r="K27">
        <v>30</v>
      </c>
      <c r="L27">
        <v>13.933332999999999</v>
      </c>
      <c r="M27">
        <v>83</v>
      </c>
      <c r="N27">
        <v>1</v>
      </c>
      <c r="O27">
        <v>418</v>
      </c>
      <c r="P27" s="23">
        <v>0.43361</v>
      </c>
    </row>
    <row r="28" spans="1:16" x14ac:dyDescent="0.25">
      <c r="A28" t="s">
        <v>24</v>
      </c>
      <c r="B28" s="22">
        <v>1027621747</v>
      </c>
      <c r="C28">
        <v>1071</v>
      </c>
      <c r="D28">
        <v>1429</v>
      </c>
      <c r="E28" s="23">
        <v>0.4284</v>
      </c>
      <c r="F28" s="23">
        <v>0.5716</v>
      </c>
      <c r="G28">
        <v>69</v>
      </c>
      <c r="H28">
        <v>6</v>
      </c>
      <c r="I28">
        <v>948</v>
      </c>
      <c r="J28" s="27">
        <v>0.885154</v>
      </c>
      <c r="K28">
        <v>31</v>
      </c>
      <c r="L28">
        <v>15.741935</v>
      </c>
      <c r="M28">
        <v>107</v>
      </c>
      <c r="N28">
        <v>1</v>
      </c>
      <c r="O28">
        <v>488</v>
      </c>
      <c r="P28" s="23">
        <v>0.45564900000000003</v>
      </c>
    </row>
    <row r="29" spans="1:16" x14ac:dyDescent="0.25">
      <c r="A29" t="s">
        <v>24</v>
      </c>
      <c r="B29" s="22">
        <v>218693127</v>
      </c>
      <c r="C29">
        <v>1020</v>
      </c>
      <c r="D29">
        <v>1480</v>
      </c>
      <c r="E29" s="23">
        <v>0.40799999999999997</v>
      </c>
      <c r="F29" s="23">
        <v>0.59199999999999997</v>
      </c>
      <c r="G29">
        <v>91</v>
      </c>
      <c r="H29">
        <v>5</v>
      </c>
      <c r="I29">
        <v>1005</v>
      </c>
      <c r="J29" s="27">
        <v>0.985294</v>
      </c>
      <c r="K29">
        <v>31</v>
      </c>
      <c r="L29">
        <v>13.935484000000001</v>
      </c>
      <c r="M29">
        <v>43</v>
      </c>
      <c r="N29">
        <v>1</v>
      </c>
      <c r="O29">
        <v>432</v>
      </c>
      <c r="P29" s="23">
        <v>0.42352899999999999</v>
      </c>
    </row>
    <row r="30" spans="1:16" x14ac:dyDescent="0.25">
      <c r="A30" t="s">
        <v>24</v>
      </c>
      <c r="B30" s="22">
        <v>1952920323</v>
      </c>
      <c r="C30">
        <v>982</v>
      </c>
      <c r="D30">
        <v>1518</v>
      </c>
      <c r="E30" s="23">
        <v>0.39279999999999998</v>
      </c>
      <c r="F30" s="23">
        <v>0.60719999999999996</v>
      </c>
      <c r="G30">
        <v>93</v>
      </c>
      <c r="H30">
        <v>12</v>
      </c>
      <c r="I30">
        <v>814</v>
      </c>
      <c r="J30" s="27">
        <v>0.82892100000000002</v>
      </c>
      <c r="K30">
        <v>32</v>
      </c>
      <c r="L30">
        <v>12.5625</v>
      </c>
      <c r="M30">
        <v>87</v>
      </c>
      <c r="N30">
        <v>1</v>
      </c>
      <c r="O30">
        <v>402</v>
      </c>
      <c r="P30" s="23">
        <v>0.40936899999999998</v>
      </c>
    </row>
    <row r="31" spans="1:16" x14ac:dyDescent="0.25">
      <c r="A31" t="s">
        <v>24</v>
      </c>
      <c r="B31" s="22">
        <v>243564664</v>
      </c>
      <c r="C31">
        <v>1006</v>
      </c>
      <c r="D31">
        <v>1494</v>
      </c>
      <c r="E31" s="23">
        <v>0.40239999999999998</v>
      </c>
      <c r="F31" s="23">
        <v>0.59760000000000002</v>
      </c>
      <c r="G31">
        <v>66</v>
      </c>
      <c r="H31">
        <v>14</v>
      </c>
      <c r="I31">
        <v>866</v>
      </c>
      <c r="J31" s="27">
        <v>0.86083500000000002</v>
      </c>
      <c r="K31">
        <v>34</v>
      </c>
      <c r="L31">
        <v>13.323529000000001</v>
      </c>
      <c r="M31">
        <v>51</v>
      </c>
      <c r="N31">
        <v>1</v>
      </c>
      <c r="O31">
        <v>453</v>
      </c>
      <c r="P31" s="23">
        <v>0.45029799999999998</v>
      </c>
    </row>
    <row r="32" spans="1:16" x14ac:dyDescent="0.25">
      <c r="A32" t="s">
        <v>24</v>
      </c>
      <c r="B32" s="22">
        <v>988835069</v>
      </c>
      <c r="C32">
        <v>1126</v>
      </c>
      <c r="D32">
        <v>1374</v>
      </c>
      <c r="E32" s="23">
        <v>0.45040000000000002</v>
      </c>
      <c r="F32" s="23">
        <v>0.54959999999999998</v>
      </c>
      <c r="G32">
        <v>65</v>
      </c>
      <c r="H32">
        <v>3</v>
      </c>
      <c r="I32">
        <v>1100</v>
      </c>
      <c r="J32" s="27">
        <v>0.97690900000000003</v>
      </c>
      <c r="K32">
        <v>36</v>
      </c>
      <c r="L32">
        <v>13.972222</v>
      </c>
      <c r="M32">
        <v>59</v>
      </c>
      <c r="N32">
        <v>1</v>
      </c>
      <c r="O32">
        <v>503</v>
      </c>
      <c r="P32" s="23">
        <v>0.446714</v>
      </c>
    </row>
    <row r="33" spans="1:16" x14ac:dyDescent="0.25">
      <c r="A33" t="s">
        <v>24</v>
      </c>
      <c r="B33" s="22">
        <v>58359307</v>
      </c>
      <c r="C33">
        <v>1166</v>
      </c>
      <c r="D33">
        <v>1334</v>
      </c>
      <c r="E33" s="23">
        <v>0.46639999999999998</v>
      </c>
      <c r="F33" s="23">
        <v>0.53359999999999996</v>
      </c>
      <c r="G33">
        <v>83</v>
      </c>
      <c r="H33">
        <v>8</v>
      </c>
      <c r="I33">
        <v>1092</v>
      </c>
      <c r="J33" s="27">
        <v>0.93653500000000001</v>
      </c>
      <c r="K33">
        <v>26</v>
      </c>
      <c r="L33">
        <v>22.923076999999999</v>
      </c>
      <c r="M33">
        <v>218</v>
      </c>
      <c r="N33">
        <v>1</v>
      </c>
      <c r="O33">
        <v>596</v>
      </c>
      <c r="P33" s="23">
        <v>0.51114899999999996</v>
      </c>
    </row>
    <row r="34" spans="1:16" x14ac:dyDescent="0.25">
      <c r="A34" t="s">
        <v>24</v>
      </c>
      <c r="B34" s="22">
        <v>227960363</v>
      </c>
      <c r="C34">
        <v>1016</v>
      </c>
      <c r="D34">
        <v>1484</v>
      </c>
      <c r="E34" s="23">
        <v>0.40639999999999998</v>
      </c>
      <c r="F34" s="23">
        <v>0.59360000000000002</v>
      </c>
      <c r="G34">
        <v>68</v>
      </c>
      <c r="H34">
        <v>12</v>
      </c>
      <c r="I34">
        <v>843</v>
      </c>
      <c r="J34" s="27">
        <v>0.82972400000000002</v>
      </c>
      <c r="K34">
        <v>31</v>
      </c>
      <c r="L34">
        <v>12.677419</v>
      </c>
      <c r="M34">
        <v>61</v>
      </c>
      <c r="N34">
        <v>1</v>
      </c>
      <c r="O34">
        <v>393</v>
      </c>
      <c r="P34" s="23">
        <v>0.38681100000000002</v>
      </c>
    </row>
    <row r="35" spans="1:16" x14ac:dyDescent="0.25">
      <c r="A35" t="s">
        <v>24</v>
      </c>
      <c r="B35" s="22">
        <v>785918414</v>
      </c>
      <c r="C35">
        <v>1037</v>
      </c>
      <c r="D35">
        <v>1463</v>
      </c>
      <c r="E35" s="23">
        <v>0.4148</v>
      </c>
      <c r="F35" s="23">
        <v>0.58520000000000005</v>
      </c>
      <c r="G35">
        <v>59</v>
      </c>
      <c r="H35">
        <v>8</v>
      </c>
      <c r="I35">
        <v>865</v>
      </c>
      <c r="J35" s="27">
        <v>0.83413700000000002</v>
      </c>
      <c r="K35">
        <v>33</v>
      </c>
      <c r="L35">
        <v>12.151515</v>
      </c>
      <c r="M35">
        <v>58</v>
      </c>
      <c r="N35">
        <v>1</v>
      </c>
      <c r="O35">
        <v>401</v>
      </c>
      <c r="P35" s="23">
        <v>0.38669199999999998</v>
      </c>
    </row>
    <row r="36" spans="1:16" x14ac:dyDescent="0.25">
      <c r="A36" t="s">
        <v>24</v>
      </c>
      <c r="B36" s="22">
        <v>263877171</v>
      </c>
      <c r="C36">
        <v>1157</v>
      </c>
      <c r="D36">
        <v>1343</v>
      </c>
      <c r="E36" s="23">
        <v>0.46279999999999999</v>
      </c>
      <c r="F36" s="23">
        <v>0.53720000000000001</v>
      </c>
      <c r="G36">
        <v>69</v>
      </c>
      <c r="H36">
        <v>6</v>
      </c>
      <c r="I36">
        <v>1115</v>
      </c>
      <c r="J36" s="27">
        <v>0.96369899999999997</v>
      </c>
      <c r="K36">
        <v>29</v>
      </c>
      <c r="L36">
        <v>19.793102999999999</v>
      </c>
      <c r="M36">
        <v>87</v>
      </c>
      <c r="N36">
        <v>1</v>
      </c>
      <c r="O36">
        <v>574</v>
      </c>
      <c r="P36" s="23">
        <v>0.49611100000000002</v>
      </c>
    </row>
    <row r="37" spans="1:16" x14ac:dyDescent="0.25">
      <c r="A37" t="s">
        <v>24</v>
      </c>
      <c r="B37" s="22">
        <v>1063500866</v>
      </c>
      <c r="C37">
        <v>954</v>
      </c>
      <c r="D37">
        <v>1546</v>
      </c>
      <c r="E37" s="23">
        <v>0.38159999999999999</v>
      </c>
      <c r="F37" s="23">
        <v>0.61839999999999995</v>
      </c>
      <c r="G37">
        <v>74</v>
      </c>
      <c r="H37">
        <v>14</v>
      </c>
      <c r="I37">
        <v>722</v>
      </c>
      <c r="J37" s="27">
        <v>0.75681299999999996</v>
      </c>
      <c r="K37">
        <v>27</v>
      </c>
      <c r="L37">
        <v>16.481480999999999</v>
      </c>
      <c r="M37">
        <v>93</v>
      </c>
      <c r="N37">
        <v>1</v>
      </c>
      <c r="O37">
        <v>445</v>
      </c>
      <c r="P37" s="23">
        <v>0.46645700000000001</v>
      </c>
    </row>
    <row r="38" spans="1:16" x14ac:dyDescent="0.25">
      <c r="A38" t="s">
        <v>24</v>
      </c>
      <c r="B38" s="22">
        <v>1536460780</v>
      </c>
      <c r="C38">
        <v>1071</v>
      </c>
      <c r="D38">
        <v>1429</v>
      </c>
      <c r="E38" s="23">
        <v>0.4284</v>
      </c>
      <c r="F38" s="23">
        <v>0.5716</v>
      </c>
      <c r="G38">
        <v>71</v>
      </c>
      <c r="H38">
        <v>6</v>
      </c>
      <c r="I38">
        <v>1011</v>
      </c>
      <c r="J38" s="27">
        <v>0.94397799999999998</v>
      </c>
      <c r="K38">
        <v>27</v>
      </c>
      <c r="L38">
        <v>19.296296000000002</v>
      </c>
      <c r="M38">
        <v>185</v>
      </c>
      <c r="N38">
        <v>1</v>
      </c>
      <c r="O38">
        <v>521</v>
      </c>
      <c r="P38" s="23">
        <v>0.48646099999999998</v>
      </c>
    </row>
    <row r="39" spans="1:16" x14ac:dyDescent="0.25">
      <c r="A39" t="s">
        <v>24</v>
      </c>
      <c r="B39" s="22">
        <v>1557817149</v>
      </c>
      <c r="C39">
        <v>1116</v>
      </c>
      <c r="D39">
        <v>1384</v>
      </c>
      <c r="E39" s="23">
        <v>0.44640000000000002</v>
      </c>
      <c r="F39" s="23">
        <v>0.55359999999999998</v>
      </c>
      <c r="G39">
        <v>84</v>
      </c>
      <c r="H39">
        <v>7</v>
      </c>
      <c r="I39">
        <v>1088</v>
      </c>
      <c r="J39" s="27">
        <v>0.97491000000000005</v>
      </c>
      <c r="K39">
        <v>25</v>
      </c>
      <c r="L39">
        <v>22.8</v>
      </c>
      <c r="M39">
        <v>117</v>
      </c>
      <c r="N39">
        <v>1</v>
      </c>
      <c r="O39">
        <v>570</v>
      </c>
      <c r="P39" s="23">
        <v>0.51075300000000001</v>
      </c>
    </row>
    <row r="40" spans="1:16" x14ac:dyDescent="0.25">
      <c r="A40" t="s">
        <v>24</v>
      </c>
      <c r="B40" s="22">
        <v>797070906</v>
      </c>
      <c r="C40">
        <v>998</v>
      </c>
      <c r="D40">
        <v>1502</v>
      </c>
      <c r="E40" s="23">
        <v>0.3992</v>
      </c>
      <c r="F40" s="23">
        <v>0.6008</v>
      </c>
      <c r="G40">
        <v>69</v>
      </c>
      <c r="H40">
        <v>12</v>
      </c>
      <c r="I40">
        <v>780</v>
      </c>
      <c r="J40" s="27">
        <v>0.78156300000000001</v>
      </c>
      <c r="K40">
        <v>34</v>
      </c>
      <c r="L40">
        <v>13.264706</v>
      </c>
      <c r="M40">
        <v>81</v>
      </c>
      <c r="N40">
        <v>1</v>
      </c>
      <c r="O40">
        <v>451</v>
      </c>
      <c r="P40" s="23">
        <v>0.45190399999999997</v>
      </c>
    </row>
    <row r="41" spans="1:16" x14ac:dyDescent="0.25">
      <c r="A41" t="s">
        <v>24</v>
      </c>
      <c r="B41" s="22">
        <v>745321960</v>
      </c>
      <c r="C41">
        <v>1027</v>
      </c>
      <c r="D41">
        <v>1473</v>
      </c>
      <c r="E41" s="23">
        <v>0.4108</v>
      </c>
      <c r="F41" s="23">
        <v>0.58919999999999995</v>
      </c>
      <c r="G41">
        <v>52</v>
      </c>
      <c r="H41">
        <v>10</v>
      </c>
      <c r="I41">
        <v>405</v>
      </c>
      <c r="J41" s="27">
        <v>0.39435199999999998</v>
      </c>
      <c r="K41">
        <v>32</v>
      </c>
      <c r="L41">
        <v>14.5625</v>
      </c>
      <c r="M41">
        <v>107</v>
      </c>
      <c r="N41">
        <v>1</v>
      </c>
      <c r="O41">
        <v>466</v>
      </c>
      <c r="P41" s="23">
        <v>0.45374900000000001</v>
      </c>
    </row>
    <row r="42" spans="1:16" x14ac:dyDescent="0.25">
      <c r="A42" t="s">
        <v>24</v>
      </c>
      <c r="B42" s="22">
        <v>344174952</v>
      </c>
      <c r="C42">
        <v>1007</v>
      </c>
      <c r="D42">
        <v>1493</v>
      </c>
      <c r="E42" s="23">
        <v>0.40279999999999999</v>
      </c>
      <c r="F42" s="23">
        <v>0.59719999999999995</v>
      </c>
      <c r="G42">
        <v>59</v>
      </c>
      <c r="H42">
        <v>10</v>
      </c>
      <c r="I42">
        <v>751</v>
      </c>
      <c r="J42" s="27">
        <v>0.74578</v>
      </c>
      <c r="K42">
        <v>42</v>
      </c>
      <c r="L42">
        <v>8.7857140000000005</v>
      </c>
      <c r="M42">
        <v>34</v>
      </c>
      <c r="N42">
        <v>1</v>
      </c>
      <c r="O42">
        <v>369</v>
      </c>
      <c r="P42" s="23">
        <v>0.36643500000000001</v>
      </c>
    </row>
    <row r="43" spans="1:16" x14ac:dyDescent="0.25">
      <c r="A43" t="s">
        <v>24</v>
      </c>
      <c r="B43" s="22">
        <v>1419841162</v>
      </c>
      <c r="C43">
        <v>1130</v>
      </c>
      <c r="D43">
        <v>1370</v>
      </c>
      <c r="E43" s="23">
        <v>0.45200000000000001</v>
      </c>
      <c r="F43" s="23">
        <v>0.54800000000000004</v>
      </c>
      <c r="G43">
        <v>86</v>
      </c>
      <c r="H43">
        <v>5</v>
      </c>
      <c r="I43">
        <v>1101</v>
      </c>
      <c r="J43" s="27">
        <v>0.97433599999999998</v>
      </c>
      <c r="K43">
        <v>23</v>
      </c>
      <c r="L43">
        <v>27.434782999999999</v>
      </c>
      <c r="M43">
        <v>179</v>
      </c>
      <c r="N43">
        <v>1</v>
      </c>
      <c r="O43">
        <v>631</v>
      </c>
      <c r="P43" s="23">
        <v>0.55840699999999999</v>
      </c>
    </row>
    <row r="44" spans="1:16" x14ac:dyDescent="0.25">
      <c r="A44" t="s">
        <v>24</v>
      </c>
      <c r="B44" s="22">
        <v>47759760</v>
      </c>
      <c r="C44">
        <v>1073</v>
      </c>
      <c r="D44">
        <v>1427</v>
      </c>
      <c r="E44" s="23">
        <v>0.42920000000000003</v>
      </c>
      <c r="F44" s="23">
        <v>0.57079999999999997</v>
      </c>
      <c r="G44">
        <v>69</v>
      </c>
      <c r="H44">
        <v>12</v>
      </c>
      <c r="I44">
        <v>1046</v>
      </c>
      <c r="J44" s="27">
        <v>0.97483699999999995</v>
      </c>
      <c r="K44">
        <v>26</v>
      </c>
      <c r="L44">
        <v>20.230768999999999</v>
      </c>
      <c r="M44">
        <v>105</v>
      </c>
      <c r="N44">
        <v>1</v>
      </c>
      <c r="O44">
        <v>526</v>
      </c>
      <c r="P44" s="23">
        <v>0.49021399999999998</v>
      </c>
    </row>
    <row r="45" spans="1:16" x14ac:dyDescent="0.25">
      <c r="A45" t="s">
        <v>24</v>
      </c>
      <c r="B45" s="22">
        <v>649454423</v>
      </c>
      <c r="C45">
        <v>975</v>
      </c>
      <c r="D45">
        <v>1525</v>
      </c>
      <c r="E45" s="23">
        <v>0.39</v>
      </c>
      <c r="F45" s="23">
        <v>0.61</v>
      </c>
      <c r="G45">
        <v>79</v>
      </c>
      <c r="H45">
        <v>11</v>
      </c>
      <c r="I45">
        <v>509</v>
      </c>
      <c r="J45" s="27">
        <v>0.52205100000000004</v>
      </c>
      <c r="K45">
        <v>32</v>
      </c>
      <c r="L45">
        <v>12.125</v>
      </c>
      <c r="M45">
        <v>59</v>
      </c>
      <c r="N45">
        <v>1</v>
      </c>
      <c r="O45">
        <v>388</v>
      </c>
      <c r="P45" s="23">
        <v>0.397949</v>
      </c>
    </row>
    <row r="46" spans="1:16" x14ac:dyDescent="0.25">
      <c r="A46" t="s">
        <v>24</v>
      </c>
      <c r="B46" s="22">
        <v>1860961592</v>
      </c>
      <c r="C46">
        <v>1060</v>
      </c>
      <c r="D46">
        <v>1440</v>
      </c>
      <c r="E46" s="23">
        <v>0.42399999999999999</v>
      </c>
      <c r="F46" s="23">
        <v>0.57599999999999996</v>
      </c>
      <c r="G46">
        <v>70</v>
      </c>
      <c r="H46">
        <v>9</v>
      </c>
      <c r="I46">
        <v>855</v>
      </c>
      <c r="J46" s="27">
        <v>0.80660399999999999</v>
      </c>
      <c r="K46">
        <v>33</v>
      </c>
      <c r="L46">
        <v>14.636364</v>
      </c>
      <c r="M46">
        <v>76</v>
      </c>
      <c r="N46">
        <v>1</v>
      </c>
      <c r="O46">
        <v>483</v>
      </c>
      <c r="P46" s="23">
        <v>0.45566000000000001</v>
      </c>
    </row>
    <row r="47" spans="1:16" x14ac:dyDescent="0.25">
      <c r="A47" t="s">
        <v>24</v>
      </c>
      <c r="B47" s="22">
        <v>1473045355</v>
      </c>
      <c r="C47">
        <v>1039</v>
      </c>
      <c r="D47">
        <v>1461</v>
      </c>
      <c r="E47" s="23">
        <v>0.41560000000000002</v>
      </c>
      <c r="F47" s="23">
        <v>0.58440000000000003</v>
      </c>
      <c r="G47">
        <v>65</v>
      </c>
      <c r="H47">
        <v>13</v>
      </c>
      <c r="I47">
        <v>818</v>
      </c>
      <c r="J47" s="27">
        <v>0.78729499999999997</v>
      </c>
      <c r="K47">
        <v>33</v>
      </c>
      <c r="L47">
        <v>13.484848</v>
      </c>
      <c r="M47">
        <v>84</v>
      </c>
      <c r="N47">
        <v>1</v>
      </c>
      <c r="O47">
        <v>445</v>
      </c>
      <c r="P47" s="23">
        <v>0.42829600000000001</v>
      </c>
    </row>
    <row r="48" spans="1:16" x14ac:dyDescent="0.25">
      <c r="A48" t="s">
        <v>24</v>
      </c>
      <c r="B48" s="22">
        <v>2103284716</v>
      </c>
      <c r="C48">
        <v>1059</v>
      </c>
      <c r="D48">
        <v>1441</v>
      </c>
      <c r="E48" s="23">
        <v>0.42359999999999998</v>
      </c>
      <c r="F48" s="23">
        <v>0.57640000000000002</v>
      </c>
      <c r="G48">
        <v>85</v>
      </c>
      <c r="H48">
        <v>7</v>
      </c>
      <c r="I48">
        <v>918</v>
      </c>
      <c r="J48" s="27">
        <v>0.86685599999999996</v>
      </c>
      <c r="K48">
        <v>34</v>
      </c>
      <c r="L48">
        <v>14.529412000000001</v>
      </c>
      <c r="M48">
        <v>62</v>
      </c>
      <c r="N48">
        <v>1</v>
      </c>
      <c r="O48">
        <v>494</v>
      </c>
      <c r="P48" s="23">
        <v>0.466478</v>
      </c>
    </row>
    <row r="49" spans="1:16" x14ac:dyDescent="0.25">
      <c r="A49" t="s">
        <v>24</v>
      </c>
      <c r="B49" s="22">
        <v>499219123</v>
      </c>
      <c r="C49">
        <v>982</v>
      </c>
      <c r="D49">
        <v>1518</v>
      </c>
      <c r="E49" s="23">
        <v>0.39279999999999998</v>
      </c>
      <c r="F49" s="23">
        <v>0.60719999999999996</v>
      </c>
      <c r="G49">
        <v>77</v>
      </c>
      <c r="H49">
        <v>9</v>
      </c>
      <c r="I49">
        <v>708</v>
      </c>
      <c r="J49" s="27">
        <v>0.72097800000000001</v>
      </c>
      <c r="K49">
        <v>33</v>
      </c>
      <c r="L49">
        <v>12.757576</v>
      </c>
      <c r="M49">
        <v>64</v>
      </c>
      <c r="N49">
        <v>1</v>
      </c>
      <c r="O49">
        <v>421</v>
      </c>
      <c r="P49" s="23">
        <v>0.42871700000000001</v>
      </c>
    </row>
    <row r="50" spans="1:16" x14ac:dyDescent="0.25">
      <c r="A50" t="s">
        <v>24</v>
      </c>
      <c r="B50" s="22">
        <v>2020224251</v>
      </c>
      <c r="C50">
        <v>1005</v>
      </c>
      <c r="D50">
        <v>1495</v>
      </c>
      <c r="E50" s="23">
        <v>0.40200000000000002</v>
      </c>
      <c r="F50" s="23">
        <v>0.59799999999999998</v>
      </c>
      <c r="G50">
        <v>94</v>
      </c>
      <c r="H50">
        <v>13</v>
      </c>
      <c r="I50">
        <v>784</v>
      </c>
      <c r="J50" s="27">
        <v>0.78010000000000002</v>
      </c>
      <c r="K50">
        <v>24</v>
      </c>
      <c r="L50">
        <v>17.666667</v>
      </c>
      <c r="M50">
        <v>198</v>
      </c>
      <c r="N50">
        <v>1</v>
      </c>
      <c r="O50">
        <v>424</v>
      </c>
      <c r="P50" s="23">
        <v>0.42189100000000002</v>
      </c>
    </row>
    <row r="51" spans="1:16" x14ac:dyDescent="0.25">
      <c r="A51" t="s">
        <v>24</v>
      </c>
      <c r="B51" s="22">
        <v>1427102546</v>
      </c>
      <c r="C51">
        <v>1071</v>
      </c>
      <c r="D51">
        <v>1429</v>
      </c>
      <c r="E51" s="23">
        <v>0.4284</v>
      </c>
      <c r="F51" s="23">
        <v>0.5716</v>
      </c>
      <c r="G51">
        <v>103</v>
      </c>
      <c r="H51">
        <v>8</v>
      </c>
      <c r="I51">
        <v>1051</v>
      </c>
      <c r="J51" s="27">
        <v>0.98132600000000003</v>
      </c>
      <c r="K51">
        <v>26</v>
      </c>
      <c r="L51">
        <v>18.192308000000001</v>
      </c>
      <c r="M51">
        <v>119</v>
      </c>
      <c r="N51">
        <v>1</v>
      </c>
      <c r="O51">
        <v>473</v>
      </c>
      <c r="P51" s="23">
        <v>0.44164300000000001</v>
      </c>
    </row>
    <row r="52" spans="1:16" x14ac:dyDescent="0.25">
      <c r="A52" t="s">
        <v>26</v>
      </c>
      <c r="B52"/>
      <c r="C52">
        <f>SUBTOTAL(101,CA4_wall70_it2_neigh3[floors])</f>
        <v>1042.9000000000001</v>
      </c>
      <c r="D52">
        <f>SUBTOTAL(101,CA4_wall70_it2_neigh3[walls])</f>
        <v>1457.1</v>
      </c>
      <c r="E52" s="24">
        <f>SUBTOTAL(101,CA4_wall70_it2_neigh3[floor_percent])</f>
        <v>0.41716000000000009</v>
      </c>
      <c r="F52" s="24">
        <f>SUBTOTAL(101,CA4_wall70_it2_neigh3[wall_percent])</f>
        <v>0.5828399999999998</v>
      </c>
      <c r="G52">
        <f>SUBTOTAL(101,CA4_wall70_it2_neigh3[longest_shortest_path])</f>
        <v>73.8</v>
      </c>
      <c r="H52">
        <f>SUBTOTAL(101,CA4_wall70_it2_neigh3[component_count])</f>
        <v>9.64</v>
      </c>
      <c r="I52">
        <f>SUBTOTAL(101,CA4_wall70_it2_neigh3[max_component_size])</f>
        <v>843.3</v>
      </c>
      <c r="J52" s="25">
        <f>SUBTOTAL(101,CA4_wall70_it2_neigh3[connectivity_ratio])</f>
        <v>0.80396300000000009</v>
      </c>
      <c r="K52">
        <f>SUBTOTAL(101,CA4_wall70_it2_neigh3[room_count])</f>
        <v>30.96</v>
      </c>
      <c r="L52">
        <f>SUBTOTAL(101,CA4_wall70_it2_neigh3[avg_room_size])</f>
        <v>15.525217679999995</v>
      </c>
      <c r="M52">
        <f>SUBTOTAL(101,CA4_wall70_it2_neigh3[max_room_size])</f>
        <v>93.76</v>
      </c>
      <c r="N52">
        <f>SUBTOTAL(101,CA4_wall70_it2_neigh3[min_room_size])</f>
        <v>1</v>
      </c>
      <c r="O52">
        <f>SUBTOTAL(101,CA4_wall70_it2_neigh3[room_tiles])</f>
        <v>468.06</v>
      </c>
      <c r="P52" s="24">
        <f>SUBTOTAL(101,CA4_wall70_it2_neigh3[room_ratio])</f>
        <v>0.44726933999999985</v>
      </c>
    </row>
    <row r="53" spans="1:16" x14ac:dyDescent="0.25">
      <c r="A53" s="26" t="s">
        <v>31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8D92-7FE4-4385-9AC4-71A0778DFD9D}">
  <dimension ref="A1:P53"/>
  <sheetViews>
    <sheetView topLeftCell="A25" workbookViewId="0">
      <selection activeCell="J25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131822157</v>
      </c>
      <c r="C2">
        <v>55</v>
      </c>
      <c r="D2">
        <v>2445</v>
      </c>
      <c r="E2" s="23">
        <v>2.1999999999999999E-2</v>
      </c>
      <c r="F2" s="23">
        <v>0.97799999999999998</v>
      </c>
      <c r="G2">
        <v>4</v>
      </c>
      <c r="H2">
        <v>28</v>
      </c>
      <c r="I2">
        <v>5</v>
      </c>
      <c r="J2" s="27">
        <v>9.0909000000000004E-2</v>
      </c>
      <c r="K2">
        <v>0</v>
      </c>
      <c r="L2">
        <v>0</v>
      </c>
      <c r="M2">
        <v>0</v>
      </c>
      <c r="N2">
        <v>0</v>
      </c>
      <c r="O2">
        <v>0</v>
      </c>
      <c r="P2" s="23">
        <v>0</v>
      </c>
    </row>
    <row r="3" spans="1:16" x14ac:dyDescent="0.25">
      <c r="A3" t="s">
        <v>24</v>
      </c>
      <c r="B3" s="22">
        <v>1932805386</v>
      </c>
      <c r="C3">
        <v>55</v>
      </c>
      <c r="D3">
        <v>2445</v>
      </c>
      <c r="E3" s="23">
        <v>2.1999999999999999E-2</v>
      </c>
      <c r="F3" s="23">
        <v>0.97799999999999998</v>
      </c>
      <c r="G3">
        <v>5</v>
      </c>
      <c r="H3">
        <v>24</v>
      </c>
      <c r="I3">
        <v>7</v>
      </c>
      <c r="J3" s="27">
        <v>0.127273</v>
      </c>
      <c r="K3">
        <v>0</v>
      </c>
      <c r="L3">
        <v>0</v>
      </c>
      <c r="M3">
        <v>0</v>
      </c>
      <c r="N3">
        <v>0</v>
      </c>
      <c r="O3">
        <v>0</v>
      </c>
      <c r="P3" s="23">
        <v>0</v>
      </c>
    </row>
    <row r="4" spans="1:16" x14ac:dyDescent="0.25">
      <c r="A4" t="s">
        <v>24</v>
      </c>
      <c r="B4" s="22">
        <v>988806873</v>
      </c>
      <c r="C4">
        <v>51</v>
      </c>
      <c r="D4">
        <v>2449</v>
      </c>
      <c r="E4" s="23">
        <v>2.0400000000000001E-2</v>
      </c>
      <c r="F4" s="23">
        <v>0.97960000000000003</v>
      </c>
      <c r="G4">
        <v>3</v>
      </c>
      <c r="H4">
        <v>26</v>
      </c>
      <c r="I4">
        <v>4</v>
      </c>
      <c r="J4" s="27">
        <v>7.8431000000000001E-2</v>
      </c>
      <c r="K4">
        <v>0</v>
      </c>
      <c r="L4">
        <v>0</v>
      </c>
      <c r="M4">
        <v>0</v>
      </c>
      <c r="N4">
        <v>0</v>
      </c>
      <c r="O4">
        <v>0</v>
      </c>
      <c r="P4" s="23">
        <v>0</v>
      </c>
    </row>
    <row r="5" spans="1:16" x14ac:dyDescent="0.25">
      <c r="A5" t="s">
        <v>24</v>
      </c>
      <c r="B5" s="22">
        <v>430337953</v>
      </c>
      <c r="C5">
        <v>78</v>
      </c>
      <c r="D5">
        <v>2422</v>
      </c>
      <c r="E5" s="23">
        <v>3.1199999999999999E-2</v>
      </c>
      <c r="F5" s="23">
        <v>0.96879999999999999</v>
      </c>
      <c r="G5">
        <v>7</v>
      </c>
      <c r="H5">
        <v>33</v>
      </c>
      <c r="I5">
        <v>8</v>
      </c>
      <c r="J5" s="27">
        <v>0.102564</v>
      </c>
      <c r="K5">
        <v>0</v>
      </c>
      <c r="L5">
        <v>0</v>
      </c>
      <c r="M5">
        <v>0</v>
      </c>
      <c r="N5">
        <v>0</v>
      </c>
      <c r="O5">
        <v>0</v>
      </c>
      <c r="P5" s="23">
        <v>0</v>
      </c>
    </row>
    <row r="6" spans="1:16" x14ac:dyDescent="0.25">
      <c r="A6" t="s">
        <v>24</v>
      </c>
      <c r="B6" s="22">
        <v>656605168</v>
      </c>
      <c r="C6">
        <v>70</v>
      </c>
      <c r="D6">
        <v>2430</v>
      </c>
      <c r="E6" s="23">
        <v>2.8000000000000001E-2</v>
      </c>
      <c r="F6" s="23">
        <v>0.97199999999999998</v>
      </c>
      <c r="G6">
        <v>10</v>
      </c>
      <c r="H6">
        <v>26</v>
      </c>
      <c r="I6">
        <v>13</v>
      </c>
      <c r="J6" s="27">
        <v>0.18571399999999999</v>
      </c>
      <c r="K6">
        <v>0</v>
      </c>
      <c r="L6">
        <v>0</v>
      </c>
      <c r="M6">
        <v>0</v>
      </c>
      <c r="N6">
        <v>0</v>
      </c>
      <c r="O6">
        <v>0</v>
      </c>
      <c r="P6" s="23">
        <v>0</v>
      </c>
    </row>
    <row r="7" spans="1:16" x14ac:dyDescent="0.25">
      <c r="A7" t="s">
        <v>24</v>
      </c>
      <c r="B7" s="22">
        <v>29043481</v>
      </c>
      <c r="C7">
        <v>29</v>
      </c>
      <c r="D7">
        <v>2471</v>
      </c>
      <c r="E7" s="23">
        <v>1.1599999999999999E-2</v>
      </c>
      <c r="F7" s="23">
        <v>0.98839999999999995</v>
      </c>
      <c r="G7">
        <v>2</v>
      </c>
      <c r="H7">
        <v>17</v>
      </c>
      <c r="I7">
        <v>3</v>
      </c>
      <c r="J7" s="27">
        <v>0.103448</v>
      </c>
      <c r="K7">
        <v>0</v>
      </c>
      <c r="L7">
        <v>0</v>
      </c>
      <c r="M7">
        <v>0</v>
      </c>
      <c r="N7">
        <v>0</v>
      </c>
      <c r="O7">
        <v>0</v>
      </c>
      <c r="P7" s="23">
        <v>0</v>
      </c>
    </row>
    <row r="8" spans="1:16" x14ac:dyDescent="0.25">
      <c r="A8" t="s">
        <v>24</v>
      </c>
      <c r="B8" s="22">
        <v>1971709334</v>
      </c>
      <c r="C8">
        <v>64</v>
      </c>
      <c r="D8">
        <v>2436</v>
      </c>
      <c r="E8" s="23">
        <v>2.5600000000000001E-2</v>
      </c>
      <c r="F8" s="23">
        <v>0.97440000000000004</v>
      </c>
      <c r="G8">
        <v>5</v>
      </c>
      <c r="H8">
        <v>21</v>
      </c>
      <c r="I8">
        <v>8</v>
      </c>
      <c r="J8" s="27">
        <v>0.125</v>
      </c>
      <c r="K8">
        <v>0</v>
      </c>
      <c r="L8">
        <v>0</v>
      </c>
      <c r="M8">
        <v>0</v>
      </c>
      <c r="N8">
        <v>0</v>
      </c>
      <c r="O8">
        <v>0</v>
      </c>
      <c r="P8" s="23">
        <v>0</v>
      </c>
    </row>
    <row r="9" spans="1:16" x14ac:dyDescent="0.25">
      <c r="A9" t="s">
        <v>24</v>
      </c>
      <c r="B9" s="22">
        <v>1722116339</v>
      </c>
      <c r="C9">
        <v>48</v>
      </c>
      <c r="D9">
        <v>2452</v>
      </c>
      <c r="E9" s="23">
        <v>1.9199999999999998E-2</v>
      </c>
      <c r="F9" s="23">
        <v>0.98080000000000001</v>
      </c>
      <c r="G9">
        <v>3</v>
      </c>
      <c r="H9">
        <v>28</v>
      </c>
      <c r="I9">
        <v>5</v>
      </c>
      <c r="J9" s="27">
        <v>0.104167</v>
      </c>
      <c r="K9">
        <v>0</v>
      </c>
      <c r="L9">
        <v>0</v>
      </c>
      <c r="M9">
        <v>0</v>
      </c>
      <c r="N9">
        <v>0</v>
      </c>
      <c r="O9">
        <v>0</v>
      </c>
      <c r="P9" s="23">
        <v>0</v>
      </c>
    </row>
    <row r="10" spans="1:16" x14ac:dyDescent="0.25">
      <c r="A10" t="s">
        <v>24</v>
      </c>
      <c r="B10" s="22">
        <v>654569982</v>
      </c>
      <c r="C10">
        <v>50</v>
      </c>
      <c r="D10">
        <v>2450</v>
      </c>
      <c r="E10" s="23">
        <v>0.02</v>
      </c>
      <c r="F10" s="23">
        <v>0.98</v>
      </c>
      <c r="G10">
        <v>10</v>
      </c>
      <c r="H10">
        <v>26</v>
      </c>
      <c r="I10">
        <v>14</v>
      </c>
      <c r="J10" s="27">
        <v>0.28000000000000003</v>
      </c>
      <c r="K10">
        <v>0</v>
      </c>
      <c r="L10">
        <v>0</v>
      </c>
      <c r="M10">
        <v>0</v>
      </c>
      <c r="N10">
        <v>0</v>
      </c>
      <c r="O10">
        <v>0</v>
      </c>
      <c r="P10" s="23">
        <v>0</v>
      </c>
    </row>
    <row r="11" spans="1:16" x14ac:dyDescent="0.25">
      <c r="A11" t="s">
        <v>24</v>
      </c>
      <c r="B11" s="22">
        <v>867145433</v>
      </c>
      <c r="C11">
        <v>41</v>
      </c>
      <c r="D11">
        <v>2459</v>
      </c>
      <c r="E11" s="23">
        <v>1.6400000000000001E-2</v>
      </c>
      <c r="F11" s="23">
        <v>0.98360000000000003</v>
      </c>
      <c r="G11">
        <v>5</v>
      </c>
      <c r="H11">
        <v>20</v>
      </c>
      <c r="I11">
        <v>7</v>
      </c>
      <c r="J11" s="27">
        <v>0.17073199999999999</v>
      </c>
      <c r="K11">
        <v>0</v>
      </c>
      <c r="L11">
        <v>0</v>
      </c>
      <c r="M11">
        <v>0</v>
      </c>
      <c r="N11">
        <v>0</v>
      </c>
      <c r="O11">
        <v>0</v>
      </c>
      <c r="P11" s="23">
        <v>0</v>
      </c>
    </row>
    <row r="12" spans="1:16" x14ac:dyDescent="0.25">
      <c r="A12" t="s">
        <v>24</v>
      </c>
      <c r="B12" s="22">
        <v>1503785986</v>
      </c>
      <c r="C12">
        <v>57</v>
      </c>
      <c r="D12">
        <v>2443</v>
      </c>
      <c r="E12" s="23">
        <v>2.2800000000000001E-2</v>
      </c>
      <c r="F12" s="23">
        <v>0.97719999999999996</v>
      </c>
      <c r="G12">
        <v>5</v>
      </c>
      <c r="H12">
        <v>21</v>
      </c>
      <c r="I12">
        <v>9</v>
      </c>
      <c r="J12" s="27">
        <v>0.15789500000000001</v>
      </c>
      <c r="K12">
        <v>0</v>
      </c>
      <c r="L12">
        <v>0</v>
      </c>
      <c r="M12">
        <v>0</v>
      </c>
      <c r="N12">
        <v>0</v>
      </c>
      <c r="O12">
        <v>0</v>
      </c>
      <c r="P12" s="23">
        <v>0</v>
      </c>
    </row>
    <row r="13" spans="1:16" x14ac:dyDescent="0.25">
      <c r="A13" t="s">
        <v>24</v>
      </c>
      <c r="B13" s="22">
        <v>77452245</v>
      </c>
      <c r="C13">
        <v>39</v>
      </c>
      <c r="D13">
        <v>2461</v>
      </c>
      <c r="E13" s="23">
        <v>1.5599999999999999E-2</v>
      </c>
      <c r="F13" s="23">
        <v>0.98440000000000005</v>
      </c>
      <c r="G13">
        <v>2</v>
      </c>
      <c r="H13">
        <v>24</v>
      </c>
      <c r="I13">
        <v>3</v>
      </c>
      <c r="J13" s="27">
        <v>7.6923000000000005E-2</v>
      </c>
      <c r="K13">
        <v>0</v>
      </c>
      <c r="L13">
        <v>0</v>
      </c>
      <c r="M13">
        <v>0</v>
      </c>
      <c r="N13">
        <v>0</v>
      </c>
      <c r="O13">
        <v>0</v>
      </c>
      <c r="P13" s="23">
        <v>0</v>
      </c>
    </row>
    <row r="14" spans="1:16" x14ac:dyDescent="0.25">
      <c r="A14" t="s">
        <v>24</v>
      </c>
      <c r="B14" s="22">
        <v>1722300983</v>
      </c>
      <c r="C14">
        <v>55</v>
      </c>
      <c r="D14">
        <v>2445</v>
      </c>
      <c r="E14" s="23">
        <v>2.1999999999999999E-2</v>
      </c>
      <c r="F14" s="23">
        <v>0.97799999999999998</v>
      </c>
      <c r="G14">
        <v>5</v>
      </c>
      <c r="H14">
        <v>29</v>
      </c>
      <c r="I14">
        <v>8</v>
      </c>
      <c r="J14" s="27">
        <v>0.145455</v>
      </c>
      <c r="K14">
        <v>0</v>
      </c>
      <c r="L14">
        <v>0</v>
      </c>
      <c r="M14">
        <v>0</v>
      </c>
      <c r="N14">
        <v>0</v>
      </c>
      <c r="O14">
        <v>0</v>
      </c>
      <c r="P14" s="23">
        <v>0</v>
      </c>
    </row>
    <row r="15" spans="1:16" x14ac:dyDescent="0.25">
      <c r="A15" t="s">
        <v>24</v>
      </c>
      <c r="B15" s="22">
        <v>318353511</v>
      </c>
      <c r="C15">
        <v>33</v>
      </c>
      <c r="D15">
        <v>2467</v>
      </c>
      <c r="E15" s="23">
        <v>1.32E-2</v>
      </c>
      <c r="F15" s="23">
        <v>0.98680000000000001</v>
      </c>
      <c r="G15">
        <v>2</v>
      </c>
      <c r="H15">
        <v>20</v>
      </c>
      <c r="I15">
        <v>3</v>
      </c>
      <c r="J15" s="27">
        <v>9.0909000000000004E-2</v>
      </c>
      <c r="K15">
        <v>0</v>
      </c>
      <c r="L15">
        <v>0</v>
      </c>
      <c r="M15">
        <v>0</v>
      </c>
      <c r="N15">
        <v>0</v>
      </c>
      <c r="O15">
        <v>0</v>
      </c>
      <c r="P15" s="23">
        <v>0</v>
      </c>
    </row>
    <row r="16" spans="1:16" x14ac:dyDescent="0.25">
      <c r="A16" t="s">
        <v>24</v>
      </c>
      <c r="B16" s="22">
        <v>262176201</v>
      </c>
      <c r="C16">
        <v>47</v>
      </c>
      <c r="D16">
        <v>2453</v>
      </c>
      <c r="E16" s="23">
        <v>1.8800000000000001E-2</v>
      </c>
      <c r="F16" s="23">
        <v>0.98119999999999996</v>
      </c>
      <c r="G16">
        <v>5</v>
      </c>
      <c r="H16">
        <v>22</v>
      </c>
      <c r="I16">
        <v>7</v>
      </c>
      <c r="J16" s="27">
        <v>0.14893600000000001</v>
      </c>
      <c r="K16">
        <v>0</v>
      </c>
      <c r="L16">
        <v>0</v>
      </c>
      <c r="M16">
        <v>0</v>
      </c>
      <c r="N16">
        <v>0</v>
      </c>
      <c r="O16">
        <v>0</v>
      </c>
      <c r="P16" s="23">
        <v>0</v>
      </c>
    </row>
    <row r="17" spans="1:16" x14ac:dyDescent="0.25">
      <c r="A17" t="s">
        <v>24</v>
      </c>
      <c r="B17" s="22">
        <v>2029925047</v>
      </c>
      <c r="C17">
        <v>54</v>
      </c>
      <c r="D17">
        <v>2446</v>
      </c>
      <c r="E17" s="23">
        <v>2.1600000000000001E-2</v>
      </c>
      <c r="F17" s="23">
        <v>0.97840000000000005</v>
      </c>
      <c r="G17">
        <v>4</v>
      </c>
      <c r="H17">
        <v>31</v>
      </c>
      <c r="I17">
        <v>7</v>
      </c>
      <c r="J17" s="27">
        <v>0.12963</v>
      </c>
      <c r="K17">
        <v>0</v>
      </c>
      <c r="L17">
        <v>0</v>
      </c>
      <c r="M17">
        <v>0</v>
      </c>
      <c r="N17">
        <v>0</v>
      </c>
      <c r="O17">
        <v>0</v>
      </c>
      <c r="P17" s="23">
        <v>0</v>
      </c>
    </row>
    <row r="18" spans="1:16" x14ac:dyDescent="0.25">
      <c r="A18" t="s">
        <v>24</v>
      </c>
      <c r="B18" s="22">
        <v>2073955199</v>
      </c>
      <c r="C18">
        <v>50</v>
      </c>
      <c r="D18">
        <v>2450</v>
      </c>
      <c r="E18" s="23">
        <v>0.02</v>
      </c>
      <c r="F18" s="23">
        <v>0.98</v>
      </c>
      <c r="G18">
        <v>7</v>
      </c>
      <c r="H18">
        <v>19</v>
      </c>
      <c r="I18">
        <v>13</v>
      </c>
      <c r="J18" s="27">
        <v>0.26</v>
      </c>
      <c r="K18">
        <v>1</v>
      </c>
      <c r="L18">
        <v>1</v>
      </c>
      <c r="M18">
        <v>1</v>
      </c>
      <c r="N18">
        <v>1</v>
      </c>
      <c r="O18">
        <v>1</v>
      </c>
      <c r="P18" s="23">
        <v>0.02</v>
      </c>
    </row>
    <row r="19" spans="1:16" x14ac:dyDescent="0.25">
      <c r="A19" t="s">
        <v>24</v>
      </c>
      <c r="B19" s="22">
        <v>358109722</v>
      </c>
      <c r="C19">
        <v>53</v>
      </c>
      <c r="D19">
        <v>2447</v>
      </c>
      <c r="E19" s="23">
        <v>2.12E-2</v>
      </c>
      <c r="F19" s="23">
        <v>0.9788</v>
      </c>
      <c r="G19">
        <v>3</v>
      </c>
      <c r="H19">
        <v>32</v>
      </c>
      <c r="I19">
        <v>5</v>
      </c>
      <c r="J19" s="27">
        <v>9.4339999999999993E-2</v>
      </c>
      <c r="K19">
        <v>0</v>
      </c>
      <c r="L19">
        <v>0</v>
      </c>
      <c r="M19">
        <v>0</v>
      </c>
      <c r="N19">
        <v>0</v>
      </c>
      <c r="O19">
        <v>0</v>
      </c>
      <c r="P19" s="23">
        <v>0</v>
      </c>
    </row>
    <row r="20" spans="1:16" x14ac:dyDescent="0.25">
      <c r="A20" t="s">
        <v>24</v>
      </c>
      <c r="B20" s="22">
        <v>1101116974</v>
      </c>
      <c r="C20">
        <v>54</v>
      </c>
      <c r="D20">
        <v>2446</v>
      </c>
      <c r="E20" s="23">
        <v>2.1600000000000001E-2</v>
      </c>
      <c r="F20" s="23">
        <v>0.97840000000000005</v>
      </c>
      <c r="G20">
        <v>3</v>
      </c>
      <c r="H20">
        <v>28</v>
      </c>
      <c r="I20">
        <v>8</v>
      </c>
      <c r="J20" s="27">
        <v>0.148148</v>
      </c>
      <c r="K20">
        <v>0</v>
      </c>
      <c r="L20">
        <v>0</v>
      </c>
      <c r="M20">
        <v>0</v>
      </c>
      <c r="N20">
        <v>0</v>
      </c>
      <c r="O20">
        <v>0</v>
      </c>
      <c r="P20" s="23">
        <v>0</v>
      </c>
    </row>
    <row r="21" spans="1:16" x14ac:dyDescent="0.25">
      <c r="A21" t="s">
        <v>24</v>
      </c>
      <c r="B21" s="22">
        <v>530983296</v>
      </c>
      <c r="C21">
        <v>47</v>
      </c>
      <c r="D21">
        <v>2453</v>
      </c>
      <c r="E21" s="23">
        <v>1.8800000000000001E-2</v>
      </c>
      <c r="F21" s="23">
        <v>0.98119999999999996</v>
      </c>
      <c r="G21">
        <v>4</v>
      </c>
      <c r="H21">
        <v>25</v>
      </c>
      <c r="I21">
        <v>5</v>
      </c>
      <c r="J21" s="27">
        <v>0.10638300000000001</v>
      </c>
      <c r="K21">
        <v>0</v>
      </c>
      <c r="L21">
        <v>0</v>
      </c>
      <c r="M21">
        <v>0</v>
      </c>
      <c r="N21">
        <v>0</v>
      </c>
      <c r="O21">
        <v>0</v>
      </c>
      <c r="P21" s="23">
        <v>0</v>
      </c>
    </row>
    <row r="22" spans="1:16" x14ac:dyDescent="0.25">
      <c r="A22" t="s">
        <v>24</v>
      </c>
      <c r="B22" s="22">
        <v>633329227</v>
      </c>
      <c r="C22">
        <v>41</v>
      </c>
      <c r="D22">
        <v>2459</v>
      </c>
      <c r="E22" s="23">
        <v>1.6400000000000001E-2</v>
      </c>
      <c r="F22" s="23">
        <v>0.98360000000000003</v>
      </c>
      <c r="G22">
        <v>3</v>
      </c>
      <c r="H22">
        <v>21</v>
      </c>
      <c r="I22">
        <v>5</v>
      </c>
      <c r="J22" s="27">
        <v>0.121951</v>
      </c>
      <c r="K22">
        <v>0</v>
      </c>
      <c r="L22">
        <v>0</v>
      </c>
      <c r="M22">
        <v>0</v>
      </c>
      <c r="N22">
        <v>0</v>
      </c>
      <c r="O22">
        <v>0</v>
      </c>
      <c r="P22" s="23">
        <v>0</v>
      </c>
    </row>
    <row r="23" spans="1:16" x14ac:dyDescent="0.25">
      <c r="A23" t="s">
        <v>24</v>
      </c>
      <c r="B23" s="22">
        <v>686086209</v>
      </c>
      <c r="C23">
        <v>62</v>
      </c>
      <c r="D23">
        <v>2438</v>
      </c>
      <c r="E23" s="23">
        <v>2.4799999999999999E-2</v>
      </c>
      <c r="F23" s="23">
        <v>0.97519999999999996</v>
      </c>
      <c r="G23">
        <v>6</v>
      </c>
      <c r="H23">
        <v>29</v>
      </c>
      <c r="I23">
        <v>9</v>
      </c>
      <c r="J23" s="27">
        <v>0.14516100000000001</v>
      </c>
      <c r="K23">
        <v>0</v>
      </c>
      <c r="L23">
        <v>0</v>
      </c>
      <c r="M23">
        <v>0</v>
      </c>
      <c r="N23">
        <v>0</v>
      </c>
      <c r="O23">
        <v>0</v>
      </c>
      <c r="P23" s="23">
        <v>0</v>
      </c>
    </row>
    <row r="24" spans="1:16" x14ac:dyDescent="0.25">
      <c r="A24" t="s">
        <v>24</v>
      </c>
      <c r="B24" s="22">
        <v>536886571</v>
      </c>
      <c r="C24">
        <v>52</v>
      </c>
      <c r="D24">
        <v>2448</v>
      </c>
      <c r="E24" s="23">
        <v>2.0799999999999999E-2</v>
      </c>
      <c r="F24" s="23">
        <v>0.97919999999999996</v>
      </c>
      <c r="G24">
        <v>4</v>
      </c>
      <c r="H24">
        <v>27</v>
      </c>
      <c r="I24">
        <v>6</v>
      </c>
      <c r="J24" s="27">
        <v>0.115385</v>
      </c>
      <c r="K24">
        <v>0</v>
      </c>
      <c r="L24">
        <v>0</v>
      </c>
      <c r="M24">
        <v>0</v>
      </c>
      <c r="N24">
        <v>0</v>
      </c>
      <c r="O24">
        <v>0</v>
      </c>
      <c r="P24" s="23">
        <v>0</v>
      </c>
    </row>
    <row r="25" spans="1:16" x14ac:dyDescent="0.25">
      <c r="A25" t="s">
        <v>24</v>
      </c>
      <c r="B25" s="22">
        <v>508484346</v>
      </c>
      <c r="C25">
        <v>68</v>
      </c>
      <c r="D25">
        <v>2432</v>
      </c>
      <c r="E25" s="23">
        <v>2.7199999999999998E-2</v>
      </c>
      <c r="F25" s="23">
        <v>0.9728</v>
      </c>
      <c r="G25">
        <v>5</v>
      </c>
      <c r="H25">
        <v>31</v>
      </c>
      <c r="I25">
        <v>7</v>
      </c>
      <c r="J25" s="27">
        <v>0.102941</v>
      </c>
      <c r="K25">
        <v>0</v>
      </c>
      <c r="L25">
        <v>0</v>
      </c>
      <c r="M25">
        <v>0</v>
      </c>
      <c r="N25">
        <v>0</v>
      </c>
      <c r="O25">
        <v>0</v>
      </c>
      <c r="P25" s="23">
        <v>0</v>
      </c>
    </row>
    <row r="26" spans="1:16" x14ac:dyDescent="0.25">
      <c r="A26" t="s">
        <v>24</v>
      </c>
      <c r="B26" s="22">
        <v>586981109</v>
      </c>
      <c r="C26">
        <v>53</v>
      </c>
      <c r="D26">
        <v>2447</v>
      </c>
      <c r="E26" s="23">
        <v>2.12E-2</v>
      </c>
      <c r="F26" s="23">
        <v>0.9788</v>
      </c>
      <c r="G26">
        <v>7</v>
      </c>
      <c r="H26">
        <v>23</v>
      </c>
      <c r="I26">
        <v>8</v>
      </c>
      <c r="J26" s="27">
        <v>0.15094299999999999</v>
      </c>
      <c r="K26">
        <v>0</v>
      </c>
      <c r="L26">
        <v>0</v>
      </c>
      <c r="M26">
        <v>0</v>
      </c>
      <c r="N26">
        <v>0</v>
      </c>
      <c r="O26">
        <v>0</v>
      </c>
      <c r="P26" s="23">
        <v>0</v>
      </c>
    </row>
    <row r="27" spans="1:16" x14ac:dyDescent="0.25">
      <c r="A27" t="s">
        <v>24</v>
      </c>
      <c r="B27" s="22">
        <v>1085428118</v>
      </c>
      <c r="C27">
        <v>34</v>
      </c>
      <c r="D27">
        <v>2466</v>
      </c>
      <c r="E27" s="23">
        <v>1.3599999999999999E-2</v>
      </c>
      <c r="F27" s="23">
        <v>0.98640000000000005</v>
      </c>
      <c r="G27">
        <v>5</v>
      </c>
      <c r="H27">
        <v>15</v>
      </c>
      <c r="I27">
        <v>10</v>
      </c>
      <c r="J27" s="27">
        <v>0.29411799999999999</v>
      </c>
      <c r="K27">
        <v>0</v>
      </c>
      <c r="L27">
        <v>0</v>
      </c>
      <c r="M27">
        <v>0</v>
      </c>
      <c r="N27">
        <v>0</v>
      </c>
      <c r="O27">
        <v>0</v>
      </c>
      <c r="P27" s="23">
        <v>0</v>
      </c>
    </row>
    <row r="28" spans="1:16" x14ac:dyDescent="0.25">
      <c r="A28" t="s">
        <v>24</v>
      </c>
      <c r="B28" s="22">
        <v>1190948721</v>
      </c>
      <c r="C28">
        <v>59</v>
      </c>
      <c r="D28">
        <v>2441</v>
      </c>
      <c r="E28" s="23">
        <v>2.3599999999999999E-2</v>
      </c>
      <c r="F28" s="23">
        <v>0.97640000000000005</v>
      </c>
      <c r="G28">
        <v>4</v>
      </c>
      <c r="H28">
        <v>29</v>
      </c>
      <c r="I28">
        <v>5</v>
      </c>
      <c r="J28" s="27">
        <v>8.4746000000000002E-2</v>
      </c>
      <c r="K28">
        <v>0</v>
      </c>
      <c r="L28">
        <v>0</v>
      </c>
      <c r="M28">
        <v>0</v>
      </c>
      <c r="N28">
        <v>0</v>
      </c>
      <c r="O28">
        <v>0</v>
      </c>
      <c r="P28" s="23">
        <v>0</v>
      </c>
    </row>
    <row r="29" spans="1:16" x14ac:dyDescent="0.25">
      <c r="A29" t="s">
        <v>24</v>
      </c>
      <c r="B29" s="22">
        <v>15175600</v>
      </c>
      <c r="C29">
        <v>49</v>
      </c>
      <c r="D29">
        <v>2451</v>
      </c>
      <c r="E29" s="23">
        <v>1.9599999999999999E-2</v>
      </c>
      <c r="F29" s="23">
        <v>0.98040000000000005</v>
      </c>
      <c r="G29">
        <v>5</v>
      </c>
      <c r="H29">
        <v>19</v>
      </c>
      <c r="I29">
        <v>7</v>
      </c>
      <c r="J29" s="27">
        <v>0.14285700000000001</v>
      </c>
      <c r="K29">
        <v>0</v>
      </c>
      <c r="L29">
        <v>0</v>
      </c>
      <c r="M29">
        <v>0</v>
      </c>
      <c r="N29">
        <v>0</v>
      </c>
      <c r="O29">
        <v>0</v>
      </c>
      <c r="P29" s="23">
        <v>0</v>
      </c>
    </row>
    <row r="30" spans="1:16" x14ac:dyDescent="0.25">
      <c r="A30" t="s">
        <v>24</v>
      </c>
      <c r="B30" s="22">
        <v>501686821</v>
      </c>
      <c r="C30">
        <v>40</v>
      </c>
      <c r="D30">
        <v>2460</v>
      </c>
      <c r="E30" s="23">
        <v>1.6E-2</v>
      </c>
      <c r="F30" s="23">
        <v>0.98399999999999999</v>
      </c>
      <c r="G30">
        <v>3</v>
      </c>
      <c r="H30">
        <v>23</v>
      </c>
      <c r="I30">
        <v>4</v>
      </c>
      <c r="J30" s="27">
        <v>0.1</v>
      </c>
      <c r="K30">
        <v>0</v>
      </c>
      <c r="L30">
        <v>0</v>
      </c>
      <c r="M30">
        <v>0</v>
      </c>
      <c r="N30">
        <v>0</v>
      </c>
      <c r="O30">
        <v>0</v>
      </c>
      <c r="P30" s="23">
        <v>0</v>
      </c>
    </row>
    <row r="31" spans="1:16" x14ac:dyDescent="0.25">
      <c r="A31" t="s">
        <v>24</v>
      </c>
      <c r="B31" s="22">
        <v>1136896434</v>
      </c>
      <c r="C31">
        <v>32</v>
      </c>
      <c r="D31">
        <v>2468</v>
      </c>
      <c r="E31" s="23">
        <v>1.2800000000000001E-2</v>
      </c>
      <c r="F31" s="23">
        <v>0.98719999999999997</v>
      </c>
      <c r="G31">
        <v>4</v>
      </c>
      <c r="H31">
        <v>21</v>
      </c>
      <c r="I31">
        <v>5</v>
      </c>
      <c r="J31" s="27">
        <v>0.15625</v>
      </c>
      <c r="K31">
        <v>0</v>
      </c>
      <c r="L31">
        <v>0</v>
      </c>
      <c r="M31">
        <v>0</v>
      </c>
      <c r="N31">
        <v>0</v>
      </c>
      <c r="O31">
        <v>0</v>
      </c>
      <c r="P31" s="23">
        <v>0</v>
      </c>
    </row>
    <row r="32" spans="1:16" x14ac:dyDescent="0.25">
      <c r="A32" t="s">
        <v>24</v>
      </c>
      <c r="B32" s="22">
        <v>1244508369</v>
      </c>
      <c r="C32">
        <v>59</v>
      </c>
      <c r="D32">
        <v>2441</v>
      </c>
      <c r="E32" s="23">
        <v>2.3599999999999999E-2</v>
      </c>
      <c r="F32" s="23">
        <v>0.97640000000000005</v>
      </c>
      <c r="G32">
        <v>6</v>
      </c>
      <c r="H32">
        <v>25</v>
      </c>
      <c r="I32">
        <v>9</v>
      </c>
      <c r="J32" s="27">
        <v>0.15254200000000001</v>
      </c>
      <c r="K32">
        <v>0</v>
      </c>
      <c r="L32">
        <v>0</v>
      </c>
      <c r="M32">
        <v>0</v>
      </c>
      <c r="N32">
        <v>0</v>
      </c>
      <c r="O32">
        <v>0</v>
      </c>
      <c r="P32" s="23">
        <v>0</v>
      </c>
    </row>
    <row r="33" spans="1:16" x14ac:dyDescent="0.25">
      <c r="A33" t="s">
        <v>24</v>
      </c>
      <c r="B33" s="22">
        <v>1148572142</v>
      </c>
      <c r="C33">
        <v>71</v>
      </c>
      <c r="D33">
        <v>2429</v>
      </c>
      <c r="E33" s="23">
        <v>2.8400000000000002E-2</v>
      </c>
      <c r="F33" s="23">
        <v>0.97160000000000002</v>
      </c>
      <c r="G33">
        <v>8</v>
      </c>
      <c r="H33">
        <v>28</v>
      </c>
      <c r="I33">
        <v>12</v>
      </c>
      <c r="J33" s="27">
        <v>0.169014</v>
      </c>
      <c r="K33">
        <v>0</v>
      </c>
      <c r="L33">
        <v>0</v>
      </c>
      <c r="M33">
        <v>0</v>
      </c>
      <c r="N33">
        <v>0</v>
      </c>
      <c r="O33">
        <v>0</v>
      </c>
      <c r="P33" s="23">
        <v>0</v>
      </c>
    </row>
    <row r="34" spans="1:16" x14ac:dyDescent="0.25">
      <c r="A34" t="s">
        <v>24</v>
      </c>
      <c r="B34" s="22">
        <v>1416845910</v>
      </c>
      <c r="C34">
        <v>44</v>
      </c>
      <c r="D34">
        <v>2456</v>
      </c>
      <c r="E34" s="23">
        <v>1.7600000000000001E-2</v>
      </c>
      <c r="F34" s="23">
        <v>0.98240000000000005</v>
      </c>
      <c r="G34">
        <v>5</v>
      </c>
      <c r="H34">
        <v>22</v>
      </c>
      <c r="I34">
        <v>8</v>
      </c>
      <c r="J34" s="27">
        <v>0.18181800000000001</v>
      </c>
      <c r="K34">
        <v>0</v>
      </c>
      <c r="L34">
        <v>0</v>
      </c>
      <c r="M34">
        <v>0</v>
      </c>
      <c r="N34">
        <v>0</v>
      </c>
      <c r="O34">
        <v>0</v>
      </c>
      <c r="P34" s="23">
        <v>0</v>
      </c>
    </row>
    <row r="35" spans="1:16" x14ac:dyDescent="0.25">
      <c r="A35" t="s">
        <v>24</v>
      </c>
      <c r="B35" s="22">
        <v>1367483578</v>
      </c>
      <c r="C35">
        <v>62</v>
      </c>
      <c r="D35">
        <v>2438</v>
      </c>
      <c r="E35" s="23">
        <v>2.4799999999999999E-2</v>
      </c>
      <c r="F35" s="23">
        <v>0.97519999999999996</v>
      </c>
      <c r="G35">
        <v>7</v>
      </c>
      <c r="H35">
        <v>28</v>
      </c>
      <c r="I35">
        <v>11</v>
      </c>
      <c r="J35" s="27">
        <v>0.17741899999999999</v>
      </c>
      <c r="K35">
        <v>0</v>
      </c>
      <c r="L35">
        <v>0</v>
      </c>
      <c r="M35">
        <v>0</v>
      </c>
      <c r="N35">
        <v>0</v>
      </c>
      <c r="O35">
        <v>0</v>
      </c>
      <c r="P35" s="23">
        <v>0</v>
      </c>
    </row>
    <row r="36" spans="1:16" x14ac:dyDescent="0.25">
      <c r="A36" t="s">
        <v>24</v>
      </c>
      <c r="B36" s="22">
        <v>1140204666</v>
      </c>
      <c r="C36">
        <v>51</v>
      </c>
      <c r="D36">
        <v>2449</v>
      </c>
      <c r="E36" s="23">
        <v>2.0400000000000001E-2</v>
      </c>
      <c r="F36" s="23">
        <v>0.97960000000000003</v>
      </c>
      <c r="G36">
        <v>4</v>
      </c>
      <c r="H36">
        <v>20</v>
      </c>
      <c r="I36">
        <v>8</v>
      </c>
      <c r="J36" s="27">
        <v>0.156863</v>
      </c>
      <c r="K36">
        <v>0</v>
      </c>
      <c r="L36">
        <v>0</v>
      </c>
      <c r="M36">
        <v>0</v>
      </c>
      <c r="N36">
        <v>0</v>
      </c>
      <c r="O36">
        <v>0</v>
      </c>
      <c r="P36" s="23">
        <v>0</v>
      </c>
    </row>
    <row r="37" spans="1:16" x14ac:dyDescent="0.25">
      <c r="A37" t="s">
        <v>24</v>
      </c>
      <c r="B37" s="22">
        <v>152682704</v>
      </c>
      <c r="C37">
        <v>73</v>
      </c>
      <c r="D37">
        <v>2427</v>
      </c>
      <c r="E37" s="23">
        <v>2.92E-2</v>
      </c>
      <c r="F37" s="23">
        <v>0.9708</v>
      </c>
      <c r="G37">
        <v>5</v>
      </c>
      <c r="H37">
        <v>31</v>
      </c>
      <c r="I37">
        <v>8</v>
      </c>
      <c r="J37" s="27">
        <v>0.10958900000000001</v>
      </c>
      <c r="K37">
        <v>0</v>
      </c>
      <c r="L37">
        <v>0</v>
      </c>
      <c r="M37">
        <v>0</v>
      </c>
      <c r="N37">
        <v>0</v>
      </c>
      <c r="O37">
        <v>0</v>
      </c>
      <c r="P37" s="23">
        <v>0</v>
      </c>
    </row>
    <row r="38" spans="1:16" x14ac:dyDescent="0.25">
      <c r="A38" t="s">
        <v>24</v>
      </c>
      <c r="B38" s="22">
        <v>2100792277</v>
      </c>
      <c r="C38">
        <v>66</v>
      </c>
      <c r="D38">
        <v>2434</v>
      </c>
      <c r="E38" s="23">
        <v>2.64E-2</v>
      </c>
      <c r="F38" s="23">
        <v>0.97360000000000002</v>
      </c>
      <c r="G38">
        <v>5</v>
      </c>
      <c r="H38">
        <v>28</v>
      </c>
      <c r="I38">
        <v>8</v>
      </c>
      <c r="J38" s="27">
        <v>0.121212</v>
      </c>
      <c r="K38">
        <v>0</v>
      </c>
      <c r="L38">
        <v>0</v>
      </c>
      <c r="M38">
        <v>0</v>
      </c>
      <c r="N38">
        <v>0</v>
      </c>
      <c r="O38">
        <v>0</v>
      </c>
      <c r="P38" s="23">
        <v>0</v>
      </c>
    </row>
    <row r="39" spans="1:16" x14ac:dyDescent="0.25">
      <c r="A39" t="s">
        <v>24</v>
      </c>
      <c r="B39" s="22">
        <v>1587925898</v>
      </c>
      <c r="C39">
        <v>48</v>
      </c>
      <c r="D39">
        <v>2452</v>
      </c>
      <c r="E39" s="23">
        <v>1.9199999999999998E-2</v>
      </c>
      <c r="F39" s="23">
        <v>0.98080000000000001</v>
      </c>
      <c r="G39">
        <v>3</v>
      </c>
      <c r="H39">
        <v>26</v>
      </c>
      <c r="I39">
        <v>4</v>
      </c>
      <c r="J39" s="27">
        <v>8.3333000000000004E-2</v>
      </c>
      <c r="K39">
        <v>0</v>
      </c>
      <c r="L39">
        <v>0</v>
      </c>
      <c r="M39">
        <v>0</v>
      </c>
      <c r="N39">
        <v>0</v>
      </c>
      <c r="O39">
        <v>0</v>
      </c>
      <c r="P39" s="23">
        <v>0</v>
      </c>
    </row>
    <row r="40" spans="1:16" x14ac:dyDescent="0.25">
      <c r="A40" t="s">
        <v>24</v>
      </c>
      <c r="B40" s="22">
        <v>1197185275</v>
      </c>
      <c r="C40">
        <v>41</v>
      </c>
      <c r="D40">
        <v>2459</v>
      </c>
      <c r="E40" s="23">
        <v>1.6400000000000001E-2</v>
      </c>
      <c r="F40" s="23">
        <v>0.98360000000000003</v>
      </c>
      <c r="G40">
        <v>4</v>
      </c>
      <c r="H40">
        <v>19</v>
      </c>
      <c r="I40">
        <v>8</v>
      </c>
      <c r="J40" s="27">
        <v>0.19512199999999999</v>
      </c>
      <c r="K40">
        <v>1</v>
      </c>
      <c r="L40">
        <v>3</v>
      </c>
      <c r="M40">
        <v>3</v>
      </c>
      <c r="N40">
        <v>3</v>
      </c>
      <c r="O40">
        <v>3</v>
      </c>
      <c r="P40" s="23">
        <v>7.3171E-2</v>
      </c>
    </row>
    <row r="41" spans="1:16" x14ac:dyDescent="0.25">
      <c r="A41" t="s">
        <v>24</v>
      </c>
      <c r="B41" s="22">
        <v>1707452143</v>
      </c>
      <c r="C41">
        <v>27</v>
      </c>
      <c r="D41">
        <v>2473</v>
      </c>
      <c r="E41" s="23">
        <v>1.0800000000000001E-2</v>
      </c>
      <c r="F41" s="23">
        <v>0.98919999999999997</v>
      </c>
      <c r="G41">
        <v>2</v>
      </c>
      <c r="H41">
        <v>16</v>
      </c>
      <c r="I41">
        <v>3</v>
      </c>
      <c r="J41" s="27">
        <v>0.111111</v>
      </c>
      <c r="K41">
        <v>0</v>
      </c>
      <c r="L41">
        <v>0</v>
      </c>
      <c r="M41">
        <v>0</v>
      </c>
      <c r="N41">
        <v>0</v>
      </c>
      <c r="O41">
        <v>0</v>
      </c>
      <c r="P41" s="23">
        <v>0</v>
      </c>
    </row>
    <row r="42" spans="1:16" x14ac:dyDescent="0.25">
      <c r="A42" t="s">
        <v>24</v>
      </c>
      <c r="B42" s="22">
        <v>940823804</v>
      </c>
      <c r="C42">
        <v>63</v>
      </c>
      <c r="D42">
        <v>2437</v>
      </c>
      <c r="E42" s="23">
        <v>2.52E-2</v>
      </c>
      <c r="F42" s="23">
        <v>0.9748</v>
      </c>
      <c r="G42">
        <v>5</v>
      </c>
      <c r="H42">
        <v>22</v>
      </c>
      <c r="I42">
        <v>7</v>
      </c>
      <c r="J42" s="27">
        <v>0.111111</v>
      </c>
      <c r="K42">
        <v>0</v>
      </c>
      <c r="L42">
        <v>0</v>
      </c>
      <c r="M42">
        <v>0</v>
      </c>
      <c r="N42">
        <v>0</v>
      </c>
      <c r="O42">
        <v>0</v>
      </c>
      <c r="P42" s="23">
        <v>0</v>
      </c>
    </row>
    <row r="43" spans="1:16" x14ac:dyDescent="0.25">
      <c r="A43" t="s">
        <v>24</v>
      </c>
      <c r="B43" s="22">
        <v>1633210200</v>
      </c>
      <c r="C43">
        <v>52</v>
      </c>
      <c r="D43">
        <v>2448</v>
      </c>
      <c r="E43" s="23">
        <v>2.0799999999999999E-2</v>
      </c>
      <c r="F43" s="23">
        <v>0.97919999999999996</v>
      </c>
      <c r="G43">
        <v>4</v>
      </c>
      <c r="H43">
        <v>26</v>
      </c>
      <c r="I43">
        <v>6</v>
      </c>
      <c r="J43" s="27">
        <v>0.115385</v>
      </c>
      <c r="K43">
        <v>0</v>
      </c>
      <c r="L43">
        <v>0</v>
      </c>
      <c r="M43">
        <v>0</v>
      </c>
      <c r="N43">
        <v>0</v>
      </c>
      <c r="O43">
        <v>0</v>
      </c>
      <c r="P43" s="23">
        <v>0</v>
      </c>
    </row>
    <row r="44" spans="1:16" x14ac:dyDescent="0.25">
      <c r="A44" t="s">
        <v>24</v>
      </c>
      <c r="B44" s="22">
        <v>1729717951</v>
      </c>
      <c r="C44">
        <v>75</v>
      </c>
      <c r="D44">
        <v>2425</v>
      </c>
      <c r="E44" s="23">
        <v>0.03</v>
      </c>
      <c r="F44" s="23">
        <v>0.97</v>
      </c>
      <c r="G44">
        <v>7</v>
      </c>
      <c r="H44">
        <v>30</v>
      </c>
      <c r="I44">
        <v>9</v>
      </c>
      <c r="J44" s="27">
        <v>0.12</v>
      </c>
      <c r="K44">
        <v>1</v>
      </c>
      <c r="L44">
        <v>1</v>
      </c>
      <c r="M44">
        <v>1</v>
      </c>
      <c r="N44">
        <v>1</v>
      </c>
      <c r="O44">
        <v>1</v>
      </c>
      <c r="P44" s="23">
        <v>1.3332999999999999E-2</v>
      </c>
    </row>
    <row r="45" spans="1:16" x14ac:dyDescent="0.25">
      <c r="A45" t="s">
        <v>24</v>
      </c>
      <c r="B45" s="22">
        <v>1523876217</v>
      </c>
      <c r="C45">
        <v>63</v>
      </c>
      <c r="D45">
        <v>2437</v>
      </c>
      <c r="E45" s="23">
        <v>2.52E-2</v>
      </c>
      <c r="F45" s="23">
        <v>0.9748</v>
      </c>
      <c r="G45">
        <v>5</v>
      </c>
      <c r="H45">
        <v>24</v>
      </c>
      <c r="I45">
        <v>8</v>
      </c>
      <c r="J45" s="27">
        <v>0.12698400000000001</v>
      </c>
      <c r="K45">
        <v>0</v>
      </c>
      <c r="L45">
        <v>0</v>
      </c>
      <c r="M45">
        <v>0</v>
      </c>
      <c r="N45">
        <v>0</v>
      </c>
      <c r="O45">
        <v>0</v>
      </c>
      <c r="P45" s="23">
        <v>0</v>
      </c>
    </row>
    <row r="46" spans="1:16" x14ac:dyDescent="0.25">
      <c r="A46" t="s">
        <v>24</v>
      </c>
      <c r="B46" s="22">
        <v>1177729092</v>
      </c>
      <c r="C46">
        <v>67</v>
      </c>
      <c r="D46">
        <v>2433</v>
      </c>
      <c r="E46" s="23">
        <v>2.6800000000000001E-2</v>
      </c>
      <c r="F46" s="23">
        <v>0.97319999999999995</v>
      </c>
      <c r="G46">
        <v>5</v>
      </c>
      <c r="H46">
        <v>33</v>
      </c>
      <c r="I46">
        <v>8</v>
      </c>
      <c r="J46" s="27">
        <v>0.119403</v>
      </c>
      <c r="K46">
        <v>0</v>
      </c>
      <c r="L46">
        <v>0</v>
      </c>
      <c r="M46">
        <v>0</v>
      </c>
      <c r="N46">
        <v>0</v>
      </c>
      <c r="O46">
        <v>0</v>
      </c>
      <c r="P46" s="23">
        <v>0</v>
      </c>
    </row>
    <row r="47" spans="1:16" x14ac:dyDescent="0.25">
      <c r="A47" t="s">
        <v>24</v>
      </c>
      <c r="B47" s="22">
        <v>1854648528</v>
      </c>
      <c r="C47">
        <v>60</v>
      </c>
      <c r="D47">
        <v>2440</v>
      </c>
      <c r="E47" s="23">
        <v>2.4E-2</v>
      </c>
      <c r="F47" s="23">
        <v>0.97599999999999998</v>
      </c>
      <c r="G47">
        <v>4</v>
      </c>
      <c r="H47">
        <v>27</v>
      </c>
      <c r="I47">
        <v>6</v>
      </c>
      <c r="J47" s="27">
        <v>0.1</v>
      </c>
      <c r="K47">
        <v>0</v>
      </c>
      <c r="L47">
        <v>0</v>
      </c>
      <c r="M47">
        <v>0</v>
      </c>
      <c r="N47">
        <v>0</v>
      </c>
      <c r="O47">
        <v>0</v>
      </c>
      <c r="P47" s="23">
        <v>0</v>
      </c>
    </row>
    <row r="48" spans="1:16" x14ac:dyDescent="0.25">
      <c r="A48" t="s">
        <v>24</v>
      </c>
      <c r="B48" s="22">
        <v>2069632176</v>
      </c>
      <c r="C48">
        <v>48</v>
      </c>
      <c r="D48">
        <v>2452</v>
      </c>
      <c r="E48" s="23">
        <v>1.9199999999999998E-2</v>
      </c>
      <c r="F48" s="23">
        <v>0.98080000000000001</v>
      </c>
      <c r="G48">
        <v>3</v>
      </c>
      <c r="H48">
        <v>25</v>
      </c>
      <c r="I48">
        <v>4</v>
      </c>
      <c r="J48" s="27">
        <v>8.3333000000000004E-2</v>
      </c>
      <c r="K48">
        <v>0</v>
      </c>
      <c r="L48">
        <v>0</v>
      </c>
      <c r="M48">
        <v>0</v>
      </c>
      <c r="N48">
        <v>0</v>
      </c>
      <c r="O48">
        <v>0</v>
      </c>
      <c r="P48" s="23">
        <v>0</v>
      </c>
    </row>
    <row r="49" spans="1:16" x14ac:dyDescent="0.25">
      <c r="A49" t="s">
        <v>24</v>
      </c>
      <c r="B49" s="22">
        <v>2089565173</v>
      </c>
      <c r="C49">
        <v>43</v>
      </c>
      <c r="D49">
        <v>2457</v>
      </c>
      <c r="E49" s="23">
        <v>1.72E-2</v>
      </c>
      <c r="F49" s="23">
        <v>0.98280000000000001</v>
      </c>
      <c r="G49">
        <v>7</v>
      </c>
      <c r="H49">
        <v>25</v>
      </c>
      <c r="I49">
        <v>8</v>
      </c>
      <c r="J49" s="27">
        <v>0.18604699999999999</v>
      </c>
      <c r="K49">
        <v>0</v>
      </c>
      <c r="L49">
        <v>0</v>
      </c>
      <c r="M49">
        <v>0</v>
      </c>
      <c r="N49">
        <v>0</v>
      </c>
      <c r="O49">
        <v>0</v>
      </c>
      <c r="P49" s="23">
        <v>0</v>
      </c>
    </row>
    <row r="50" spans="1:16" x14ac:dyDescent="0.25">
      <c r="A50" t="s">
        <v>24</v>
      </c>
      <c r="B50" s="22">
        <v>2019462324</v>
      </c>
      <c r="C50">
        <v>37</v>
      </c>
      <c r="D50">
        <v>2463</v>
      </c>
      <c r="E50" s="23">
        <v>1.4800000000000001E-2</v>
      </c>
      <c r="F50" s="23">
        <v>0.98519999999999996</v>
      </c>
      <c r="G50">
        <v>2</v>
      </c>
      <c r="H50">
        <v>23</v>
      </c>
      <c r="I50">
        <v>3</v>
      </c>
      <c r="J50" s="27">
        <v>8.1081E-2</v>
      </c>
      <c r="K50">
        <v>0</v>
      </c>
      <c r="L50">
        <v>0</v>
      </c>
      <c r="M50">
        <v>0</v>
      </c>
      <c r="N50">
        <v>0</v>
      </c>
      <c r="O50">
        <v>0</v>
      </c>
      <c r="P50" s="23">
        <v>0</v>
      </c>
    </row>
    <row r="51" spans="1:16" x14ac:dyDescent="0.25">
      <c r="A51" t="s">
        <v>24</v>
      </c>
      <c r="B51" s="22">
        <v>157320333</v>
      </c>
      <c r="C51">
        <v>39</v>
      </c>
      <c r="D51">
        <v>2461</v>
      </c>
      <c r="E51" s="23">
        <v>1.5599999999999999E-2</v>
      </c>
      <c r="F51" s="23">
        <v>0.98440000000000005</v>
      </c>
      <c r="G51">
        <v>4</v>
      </c>
      <c r="H51">
        <v>17</v>
      </c>
      <c r="I51">
        <v>5</v>
      </c>
      <c r="J51" s="27">
        <v>0.12820500000000001</v>
      </c>
      <c r="K51">
        <v>0</v>
      </c>
      <c r="L51">
        <v>0</v>
      </c>
      <c r="M51">
        <v>0</v>
      </c>
      <c r="N51">
        <v>0</v>
      </c>
      <c r="O51">
        <v>0</v>
      </c>
      <c r="P51" s="23">
        <v>0</v>
      </c>
    </row>
    <row r="52" spans="1:16" x14ac:dyDescent="0.25">
      <c r="A52" t="s">
        <v>26</v>
      </c>
      <c r="B52"/>
      <c r="C52">
        <f>SUBTOTAL(101,CA4_wall70_it2_neigh2[floors])</f>
        <v>52.18</v>
      </c>
      <c r="D52">
        <f>SUBTOTAL(101,CA4_wall70_it2_neigh2[walls])</f>
        <v>2447.8200000000002</v>
      </c>
      <c r="E52" s="24">
        <f>SUBTOTAL(101,CA4_wall70_it2_neigh2[floor_percent])</f>
        <v>2.0871999999999998E-2</v>
      </c>
      <c r="F52" s="24">
        <f>SUBTOTAL(101,CA4_wall70_it2_neigh2[wall_percent])</f>
        <v>0.97912799999999989</v>
      </c>
      <c r="G52">
        <f>SUBTOTAL(101,CA4_wall70_it2_neigh2[longest_shortest_path])</f>
        <v>4.7</v>
      </c>
      <c r="H52">
        <f>SUBTOTAL(101,CA4_wall70_it2_neigh2[component_count])</f>
        <v>24.66</v>
      </c>
      <c r="I52">
        <f>SUBTOTAL(101,CA4_wall70_it2_neigh2[max_component_size])</f>
        <v>7.02</v>
      </c>
      <c r="J52" s="25">
        <f>SUBTOTAL(101,CA4_wall70_it2_neigh2[connectivity_ratio])</f>
        <v>0.13541561999999999</v>
      </c>
      <c r="K52">
        <f>SUBTOTAL(101,CA4_wall70_it2_neigh2[room_count])</f>
        <v>0.06</v>
      </c>
      <c r="L52">
        <f>SUBTOTAL(101,CA4_wall70_it2_neigh2[avg_room_size])</f>
        <v>0.1</v>
      </c>
      <c r="M52">
        <f>SUBTOTAL(101,CA4_wall70_it2_neigh2[max_room_size])</f>
        <v>0.1</v>
      </c>
      <c r="N52">
        <f>SUBTOTAL(101,CA4_wall70_it2_neigh2[min_room_size])</f>
        <v>0.1</v>
      </c>
      <c r="O52">
        <f>SUBTOTAL(101,CA4_wall70_it2_neigh2[room_tiles])</f>
        <v>0.1</v>
      </c>
      <c r="P52" s="24">
        <f>SUBTOTAL(101,CA4_wall70_it2_neigh2[room_ratio])</f>
        <v>2.1300799999999999E-3</v>
      </c>
    </row>
    <row r="53" spans="1:16" x14ac:dyDescent="0.25">
      <c r="A53" s="26" t="s">
        <v>32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E9F7-0E1E-4047-BC30-C7BB023BF4D3}">
  <dimension ref="A1:P53"/>
  <sheetViews>
    <sheetView topLeftCell="A28" workbookViewId="0">
      <selection activeCell="J28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1585386031</v>
      </c>
      <c r="C2">
        <v>772</v>
      </c>
      <c r="D2">
        <v>1728</v>
      </c>
      <c r="E2" s="23">
        <v>0.30880000000000002</v>
      </c>
      <c r="F2" s="23">
        <v>0.69120000000000004</v>
      </c>
      <c r="G2">
        <v>52</v>
      </c>
      <c r="H2">
        <v>34</v>
      </c>
      <c r="I2">
        <v>254</v>
      </c>
      <c r="J2" s="27">
        <v>0.32901599999999998</v>
      </c>
      <c r="K2">
        <v>33</v>
      </c>
      <c r="L2">
        <v>5.6666670000000003</v>
      </c>
      <c r="M2">
        <v>45</v>
      </c>
      <c r="N2">
        <v>1</v>
      </c>
      <c r="O2">
        <v>187</v>
      </c>
      <c r="P2" s="23">
        <v>0.242228</v>
      </c>
    </row>
    <row r="3" spans="1:16" x14ac:dyDescent="0.25">
      <c r="A3" t="s">
        <v>24</v>
      </c>
      <c r="B3" s="22">
        <v>1529599488</v>
      </c>
      <c r="C3">
        <v>852</v>
      </c>
      <c r="D3">
        <v>1648</v>
      </c>
      <c r="E3" s="23">
        <v>0.34079999999999999</v>
      </c>
      <c r="F3" s="23">
        <v>0.65920000000000001</v>
      </c>
      <c r="G3">
        <v>44</v>
      </c>
      <c r="H3">
        <v>24</v>
      </c>
      <c r="I3">
        <v>328</v>
      </c>
      <c r="J3" s="27">
        <v>0.38497700000000001</v>
      </c>
      <c r="K3">
        <v>36</v>
      </c>
      <c r="L3">
        <v>7.25</v>
      </c>
      <c r="M3">
        <v>26</v>
      </c>
      <c r="N3">
        <v>1</v>
      </c>
      <c r="O3">
        <v>261</v>
      </c>
      <c r="P3" s="23">
        <v>0.306338</v>
      </c>
    </row>
    <row r="4" spans="1:16" x14ac:dyDescent="0.25">
      <c r="A4" t="s">
        <v>24</v>
      </c>
      <c r="B4" s="22">
        <v>469931494</v>
      </c>
      <c r="C4">
        <v>900</v>
      </c>
      <c r="D4">
        <v>1600</v>
      </c>
      <c r="E4" s="23">
        <v>0.36</v>
      </c>
      <c r="F4" s="23">
        <v>0.64</v>
      </c>
      <c r="G4">
        <v>71</v>
      </c>
      <c r="H4">
        <v>22</v>
      </c>
      <c r="I4">
        <v>435</v>
      </c>
      <c r="J4" s="27">
        <v>0.48333300000000001</v>
      </c>
      <c r="K4">
        <v>40</v>
      </c>
      <c r="L4">
        <v>6.9</v>
      </c>
      <c r="M4">
        <v>36</v>
      </c>
      <c r="N4">
        <v>1</v>
      </c>
      <c r="O4">
        <v>276</v>
      </c>
      <c r="P4" s="23">
        <v>0.30666700000000002</v>
      </c>
    </row>
    <row r="5" spans="1:16" x14ac:dyDescent="0.25">
      <c r="A5" t="s">
        <v>24</v>
      </c>
      <c r="B5" s="22">
        <v>56689981</v>
      </c>
      <c r="C5">
        <v>974</v>
      </c>
      <c r="D5">
        <v>1526</v>
      </c>
      <c r="E5" s="23">
        <v>0.3896</v>
      </c>
      <c r="F5" s="23">
        <v>0.61040000000000005</v>
      </c>
      <c r="G5">
        <v>73</v>
      </c>
      <c r="H5">
        <v>13</v>
      </c>
      <c r="I5">
        <v>717</v>
      </c>
      <c r="J5" s="27">
        <v>0.73614000000000002</v>
      </c>
      <c r="K5">
        <v>38</v>
      </c>
      <c r="L5">
        <v>8.9473680000000009</v>
      </c>
      <c r="M5">
        <v>75</v>
      </c>
      <c r="N5">
        <v>1</v>
      </c>
      <c r="O5">
        <v>340</v>
      </c>
      <c r="P5" s="23">
        <v>0.349076</v>
      </c>
    </row>
    <row r="6" spans="1:16" x14ac:dyDescent="0.25">
      <c r="A6" t="s">
        <v>24</v>
      </c>
      <c r="B6" s="22">
        <v>1416847263</v>
      </c>
      <c r="C6">
        <v>902</v>
      </c>
      <c r="D6">
        <v>1598</v>
      </c>
      <c r="E6" s="23">
        <v>0.36080000000000001</v>
      </c>
      <c r="F6" s="23">
        <v>0.63919999999999999</v>
      </c>
      <c r="G6">
        <v>54</v>
      </c>
      <c r="H6">
        <v>21</v>
      </c>
      <c r="I6">
        <v>308</v>
      </c>
      <c r="J6" s="27">
        <v>0.34146300000000002</v>
      </c>
      <c r="K6">
        <v>34</v>
      </c>
      <c r="L6">
        <v>8.2352939999999997</v>
      </c>
      <c r="M6">
        <v>36</v>
      </c>
      <c r="N6">
        <v>1</v>
      </c>
      <c r="O6">
        <v>280</v>
      </c>
      <c r="P6" s="23">
        <v>0.310421</v>
      </c>
    </row>
    <row r="7" spans="1:16" x14ac:dyDescent="0.25">
      <c r="A7" t="s">
        <v>24</v>
      </c>
      <c r="B7" s="22">
        <v>765939521</v>
      </c>
      <c r="C7">
        <v>916</v>
      </c>
      <c r="D7">
        <v>1584</v>
      </c>
      <c r="E7" s="23">
        <v>0.3664</v>
      </c>
      <c r="F7" s="23">
        <v>0.63360000000000005</v>
      </c>
      <c r="G7">
        <v>94</v>
      </c>
      <c r="H7">
        <v>18</v>
      </c>
      <c r="I7">
        <v>693</v>
      </c>
      <c r="J7" s="27">
        <v>0.75654999999999994</v>
      </c>
      <c r="K7">
        <v>33</v>
      </c>
      <c r="L7">
        <v>10.090909</v>
      </c>
      <c r="M7">
        <v>48</v>
      </c>
      <c r="N7">
        <v>1</v>
      </c>
      <c r="O7">
        <v>333</v>
      </c>
      <c r="P7" s="23">
        <v>0.363537</v>
      </c>
    </row>
    <row r="8" spans="1:16" x14ac:dyDescent="0.25">
      <c r="A8" t="s">
        <v>24</v>
      </c>
      <c r="B8" s="22">
        <v>1975631996</v>
      </c>
      <c r="C8">
        <v>885</v>
      </c>
      <c r="D8">
        <v>1615</v>
      </c>
      <c r="E8" s="23">
        <v>0.35399999999999998</v>
      </c>
      <c r="F8" s="23">
        <v>0.64600000000000002</v>
      </c>
      <c r="G8">
        <v>61</v>
      </c>
      <c r="H8">
        <v>23</v>
      </c>
      <c r="I8">
        <v>569</v>
      </c>
      <c r="J8" s="27">
        <v>0.64293800000000001</v>
      </c>
      <c r="K8">
        <v>30</v>
      </c>
      <c r="L8">
        <v>9.0666670000000007</v>
      </c>
      <c r="M8">
        <v>52</v>
      </c>
      <c r="N8">
        <v>1</v>
      </c>
      <c r="O8">
        <v>272</v>
      </c>
      <c r="P8" s="23">
        <v>0.30734499999999998</v>
      </c>
    </row>
    <row r="9" spans="1:16" x14ac:dyDescent="0.25">
      <c r="A9" t="s">
        <v>24</v>
      </c>
      <c r="B9" s="22">
        <v>556264373</v>
      </c>
      <c r="C9">
        <v>904</v>
      </c>
      <c r="D9">
        <v>1596</v>
      </c>
      <c r="E9" s="23">
        <v>0.36159999999999998</v>
      </c>
      <c r="F9" s="23">
        <v>0.63839999999999997</v>
      </c>
      <c r="G9">
        <v>68</v>
      </c>
      <c r="H9">
        <v>20</v>
      </c>
      <c r="I9">
        <v>671</v>
      </c>
      <c r="J9" s="27">
        <v>0.74225699999999994</v>
      </c>
      <c r="K9">
        <v>36</v>
      </c>
      <c r="L9">
        <v>8.0555559999999993</v>
      </c>
      <c r="M9">
        <v>26</v>
      </c>
      <c r="N9">
        <v>1</v>
      </c>
      <c r="O9">
        <v>290</v>
      </c>
      <c r="P9" s="23">
        <v>0.32079600000000003</v>
      </c>
    </row>
    <row r="10" spans="1:16" x14ac:dyDescent="0.25">
      <c r="A10" t="s">
        <v>24</v>
      </c>
      <c r="B10" s="22">
        <v>353988104</v>
      </c>
      <c r="C10">
        <v>863</v>
      </c>
      <c r="D10">
        <v>1637</v>
      </c>
      <c r="E10" s="23">
        <v>0.34520000000000001</v>
      </c>
      <c r="F10" s="23">
        <v>0.65480000000000005</v>
      </c>
      <c r="G10">
        <v>56</v>
      </c>
      <c r="H10">
        <v>25</v>
      </c>
      <c r="I10">
        <v>312</v>
      </c>
      <c r="J10" s="27">
        <v>0.36153000000000002</v>
      </c>
      <c r="K10">
        <v>33</v>
      </c>
      <c r="L10">
        <v>8.1818179999999998</v>
      </c>
      <c r="M10">
        <v>20</v>
      </c>
      <c r="N10">
        <v>1</v>
      </c>
      <c r="O10">
        <v>270</v>
      </c>
      <c r="P10" s="23">
        <v>0.31286199999999997</v>
      </c>
    </row>
    <row r="11" spans="1:16" x14ac:dyDescent="0.25">
      <c r="A11" t="s">
        <v>24</v>
      </c>
      <c r="B11" s="22">
        <v>1560065927</v>
      </c>
      <c r="C11">
        <v>918</v>
      </c>
      <c r="D11">
        <v>1582</v>
      </c>
      <c r="E11" s="23">
        <v>0.36720000000000003</v>
      </c>
      <c r="F11" s="23">
        <v>0.63280000000000003</v>
      </c>
      <c r="G11">
        <v>117</v>
      </c>
      <c r="H11">
        <v>17</v>
      </c>
      <c r="I11">
        <v>852</v>
      </c>
      <c r="J11" s="27">
        <v>0.92810499999999996</v>
      </c>
      <c r="K11">
        <v>42</v>
      </c>
      <c r="L11">
        <v>6.7380950000000004</v>
      </c>
      <c r="M11">
        <v>47</v>
      </c>
      <c r="N11">
        <v>1</v>
      </c>
      <c r="O11">
        <v>283</v>
      </c>
      <c r="P11" s="23">
        <v>0.30827900000000003</v>
      </c>
    </row>
    <row r="12" spans="1:16" x14ac:dyDescent="0.25">
      <c r="A12" t="s">
        <v>24</v>
      </c>
      <c r="B12" s="22">
        <v>402924724</v>
      </c>
      <c r="C12">
        <v>900</v>
      </c>
      <c r="D12">
        <v>1600</v>
      </c>
      <c r="E12" s="23">
        <v>0.36</v>
      </c>
      <c r="F12" s="23">
        <v>0.64</v>
      </c>
      <c r="G12">
        <v>104</v>
      </c>
      <c r="H12">
        <v>18</v>
      </c>
      <c r="I12">
        <v>636</v>
      </c>
      <c r="J12" s="27">
        <v>0.70666700000000005</v>
      </c>
      <c r="K12">
        <v>41</v>
      </c>
      <c r="L12">
        <v>7.0243900000000004</v>
      </c>
      <c r="M12">
        <v>31</v>
      </c>
      <c r="N12">
        <v>1</v>
      </c>
      <c r="O12">
        <v>288</v>
      </c>
      <c r="P12" s="23">
        <v>0.32</v>
      </c>
    </row>
    <row r="13" spans="1:16" x14ac:dyDescent="0.25">
      <c r="A13" t="s">
        <v>24</v>
      </c>
      <c r="B13" s="22">
        <v>1540152563</v>
      </c>
      <c r="C13">
        <v>869</v>
      </c>
      <c r="D13">
        <v>1631</v>
      </c>
      <c r="E13" s="23">
        <v>0.34760000000000002</v>
      </c>
      <c r="F13" s="23">
        <v>0.65239999999999998</v>
      </c>
      <c r="G13">
        <v>70</v>
      </c>
      <c r="H13">
        <v>27</v>
      </c>
      <c r="I13">
        <v>575</v>
      </c>
      <c r="J13" s="27">
        <v>0.66168000000000005</v>
      </c>
      <c r="K13">
        <v>39</v>
      </c>
      <c r="L13">
        <v>6.7179489999999999</v>
      </c>
      <c r="M13">
        <v>26</v>
      </c>
      <c r="N13">
        <v>1</v>
      </c>
      <c r="O13">
        <v>262</v>
      </c>
      <c r="P13" s="23">
        <v>0.30149599999999999</v>
      </c>
    </row>
    <row r="14" spans="1:16" x14ac:dyDescent="0.25">
      <c r="A14" t="s">
        <v>24</v>
      </c>
      <c r="B14" s="22">
        <v>956796665</v>
      </c>
      <c r="C14">
        <v>906</v>
      </c>
      <c r="D14">
        <v>1594</v>
      </c>
      <c r="E14" s="23">
        <v>0.3624</v>
      </c>
      <c r="F14" s="23">
        <v>0.63759999999999994</v>
      </c>
      <c r="G14">
        <v>62</v>
      </c>
      <c r="H14">
        <v>32</v>
      </c>
      <c r="I14">
        <v>430</v>
      </c>
      <c r="J14" s="27">
        <v>0.47461399999999998</v>
      </c>
      <c r="K14">
        <v>33</v>
      </c>
      <c r="L14">
        <v>9.969697</v>
      </c>
      <c r="M14">
        <v>32</v>
      </c>
      <c r="N14">
        <v>1</v>
      </c>
      <c r="O14">
        <v>329</v>
      </c>
      <c r="P14" s="23">
        <v>0.36313499999999999</v>
      </c>
    </row>
    <row r="15" spans="1:16" x14ac:dyDescent="0.25">
      <c r="A15" t="s">
        <v>24</v>
      </c>
      <c r="B15" s="22">
        <v>1929151322</v>
      </c>
      <c r="C15">
        <v>876</v>
      </c>
      <c r="D15">
        <v>1624</v>
      </c>
      <c r="E15" s="23">
        <v>0.35039999999999999</v>
      </c>
      <c r="F15" s="23">
        <v>0.64959999999999996</v>
      </c>
      <c r="G15">
        <v>53</v>
      </c>
      <c r="H15">
        <v>28</v>
      </c>
      <c r="I15">
        <v>197</v>
      </c>
      <c r="J15" s="27">
        <v>0.224886</v>
      </c>
      <c r="K15">
        <v>33</v>
      </c>
      <c r="L15">
        <v>9.5757580000000004</v>
      </c>
      <c r="M15">
        <v>37</v>
      </c>
      <c r="N15">
        <v>1</v>
      </c>
      <c r="O15">
        <v>316</v>
      </c>
      <c r="P15" s="23">
        <v>0.36073100000000002</v>
      </c>
    </row>
    <row r="16" spans="1:16" x14ac:dyDescent="0.25">
      <c r="A16" t="s">
        <v>24</v>
      </c>
      <c r="B16" s="22">
        <v>1873663221</v>
      </c>
      <c r="C16">
        <v>848</v>
      </c>
      <c r="D16">
        <v>1652</v>
      </c>
      <c r="E16" s="23">
        <v>0.3392</v>
      </c>
      <c r="F16" s="23">
        <v>0.66080000000000005</v>
      </c>
      <c r="G16">
        <v>80</v>
      </c>
      <c r="H16">
        <v>22</v>
      </c>
      <c r="I16">
        <v>550</v>
      </c>
      <c r="J16" s="27">
        <v>0.64858499999999997</v>
      </c>
      <c r="K16">
        <v>33</v>
      </c>
      <c r="L16">
        <v>6.969697</v>
      </c>
      <c r="M16">
        <v>36</v>
      </c>
      <c r="N16">
        <v>1</v>
      </c>
      <c r="O16">
        <v>230</v>
      </c>
      <c r="P16" s="23">
        <v>0.27122600000000002</v>
      </c>
    </row>
    <row r="17" spans="1:16" x14ac:dyDescent="0.25">
      <c r="A17" t="s">
        <v>24</v>
      </c>
      <c r="B17" s="22">
        <v>1410191103</v>
      </c>
      <c r="C17">
        <v>838</v>
      </c>
      <c r="D17">
        <v>1662</v>
      </c>
      <c r="E17" s="23">
        <v>0.3352</v>
      </c>
      <c r="F17" s="23">
        <v>0.66479999999999995</v>
      </c>
      <c r="G17">
        <v>83</v>
      </c>
      <c r="H17">
        <v>25</v>
      </c>
      <c r="I17">
        <v>534</v>
      </c>
      <c r="J17" s="27">
        <v>0.63723200000000002</v>
      </c>
      <c r="K17">
        <v>37</v>
      </c>
      <c r="L17">
        <v>5.1081079999999996</v>
      </c>
      <c r="M17">
        <v>24</v>
      </c>
      <c r="N17">
        <v>1</v>
      </c>
      <c r="O17">
        <v>189</v>
      </c>
      <c r="P17" s="23">
        <v>0.22553699999999999</v>
      </c>
    </row>
    <row r="18" spans="1:16" x14ac:dyDescent="0.25">
      <c r="A18" t="s">
        <v>24</v>
      </c>
      <c r="B18" s="22">
        <v>698380992</v>
      </c>
      <c r="C18">
        <v>809</v>
      </c>
      <c r="D18">
        <v>1691</v>
      </c>
      <c r="E18" s="23">
        <v>0.3236</v>
      </c>
      <c r="F18" s="23">
        <v>0.6764</v>
      </c>
      <c r="G18">
        <v>65</v>
      </c>
      <c r="H18">
        <v>29</v>
      </c>
      <c r="I18">
        <v>378</v>
      </c>
      <c r="J18" s="27">
        <v>0.46724399999999999</v>
      </c>
      <c r="K18">
        <v>30</v>
      </c>
      <c r="L18">
        <v>6.733333</v>
      </c>
      <c r="M18">
        <v>34</v>
      </c>
      <c r="N18">
        <v>1</v>
      </c>
      <c r="O18">
        <v>202</v>
      </c>
      <c r="P18" s="23">
        <v>0.249691</v>
      </c>
    </row>
    <row r="19" spans="1:16" x14ac:dyDescent="0.25">
      <c r="A19" t="s">
        <v>24</v>
      </c>
      <c r="B19" s="22">
        <v>608577689</v>
      </c>
      <c r="C19">
        <v>858</v>
      </c>
      <c r="D19">
        <v>1642</v>
      </c>
      <c r="E19" s="23">
        <v>0.34320000000000001</v>
      </c>
      <c r="F19" s="23">
        <v>0.65680000000000005</v>
      </c>
      <c r="G19">
        <v>77</v>
      </c>
      <c r="H19">
        <v>20</v>
      </c>
      <c r="I19">
        <v>587</v>
      </c>
      <c r="J19" s="27">
        <v>0.68414900000000001</v>
      </c>
      <c r="K19">
        <v>36</v>
      </c>
      <c r="L19">
        <v>7.1111110000000002</v>
      </c>
      <c r="M19">
        <v>30</v>
      </c>
      <c r="N19">
        <v>1</v>
      </c>
      <c r="O19">
        <v>256</v>
      </c>
      <c r="P19" s="23">
        <v>0.29836800000000002</v>
      </c>
    </row>
    <row r="20" spans="1:16" x14ac:dyDescent="0.25">
      <c r="A20" t="s">
        <v>24</v>
      </c>
      <c r="B20" s="22">
        <v>767664672</v>
      </c>
      <c r="C20">
        <v>918</v>
      </c>
      <c r="D20">
        <v>1582</v>
      </c>
      <c r="E20" s="23">
        <v>0.36720000000000003</v>
      </c>
      <c r="F20" s="23">
        <v>0.63280000000000003</v>
      </c>
      <c r="G20">
        <v>139</v>
      </c>
      <c r="H20">
        <v>18</v>
      </c>
      <c r="I20">
        <v>826</v>
      </c>
      <c r="J20" s="27">
        <v>0.89978199999999997</v>
      </c>
      <c r="K20">
        <v>43</v>
      </c>
      <c r="L20">
        <v>7.6511630000000004</v>
      </c>
      <c r="M20">
        <v>29</v>
      </c>
      <c r="N20">
        <v>1</v>
      </c>
      <c r="O20">
        <v>329</v>
      </c>
      <c r="P20" s="23">
        <v>0.35838799999999998</v>
      </c>
    </row>
    <row r="21" spans="1:16" x14ac:dyDescent="0.25">
      <c r="A21" t="s">
        <v>24</v>
      </c>
      <c r="B21" s="22">
        <v>2117154030</v>
      </c>
      <c r="C21">
        <v>844</v>
      </c>
      <c r="D21">
        <v>1656</v>
      </c>
      <c r="E21" s="23">
        <v>0.33760000000000001</v>
      </c>
      <c r="F21" s="23">
        <v>0.66239999999999999</v>
      </c>
      <c r="G21">
        <v>67</v>
      </c>
      <c r="H21">
        <v>25</v>
      </c>
      <c r="I21">
        <v>363</v>
      </c>
      <c r="J21" s="27">
        <v>0.43009500000000001</v>
      </c>
      <c r="K21">
        <v>37</v>
      </c>
      <c r="L21">
        <v>6.9459460000000002</v>
      </c>
      <c r="M21">
        <v>50</v>
      </c>
      <c r="N21">
        <v>1</v>
      </c>
      <c r="O21">
        <v>257</v>
      </c>
      <c r="P21" s="23">
        <v>0.30450199999999999</v>
      </c>
    </row>
    <row r="22" spans="1:16" x14ac:dyDescent="0.25">
      <c r="A22" t="s">
        <v>24</v>
      </c>
      <c r="B22" s="22">
        <v>1831574803</v>
      </c>
      <c r="C22">
        <v>806</v>
      </c>
      <c r="D22">
        <v>1694</v>
      </c>
      <c r="E22" s="23">
        <v>0.32240000000000002</v>
      </c>
      <c r="F22" s="23">
        <v>0.67759999999999998</v>
      </c>
      <c r="G22">
        <v>30</v>
      </c>
      <c r="H22">
        <v>34</v>
      </c>
      <c r="I22">
        <v>204</v>
      </c>
      <c r="J22" s="27">
        <v>0.25310199999999999</v>
      </c>
      <c r="K22">
        <v>34</v>
      </c>
      <c r="L22">
        <v>6.7941180000000001</v>
      </c>
      <c r="M22">
        <v>22</v>
      </c>
      <c r="N22">
        <v>1</v>
      </c>
      <c r="O22">
        <v>231</v>
      </c>
      <c r="P22" s="23">
        <v>0.28660000000000002</v>
      </c>
    </row>
    <row r="23" spans="1:16" x14ac:dyDescent="0.25">
      <c r="A23" t="s">
        <v>24</v>
      </c>
      <c r="B23" s="22">
        <v>1876979798</v>
      </c>
      <c r="C23">
        <v>898</v>
      </c>
      <c r="D23">
        <v>1602</v>
      </c>
      <c r="E23" s="23">
        <v>0.35920000000000002</v>
      </c>
      <c r="F23" s="23">
        <v>0.64080000000000004</v>
      </c>
      <c r="G23">
        <v>146</v>
      </c>
      <c r="H23">
        <v>15</v>
      </c>
      <c r="I23">
        <v>814</v>
      </c>
      <c r="J23" s="27">
        <v>0.90645900000000001</v>
      </c>
      <c r="K23">
        <v>38</v>
      </c>
      <c r="L23">
        <v>6.7894740000000002</v>
      </c>
      <c r="M23">
        <v>22</v>
      </c>
      <c r="N23">
        <v>1</v>
      </c>
      <c r="O23">
        <v>258</v>
      </c>
      <c r="P23" s="23">
        <v>0.28730499999999998</v>
      </c>
    </row>
    <row r="24" spans="1:16" x14ac:dyDescent="0.25">
      <c r="A24" t="s">
        <v>24</v>
      </c>
      <c r="B24" s="22">
        <v>1850235403</v>
      </c>
      <c r="C24">
        <v>911</v>
      </c>
      <c r="D24">
        <v>1589</v>
      </c>
      <c r="E24" s="23">
        <v>0.3644</v>
      </c>
      <c r="F24" s="23">
        <v>0.63560000000000005</v>
      </c>
      <c r="G24">
        <v>98</v>
      </c>
      <c r="H24">
        <v>16</v>
      </c>
      <c r="I24">
        <v>583</v>
      </c>
      <c r="J24" s="27">
        <v>0.63995599999999997</v>
      </c>
      <c r="K24">
        <v>41</v>
      </c>
      <c r="L24">
        <v>7.0731710000000003</v>
      </c>
      <c r="M24">
        <v>61</v>
      </c>
      <c r="N24">
        <v>1</v>
      </c>
      <c r="O24">
        <v>290</v>
      </c>
      <c r="P24" s="23">
        <v>0.318332</v>
      </c>
    </row>
    <row r="25" spans="1:16" x14ac:dyDescent="0.25">
      <c r="A25" t="s">
        <v>24</v>
      </c>
      <c r="B25" s="22">
        <v>241141348</v>
      </c>
      <c r="C25">
        <v>808</v>
      </c>
      <c r="D25">
        <v>1692</v>
      </c>
      <c r="E25" s="23">
        <v>0.32319999999999999</v>
      </c>
      <c r="F25" s="23">
        <v>0.67679999999999996</v>
      </c>
      <c r="G25">
        <v>110</v>
      </c>
      <c r="H25">
        <v>21</v>
      </c>
      <c r="I25">
        <v>670</v>
      </c>
      <c r="J25" s="27">
        <v>0.82920799999999995</v>
      </c>
      <c r="K25">
        <v>37</v>
      </c>
      <c r="L25">
        <v>5.4594589999999998</v>
      </c>
      <c r="M25">
        <v>30</v>
      </c>
      <c r="N25">
        <v>1</v>
      </c>
      <c r="O25">
        <v>202</v>
      </c>
      <c r="P25" s="23">
        <v>0.25</v>
      </c>
    </row>
    <row r="26" spans="1:16" x14ac:dyDescent="0.25">
      <c r="A26" t="s">
        <v>24</v>
      </c>
      <c r="B26" s="22">
        <v>1057028338</v>
      </c>
      <c r="C26">
        <v>846</v>
      </c>
      <c r="D26">
        <v>1654</v>
      </c>
      <c r="E26" s="23">
        <v>0.33839999999999998</v>
      </c>
      <c r="F26" s="23">
        <v>0.66159999999999997</v>
      </c>
      <c r="G26">
        <v>81</v>
      </c>
      <c r="H26">
        <v>29</v>
      </c>
      <c r="I26">
        <v>384</v>
      </c>
      <c r="J26" s="27">
        <v>0.453901</v>
      </c>
      <c r="K26">
        <v>36</v>
      </c>
      <c r="L26">
        <v>6.4722220000000004</v>
      </c>
      <c r="M26">
        <v>22</v>
      </c>
      <c r="N26">
        <v>1</v>
      </c>
      <c r="O26">
        <v>233</v>
      </c>
      <c r="P26" s="23">
        <v>0.27541399999999999</v>
      </c>
    </row>
    <row r="27" spans="1:16" x14ac:dyDescent="0.25">
      <c r="A27" t="s">
        <v>24</v>
      </c>
      <c r="B27" s="22">
        <v>365737649</v>
      </c>
      <c r="C27">
        <v>867</v>
      </c>
      <c r="D27">
        <v>1633</v>
      </c>
      <c r="E27" s="23">
        <v>0.3468</v>
      </c>
      <c r="F27" s="23">
        <v>0.6532</v>
      </c>
      <c r="G27">
        <v>58</v>
      </c>
      <c r="H27">
        <v>25</v>
      </c>
      <c r="I27">
        <v>314</v>
      </c>
      <c r="J27" s="27">
        <v>0.36216799999999999</v>
      </c>
      <c r="K27">
        <v>32</v>
      </c>
      <c r="L27">
        <v>8.6875</v>
      </c>
      <c r="M27">
        <v>41</v>
      </c>
      <c r="N27">
        <v>1</v>
      </c>
      <c r="O27">
        <v>278</v>
      </c>
      <c r="P27" s="23">
        <v>0.32064599999999999</v>
      </c>
    </row>
    <row r="28" spans="1:16" x14ac:dyDescent="0.25">
      <c r="A28" t="s">
        <v>24</v>
      </c>
      <c r="B28" s="22">
        <v>1906473344</v>
      </c>
      <c r="C28">
        <v>912</v>
      </c>
      <c r="D28">
        <v>1588</v>
      </c>
      <c r="E28" s="23">
        <v>0.36480000000000001</v>
      </c>
      <c r="F28" s="23">
        <v>0.63519999999999999</v>
      </c>
      <c r="G28">
        <v>91</v>
      </c>
      <c r="H28">
        <v>19</v>
      </c>
      <c r="I28">
        <v>699</v>
      </c>
      <c r="J28" s="27">
        <v>0.76644699999999999</v>
      </c>
      <c r="K28">
        <v>28</v>
      </c>
      <c r="L28">
        <v>11.25</v>
      </c>
      <c r="M28">
        <v>40</v>
      </c>
      <c r="N28">
        <v>1</v>
      </c>
      <c r="O28">
        <v>315</v>
      </c>
      <c r="P28" s="23">
        <v>0.34539500000000001</v>
      </c>
    </row>
    <row r="29" spans="1:16" x14ac:dyDescent="0.25">
      <c r="A29" t="s">
        <v>24</v>
      </c>
      <c r="B29" s="22">
        <v>491406134</v>
      </c>
      <c r="C29">
        <v>912</v>
      </c>
      <c r="D29">
        <v>1588</v>
      </c>
      <c r="E29" s="23">
        <v>0.36480000000000001</v>
      </c>
      <c r="F29" s="23">
        <v>0.63519999999999999</v>
      </c>
      <c r="G29">
        <v>64</v>
      </c>
      <c r="H29">
        <v>22</v>
      </c>
      <c r="I29">
        <v>346</v>
      </c>
      <c r="J29" s="27">
        <v>0.379386</v>
      </c>
      <c r="K29">
        <v>39</v>
      </c>
      <c r="L29">
        <v>7.7435900000000002</v>
      </c>
      <c r="M29">
        <v>33</v>
      </c>
      <c r="N29">
        <v>1</v>
      </c>
      <c r="O29">
        <v>302</v>
      </c>
      <c r="P29" s="23">
        <v>0.33113999999999999</v>
      </c>
    </row>
    <row r="30" spans="1:16" x14ac:dyDescent="0.25">
      <c r="A30" t="s">
        <v>24</v>
      </c>
      <c r="B30" s="22">
        <v>1090468002</v>
      </c>
      <c r="C30">
        <v>895</v>
      </c>
      <c r="D30">
        <v>1605</v>
      </c>
      <c r="E30" s="23">
        <v>0.35799999999999998</v>
      </c>
      <c r="F30" s="23">
        <v>0.64200000000000002</v>
      </c>
      <c r="G30">
        <v>86</v>
      </c>
      <c r="H30">
        <v>20</v>
      </c>
      <c r="I30">
        <v>737</v>
      </c>
      <c r="J30" s="27">
        <v>0.82346399999999997</v>
      </c>
      <c r="K30">
        <v>37</v>
      </c>
      <c r="L30">
        <v>8.864865</v>
      </c>
      <c r="M30">
        <v>31</v>
      </c>
      <c r="N30">
        <v>1</v>
      </c>
      <c r="O30">
        <v>328</v>
      </c>
      <c r="P30" s="23">
        <v>0.36647999999999997</v>
      </c>
    </row>
    <row r="31" spans="1:16" x14ac:dyDescent="0.25">
      <c r="A31" t="s">
        <v>24</v>
      </c>
      <c r="B31" s="22">
        <v>1607021396</v>
      </c>
      <c r="C31">
        <v>854</v>
      </c>
      <c r="D31">
        <v>1646</v>
      </c>
      <c r="E31" s="23">
        <v>0.34160000000000001</v>
      </c>
      <c r="F31" s="23">
        <v>0.65839999999999999</v>
      </c>
      <c r="G31">
        <v>64</v>
      </c>
      <c r="H31">
        <v>32</v>
      </c>
      <c r="I31">
        <v>429</v>
      </c>
      <c r="J31" s="27">
        <v>0.50234199999999996</v>
      </c>
      <c r="K31">
        <v>30</v>
      </c>
      <c r="L31">
        <v>8.6666670000000003</v>
      </c>
      <c r="M31">
        <v>33</v>
      </c>
      <c r="N31">
        <v>1</v>
      </c>
      <c r="O31">
        <v>260</v>
      </c>
      <c r="P31" s="23">
        <v>0.30445</v>
      </c>
    </row>
    <row r="32" spans="1:16" x14ac:dyDescent="0.25">
      <c r="A32" t="s">
        <v>24</v>
      </c>
      <c r="B32" s="22">
        <v>1221843646</v>
      </c>
      <c r="C32">
        <v>877</v>
      </c>
      <c r="D32">
        <v>1623</v>
      </c>
      <c r="E32" s="23">
        <v>0.3508</v>
      </c>
      <c r="F32" s="23">
        <v>0.6492</v>
      </c>
      <c r="G32">
        <v>68</v>
      </c>
      <c r="H32">
        <v>21</v>
      </c>
      <c r="I32">
        <v>684</v>
      </c>
      <c r="J32" s="27">
        <v>0.77993199999999996</v>
      </c>
      <c r="K32">
        <v>37</v>
      </c>
      <c r="L32">
        <v>6.3513510000000002</v>
      </c>
      <c r="M32">
        <v>21</v>
      </c>
      <c r="N32">
        <v>1</v>
      </c>
      <c r="O32">
        <v>235</v>
      </c>
      <c r="P32" s="23">
        <v>0.267959</v>
      </c>
    </row>
    <row r="33" spans="1:16" x14ac:dyDescent="0.25">
      <c r="A33" t="s">
        <v>24</v>
      </c>
      <c r="B33" s="22">
        <v>1637015050</v>
      </c>
      <c r="C33">
        <v>895</v>
      </c>
      <c r="D33">
        <v>1605</v>
      </c>
      <c r="E33" s="23">
        <v>0.35799999999999998</v>
      </c>
      <c r="F33" s="23">
        <v>0.64200000000000002</v>
      </c>
      <c r="G33">
        <v>75</v>
      </c>
      <c r="H33">
        <v>25</v>
      </c>
      <c r="I33">
        <v>399</v>
      </c>
      <c r="J33" s="27">
        <v>0.44580999999999998</v>
      </c>
      <c r="K33">
        <v>36</v>
      </c>
      <c r="L33">
        <v>7.9444439999999998</v>
      </c>
      <c r="M33">
        <v>32</v>
      </c>
      <c r="N33">
        <v>1</v>
      </c>
      <c r="O33">
        <v>286</v>
      </c>
      <c r="P33" s="23">
        <v>0.31955299999999998</v>
      </c>
    </row>
    <row r="34" spans="1:16" x14ac:dyDescent="0.25">
      <c r="A34" t="s">
        <v>24</v>
      </c>
      <c r="B34" s="22">
        <v>626105227</v>
      </c>
      <c r="C34">
        <v>864</v>
      </c>
      <c r="D34">
        <v>1636</v>
      </c>
      <c r="E34" s="23">
        <v>0.34560000000000002</v>
      </c>
      <c r="F34" s="23">
        <v>0.65439999999999998</v>
      </c>
      <c r="G34">
        <v>69</v>
      </c>
      <c r="H34">
        <v>24</v>
      </c>
      <c r="I34">
        <v>413</v>
      </c>
      <c r="J34" s="27">
        <v>0.47800900000000002</v>
      </c>
      <c r="K34">
        <v>39</v>
      </c>
      <c r="L34">
        <v>6.5641030000000002</v>
      </c>
      <c r="M34">
        <v>36</v>
      </c>
      <c r="N34">
        <v>1</v>
      </c>
      <c r="O34">
        <v>256</v>
      </c>
      <c r="P34" s="23">
        <v>0.296296</v>
      </c>
    </row>
    <row r="35" spans="1:16" x14ac:dyDescent="0.25">
      <c r="A35" t="s">
        <v>24</v>
      </c>
      <c r="B35" s="22">
        <v>1990147043</v>
      </c>
      <c r="C35">
        <v>904</v>
      </c>
      <c r="D35">
        <v>1596</v>
      </c>
      <c r="E35" s="23">
        <v>0.36159999999999998</v>
      </c>
      <c r="F35" s="23">
        <v>0.63839999999999997</v>
      </c>
      <c r="G35">
        <v>67</v>
      </c>
      <c r="H35">
        <v>20</v>
      </c>
      <c r="I35">
        <v>543</v>
      </c>
      <c r="J35" s="27">
        <v>0.60066399999999998</v>
      </c>
      <c r="K35">
        <v>38</v>
      </c>
      <c r="L35">
        <v>7.552632</v>
      </c>
      <c r="M35">
        <v>41</v>
      </c>
      <c r="N35">
        <v>1</v>
      </c>
      <c r="O35">
        <v>287</v>
      </c>
      <c r="P35" s="23">
        <v>0.31747799999999998</v>
      </c>
    </row>
    <row r="36" spans="1:16" x14ac:dyDescent="0.25">
      <c r="A36" t="s">
        <v>24</v>
      </c>
      <c r="B36" s="22">
        <v>1285146986</v>
      </c>
      <c r="C36">
        <v>855</v>
      </c>
      <c r="D36">
        <v>1645</v>
      </c>
      <c r="E36" s="23">
        <v>0.34200000000000003</v>
      </c>
      <c r="F36" s="23">
        <v>0.65800000000000003</v>
      </c>
      <c r="G36">
        <v>73</v>
      </c>
      <c r="H36">
        <v>30</v>
      </c>
      <c r="I36">
        <v>448</v>
      </c>
      <c r="J36" s="27">
        <v>0.52397700000000003</v>
      </c>
      <c r="K36">
        <v>35</v>
      </c>
      <c r="L36">
        <v>7.1142859999999999</v>
      </c>
      <c r="M36">
        <v>27</v>
      </c>
      <c r="N36">
        <v>1</v>
      </c>
      <c r="O36">
        <v>249</v>
      </c>
      <c r="P36" s="23">
        <v>0.29122799999999999</v>
      </c>
    </row>
    <row r="37" spans="1:16" x14ac:dyDescent="0.25">
      <c r="A37" t="s">
        <v>24</v>
      </c>
      <c r="B37" s="22">
        <v>23796474</v>
      </c>
      <c r="C37">
        <v>823</v>
      </c>
      <c r="D37">
        <v>1677</v>
      </c>
      <c r="E37" s="23">
        <v>0.32919999999999999</v>
      </c>
      <c r="F37" s="23">
        <v>0.67079999999999995</v>
      </c>
      <c r="G37">
        <v>71</v>
      </c>
      <c r="H37">
        <v>26</v>
      </c>
      <c r="I37">
        <v>394</v>
      </c>
      <c r="J37" s="27">
        <v>0.47873599999999999</v>
      </c>
      <c r="K37">
        <v>34</v>
      </c>
      <c r="L37">
        <v>5.9117649999999999</v>
      </c>
      <c r="M37">
        <v>24</v>
      </c>
      <c r="N37">
        <v>1</v>
      </c>
      <c r="O37">
        <v>201</v>
      </c>
      <c r="P37" s="23">
        <v>0.244228</v>
      </c>
    </row>
    <row r="38" spans="1:16" x14ac:dyDescent="0.25">
      <c r="A38" t="s">
        <v>24</v>
      </c>
      <c r="B38" s="22">
        <v>821015997</v>
      </c>
      <c r="C38">
        <v>905</v>
      </c>
      <c r="D38">
        <v>1595</v>
      </c>
      <c r="E38" s="23">
        <v>0.36199999999999999</v>
      </c>
      <c r="F38" s="23">
        <v>0.63800000000000001</v>
      </c>
      <c r="G38">
        <v>68</v>
      </c>
      <c r="H38">
        <v>22</v>
      </c>
      <c r="I38">
        <v>682</v>
      </c>
      <c r="J38" s="27">
        <v>0.75359100000000001</v>
      </c>
      <c r="K38">
        <v>38</v>
      </c>
      <c r="L38">
        <v>6.5263159999999996</v>
      </c>
      <c r="M38">
        <v>26</v>
      </c>
      <c r="N38">
        <v>1</v>
      </c>
      <c r="O38">
        <v>248</v>
      </c>
      <c r="P38" s="23">
        <v>0.27403300000000003</v>
      </c>
    </row>
    <row r="39" spans="1:16" x14ac:dyDescent="0.25">
      <c r="A39" t="s">
        <v>24</v>
      </c>
      <c r="B39" s="22">
        <v>658298602</v>
      </c>
      <c r="C39">
        <v>910</v>
      </c>
      <c r="D39">
        <v>1590</v>
      </c>
      <c r="E39" s="23">
        <v>0.36399999999999999</v>
      </c>
      <c r="F39" s="23">
        <v>0.63600000000000001</v>
      </c>
      <c r="G39">
        <v>79</v>
      </c>
      <c r="H39">
        <v>22</v>
      </c>
      <c r="I39">
        <v>705</v>
      </c>
      <c r="J39" s="27">
        <v>0.774725</v>
      </c>
      <c r="K39">
        <v>35</v>
      </c>
      <c r="L39">
        <v>10.028570999999999</v>
      </c>
      <c r="M39">
        <v>46</v>
      </c>
      <c r="N39">
        <v>1</v>
      </c>
      <c r="O39">
        <v>351</v>
      </c>
      <c r="P39" s="23">
        <v>0.385714</v>
      </c>
    </row>
    <row r="40" spans="1:16" x14ac:dyDescent="0.25">
      <c r="A40" t="s">
        <v>24</v>
      </c>
      <c r="B40" s="22">
        <v>1617094029</v>
      </c>
      <c r="C40">
        <v>919</v>
      </c>
      <c r="D40">
        <v>1581</v>
      </c>
      <c r="E40" s="23">
        <v>0.36759999999999998</v>
      </c>
      <c r="F40" s="23">
        <v>0.63239999999999996</v>
      </c>
      <c r="G40">
        <v>80</v>
      </c>
      <c r="H40">
        <v>19</v>
      </c>
      <c r="I40">
        <v>428</v>
      </c>
      <c r="J40" s="27">
        <v>0.46572400000000003</v>
      </c>
      <c r="K40">
        <v>32</v>
      </c>
      <c r="L40">
        <v>9.84375</v>
      </c>
      <c r="M40">
        <v>42</v>
      </c>
      <c r="N40">
        <v>1</v>
      </c>
      <c r="O40">
        <v>315</v>
      </c>
      <c r="P40" s="23">
        <v>0.34276400000000001</v>
      </c>
    </row>
    <row r="41" spans="1:16" x14ac:dyDescent="0.25">
      <c r="A41" t="s">
        <v>24</v>
      </c>
      <c r="B41" s="22">
        <v>1775063016</v>
      </c>
      <c r="C41">
        <v>871</v>
      </c>
      <c r="D41">
        <v>1629</v>
      </c>
      <c r="E41" s="23">
        <v>0.34839999999999999</v>
      </c>
      <c r="F41" s="23">
        <v>0.65159999999999996</v>
      </c>
      <c r="G41">
        <v>53</v>
      </c>
      <c r="H41">
        <v>18</v>
      </c>
      <c r="I41">
        <v>309</v>
      </c>
      <c r="J41" s="27">
        <v>0.354765</v>
      </c>
      <c r="K41">
        <v>37</v>
      </c>
      <c r="L41">
        <v>7</v>
      </c>
      <c r="M41">
        <v>38</v>
      </c>
      <c r="N41">
        <v>1</v>
      </c>
      <c r="O41">
        <v>259</v>
      </c>
      <c r="P41" s="23">
        <v>0.29735899999999998</v>
      </c>
    </row>
    <row r="42" spans="1:16" x14ac:dyDescent="0.25">
      <c r="A42" t="s">
        <v>24</v>
      </c>
      <c r="B42" s="22">
        <v>1889652634</v>
      </c>
      <c r="C42">
        <v>885</v>
      </c>
      <c r="D42">
        <v>1615</v>
      </c>
      <c r="E42" s="23">
        <v>0.35399999999999998</v>
      </c>
      <c r="F42" s="23">
        <v>0.64600000000000002</v>
      </c>
      <c r="G42">
        <v>80</v>
      </c>
      <c r="H42">
        <v>18</v>
      </c>
      <c r="I42">
        <v>736</v>
      </c>
      <c r="J42" s="27">
        <v>0.83163799999999999</v>
      </c>
      <c r="K42">
        <v>37</v>
      </c>
      <c r="L42">
        <v>7.2432429999999997</v>
      </c>
      <c r="M42">
        <v>31</v>
      </c>
      <c r="N42">
        <v>1</v>
      </c>
      <c r="O42">
        <v>268</v>
      </c>
      <c r="P42" s="23">
        <v>0.30282500000000001</v>
      </c>
    </row>
    <row r="43" spans="1:16" x14ac:dyDescent="0.25">
      <c r="A43" t="s">
        <v>24</v>
      </c>
      <c r="B43" s="22">
        <v>97249983</v>
      </c>
      <c r="C43">
        <v>811</v>
      </c>
      <c r="D43">
        <v>1689</v>
      </c>
      <c r="E43" s="23">
        <v>0.32440000000000002</v>
      </c>
      <c r="F43" s="23">
        <v>0.67559999999999998</v>
      </c>
      <c r="G43">
        <v>57</v>
      </c>
      <c r="H43">
        <v>26</v>
      </c>
      <c r="I43">
        <v>248</v>
      </c>
      <c r="J43" s="27">
        <v>0.30579499999999998</v>
      </c>
      <c r="K43">
        <v>29</v>
      </c>
      <c r="L43">
        <v>7.2758620000000001</v>
      </c>
      <c r="M43">
        <v>25</v>
      </c>
      <c r="N43">
        <v>1</v>
      </c>
      <c r="O43">
        <v>211</v>
      </c>
      <c r="P43" s="23">
        <v>0.26017299999999999</v>
      </c>
    </row>
    <row r="44" spans="1:16" x14ac:dyDescent="0.25">
      <c r="A44" t="s">
        <v>24</v>
      </c>
      <c r="B44" s="22">
        <v>889980119</v>
      </c>
      <c r="C44">
        <v>822</v>
      </c>
      <c r="D44">
        <v>1678</v>
      </c>
      <c r="E44" s="23">
        <v>0.32879999999999998</v>
      </c>
      <c r="F44" s="23">
        <v>0.67120000000000002</v>
      </c>
      <c r="G44">
        <v>78</v>
      </c>
      <c r="H44">
        <v>25</v>
      </c>
      <c r="I44">
        <v>391</v>
      </c>
      <c r="J44" s="27">
        <v>0.47566900000000001</v>
      </c>
      <c r="K44">
        <v>39</v>
      </c>
      <c r="L44">
        <v>6.3333329999999997</v>
      </c>
      <c r="M44">
        <v>37</v>
      </c>
      <c r="N44">
        <v>1</v>
      </c>
      <c r="O44">
        <v>247</v>
      </c>
      <c r="P44" s="23">
        <v>0.300487</v>
      </c>
    </row>
    <row r="45" spans="1:16" x14ac:dyDescent="0.25">
      <c r="A45" t="s">
        <v>24</v>
      </c>
      <c r="B45" s="22">
        <v>1213324094</v>
      </c>
      <c r="C45">
        <v>858</v>
      </c>
      <c r="D45">
        <v>1642</v>
      </c>
      <c r="E45" s="23">
        <v>0.34320000000000001</v>
      </c>
      <c r="F45" s="23">
        <v>0.65680000000000005</v>
      </c>
      <c r="G45">
        <v>59</v>
      </c>
      <c r="H45">
        <v>28</v>
      </c>
      <c r="I45">
        <v>478</v>
      </c>
      <c r="J45" s="27">
        <v>0.55710999999999999</v>
      </c>
      <c r="K45">
        <v>39</v>
      </c>
      <c r="L45">
        <v>5</v>
      </c>
      <c r="M45">
        <v>27</v>
      </c>
      <c r="N45">
        <v>1</v>
      </c>
      <c r="O45">
        <v>195</v>
      </c>
      <c r="P45" s="23">
        <v>0.227273</v>
      </c>
    </row>
    <row r="46" spans="1:16" x14ac:dyDescent="0.25">
      <c r="A46" t="s">
        <v>24</v>
      </c>
      <c r="B46" s="22">
        <v>1207529090</v>
      </c>
      <c r="C46">
        <v>849</v>
      </c>
      <c r="D46">
        <v>1651</v>
      </c>
      <c r="E46" s="23">
        <v>0.33960000000000001</v>
      </c>
      <c r="F46" s="23">
        <v>0.66039999999999999</v>
      </c>
      <c r="G46">
        <v>97</v>
      </c>
      <c r="H46">
        <v>14</v>
      </c>
      <c r="I46">
        <v>457</v>
      </c>
      <c r="J46" s="27">
        <v>0.53827999999999998</v>
      </c>
      <c r="K46">
        <v>38</v>
      </c>
      <c r="L46">
        <v>5.7631579999999998</v>
      </c>
      <c r="M46">
        <v>25</v>
      </c>
      <c r="N46">
        <v>1</v>
      </c>
      <c r="O46">
        <v>219</v>
      </c>
      <c r="P46" s="23">
        <v>0.25795099999999999</v>
      </c>
    </row>
    <row r="47" spans="1:16" x14ac:dyDescent="0.25">
      <c r="A47" t="s">
        <v>24</v>
      </c>
      <c r="B47" s="22">
        <v>496414501</v>
      </c>
      <c r="C47">
        <v>881</v>
      </c>
      <c r="D47">
        <v>1619</v>
      </c>
      <c r="E47" s="23">
        <v>0.35239999999999999</v>
      </c>
      <c r="F47" s="23">
        <v>0.64759999999999995</v>
      </c>
      <c r="G47">
        <v>82</v>
      </c>
      <c r="H47">
        <v>20</v>
      </c>
      <c r="I47">
        <v>687</v>
      </c>
      <c r="J47" s="27">
        <v>0.77979600000000004</v>
      </c>
      <c r="K47">
        <v>34</v>
      </c>
      <c r="L47">
        <v>7.6176469999999998</v>
      </c>
      <c r="M47">
        <v>30</v>
      </c>
      <c r="N47">
        <v>1</v>
      </c>
      <c r="O47">
        <v>259</v>
      </c>
      <c r="P47" s="23">
        <v>0.29398400000000002</v>
      </c>
    </row>
    <row r="48" spans="1:16" x14ac:dyDescent="0.25">
      <c r="A48" t="s">
        <v>24</v>
      </c>
      <c r="B48" s="22">
        <v>1401448669</v>
      </c>
      <c r="C48">
        <v>915</v>
      </c>
      <c r="D48">
        <v>1585</v>
      </c>
      <c r="E48" s="23">
        <v>0.36599999999999999</v>
      </c>
      <c r="F48" s="23">
        <v>0.63400000000000001</v>
      </c>
      <c r="G48">
        <v>108</v>
      </c>
      <c r="H48">
        <v>23</v>
      </c>
      <c r="I48">
        <v>780</v>
      </c>
      <c r="J48" s="27">
        <v>0.85245899999999997</v>
      </c>
      <c r="K48">
        <v>32</v>
      </c>
      <c r="L48">
        <v>9.53125</v>
      </c>
      <c r="M48">
        <v>39</v>
      </c>
      <c r="N48">
        <v>1</v>
      </c>
      <c r="O48">
        <v>305</v>
      </c>
      <c r="P48" s="23">
        <v>0.33333299999999999</v>
      </c>
    </row>
    <row r="49" spans="1:16" x14ac:dyDescent="0.25">
      <c r="A49" t="s">
        <v>24</v>
      </c>
      <c r="B49" s="22">
        <v>144836594</v>
      </c>
      <c r="C49">
        <v>906</v>
      </c>
      <c r="D49">
        <v>1594</v>
      </c>
      <c r="E49" s="23">
        <v>0.3624</v>
      </c>
      <c r="F49" s="23">
        <v>0.63759999999999994</v>
      </c>
      <c r="G49">
        <v>109</v>
      </c>
      <c r="H49">
        <v>11</v>
      </c>
      <c r="I49">
        <v>791</v>
      </c>
      <c r="J49" s="27">
        <v>0.87306799999999996</v>
      </c>
      <c r="K49">
        <v>36</v>
      </c>
      <c r="L49">
        <v>7.9166670000000003</v>
      </c>
      <c r="M49">
        <v>47</v>
      </c>
      <c r="N49">
        <v>1</v>
      </c>
      <c r="O49">
        <v>285</v>
      </c>
      <c r="P49" s="23">
        <v>0.31457000000000002</v>
      </c>
    </row>
    <row r="50" spans="1:16" x14ac:dyDescent="0.25">
      <c r="A50" t="s">
        <v>24</v>
      </c>
      <c r="B50" s="22">
        <v>1425694110</v>
      </c>
      <c r="C50">
        <v>901</v>
      </c>
      <c r="D50">
        <v>1599</v>
      </c>
      <c r="E50" s="23">
        <v>0.3604</v>
      </c>
      <c r="F50" s="23">
        <v>0.63959999999999995</v>
      </c>
      <c r="G50">
        <v>109</v>
      </c>
      <c r="H50">
        <v>17</v>
      </c>
      <c r="I50">
        <v>816</v>
      </c>
      <c r="J50" s="27">
        <v>0.90566000000000002</v>
      </c>
      <c r="K50">
        <v>34</v>
      </c>
      <c r="L50">
        <v>7.5</v>
      </c>
      <c r="M50">
        <v>25</v>
      </c>
      <c r="N50">
        <v>1</v>
      </c>
      <c r="O50">
        <v>255</v>
      </c>
      <c r="P50" s="23">
        <v>0.28301900000000002</v>
      </c>
    </row>
    <row r="51" spans="1:16" x14ac:dyDescent="0.25">
      <c r="A51" t="s">
        <v>24</v>
      </c>
      <c r="B51" s="22">
        <v>683432425</v>
      </c>
      <c r="C51">
        <v>833</v>
      </c>
      <c r="D51">
        <v>1667</v>
      </c>
      <c r="E51" s="23">
        <v>0.3332</v>
      </c>
      <c r="F51" s="23">
        <v>0.66679999999999995</v>
      </c>
      <c r="G51">
        <v>83</v>
      </c>
      <c r="H51">
        <v>30</v>
      </c>
      <c r="I51">
        <v>369</v>
      </c>
      <c r="J51" s="27">
        <v>0.44297700000000001</v>
      </c>
      <c r="K51">
        <v>34</v>
      </c>
      <c r="L51">
        <v>6.4705880000000002</v>
      </c>
      <c r="M51">
        <v>29</v>
      </c>
      <c r="N51">
        <v>1</v>
      </c>
      <c r="O51">
        <v>220</v>
      </c>
      <c r="P51" s="23">
        <v>0.26410600000000001</v>
      </c>
    </row>
    <row r="52" spans="1:16" x14ac:dyDescent="0.25">
      <c r="A52" t="s">
        <v>26</v>
      </c>
      <c r="B52"/>
      <c r="C52">
        <f>SUBTOTAL(101,CA4_wall70_it1_neigh3[floors])</f>
        <v>874.9</v>
      </c>
      <c r="D52">
        <f>SUBTOTAL(101,CA4_wall70_it1_neigh3[walls])</f>
        <v>1625.1</v>
      </c>
      <c r="E52" s="24">
        <f>SUBTOTAL(101,CA4_wall70_it1_neigh3[floor_percent])</f>
        <v>0.3499600000000001</v>
      </c>
      <c r="F52" s="24">
        <f>SUBTOTAL(101,CA4_wall70_it1_neigh3[wall_percent])</f>
        <v>0.65004000000000006</v>
      </c>
      <c r="G52">
        <f>SUBTOTAL(101,CA4_wall70_it1_neigh3[longest_shortest_path])</f>
        <v>77.66</v>
      </c>
      <c r="H52">
        <f>SUBTOTAL(101,CA4_wall70_it1_neigh3[component_count])</f>
        <v>22.66</v>
      </c>
      <c r="I52">
        <f>SUBTOTAL(101,CA4_wall70_it1_neigh3[max_component_size])</f>
        <v>523.05999999999995</v>
      </c>
      <c r="J52" s="25">
        <f>SUBTOTAL(101,CA4_wall70_it1_neigh3[connectivity_ratio])</f>
        <v>0.59352122000000007</v>
      </c>
      <c r="K52">
        <f>SUBTOTAL(101,CA4_wall70_it1_neigh3[room_count])</f>
        <v>35.64</v>
      </c>
      <c r="L52">
        <f>SUBTOTAL(101,CA4_wall70_it1_neigh3[avg_room_size])</f>
        <v>7.5245911599999999</v>
      </c>
      <c r="M52">
        <f>SUBTOTAL(101,CA4_wall70_it1_neigh3[max_room_size])</f>
        <v>34.46</v>
      </c>
      <c r="N52">
        <f>SUBTOTAL(101,CA4_wall70_it1_neigh3[min_room_size])</f>
        <v>1</v>
      </c>
      <c r="O52">
        <f>SUBTOTAL(101,CA4_wall70_it1_neigh3[room_tiles])</f>
        <v>265.95999999999998</v>
      </c>
      <c r="P52" s="24">
        <f>SUBTOTAL(101,CA4_wall70_it1_neigh3[room_ratio])</f>
        <v>0.30281435999999995</v>
      </c>
    </row>
    <row r="53" spans="1:16" x14ac:dyDescent="0.25">
      <c r="A53" s="26" t="s">
        <v>33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8916-DCE7-4DE4-A2B3-ABD864F6E8DC}">
  <dimension ref="A1:P53"/>
  <sheetViews>
    <sheetView topLeftCell="A34" workbookViewId="0">
      <selection activeCell="J34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647076493</v>
      </c>
      <c r="C2">
        <v>2445</v>
      </c>
      <c r="D2">
        <v>55</v>
      </c>
      <c r="E2" s="23">
        <v>0.97799999999999998</v>
      </c>
      <c r="F2" s="23">
        <v>2.1999999999999999E-2</v>
      </c>
      <c r="G2">
        <v>50</v>
      </c>
      <c r="H2">
        <v>1</v>
      </c>
      <c r="I2">
        <v>2445</v>
      </c>
      <c r="J2" s="27">
        <v>1</v>
      </c>
      <c r="K2">
        <v>1</v>
      </c>
      <c r="L2">
        <v>2413</v>
      </c>
      <c r="M2">
        <v>2413</v>
      </c>
      <c r="N2">
        <v>2413</v>
      </c>
      <c r="O2">
        <v>2413</v>
      </c>
      <c r="P2" s="23">
        <v>0.98691200000000001</v>
      </c>
    </row>
    <row r="3" spans="1:16" x14ac:dyDescent="0.25">
      <c r="A3" t="s">
        <v>24</v>
      </c>
      <c r="B3" s="22">
        <v>2012544797</v>
      </c>
      <c r="C3">
        <v>2439</v>
      </c>
      <c r="D3">
        <v>61</v>
      </c>
      <c r="E3" s="23">
        <v>0.97560000000000002</v>
      </c>
      <c r="F3" s="23">
        <v>2.4400000000000002E-2</v>
      </c>
      <c r="G3">
        <v>49</v>
      </c>
      <c r="H3">
        <v>1</v>
      </c>
      <c r="I3">
        <v>2439</v>
      </c>
      <c r="J3" s="27">
        <v>1</v>
      </c>
      <c r="K3">
        <v>2</v>
      </c>
      <c r="L3">
        <v>1195.5</v>
      </c>
      <c r="M3">
        <v>2390</v>
      </c>
      <c r="N3">
        <v>1</v>
      </c>
      <c r="O3">
        <v>2391</v>
      </c>
      <c r="P3" s="23">
        <v>0.98031999999999997</v>
      </c>
    </row>
    <row r="4" spans="1:16" x14ac:dyDescent="0.25">
      <c r="A4" t="s">
        <v>24</v>
      </c>
      <c r="B4" s="22">
        <v>2038193327</v>
      </c>
      <c r="C4">
        <v>2442</v>
      </c>
      <c r="D4">
        <v>58</v>
      </c>
      <c r="E4" s="23">
        <v>0.9768</v>
      </c>
      <c r="F4" s="23">
        <v>2.3199999999999998E-2</v>
      </c>
      <c r="G4">
        <v>49</v>
      </c>
      <c r="H4">
        <v>1</v>
      </c>
      <c r="I4">
        <v>2442</v>
      </c>
      <c r="J4" s="27">
        <v>1</v>
      </c>
      <c r="K4">
        <v>1</v>
      </c>
      <c r="L4">
        <v>2400</v>
      </c>
      <c r="M4">
        <v>2400</v>
      </c>
      <c r="N4">
        <v>2400</v>
      </c>
      <c r="O4">
        <v>2400</v>
      </c>
      <c r="P4" s="23">
        <v>0.98280100000000004</v>
      </c>
    </row>
    <row r="5" spans="1:16" x14ac:dyDescent="0.25">
      <c r="A5" t="s">
        <v>24</v>
      </c>
      <c r="B5" s="22">
        <v>1974607976</v>
      </c>
      <c r="C5">
        <v>2451</v>
      </c>
      <c r="D5">
        <v>49</v>
      </c>
      <c r="E5" s="23">
        <v>0.98040000000000005</v>
      </c>
      <c r="F5" s="23">
        <v>1.9599999999999999E-2</v>
      </c>
      <c r="G5">
        <v>49</v>
      </c>
      <c r="H5">
        <v>1</v>
      </c>
      <c r="I5">
        <v>2451</v>
      </c>
      <c r="J5" s="27">
        <v>1</v>
      </c>
      <c r="K5">
        <v>1</v>
      </c>
      <c r="L5">
        <v>2412</v>
      </c>
      <c r="M5">
        <v>2412</v>
      </c>
      <c r="N5">
        <v>2412</v>
      </c>
      <c r="O5">
        <v>2412</v>
      </c>
      <c r="P5" s="23">
        <v>0.98408799999999996</v>
      </c>
    </row>
    <row r="6" spans="1:16" x14ac:dyDescent="0.25">
      <c r="A6" t="s">
        <v>24</v>
      </c>
      <c r="B6" s="22">
        <v>180389190</v>
      </c>
      <c r="C6">
        <v>2404</v>
      </c>
      <c r="D6">
        <v>96</v>
      </c>
      <c r="E6" s="23">
        <v>0.96160000000000001</v>
      </c>
      <c r="F6" s="23">
        <v>3.8399999999999997E-2</v>
      </c>
      <c r="G6">
        <v>49</v>
      </c>
      <c r="H6">
        <v>1</v>
      </c>
      <c r="I6">
        <v>2404</v>
      </c>
      <c r="J6" s="27">
        <v>1</v>
      </c>
      <c r="K6">
        <v>1</v>
      </c>
      <c r="L6">
        <v>2344</v>
      </c>
      <c r="M6">
        <v>2344</v>
      </c>
      <c r="N6">
        <v>2344</v>
      </c>
      <c r="O6">
        <v>2344</v>
      </c>
      <c r="P6" s="23">
        <v>0.97504199999999996</v>
      </c>
    </row>
    <row r="7" spans="1:16" x14ac:dyDescent="0.25">
      <c r="A7" t="s">
        <v>24</v>
      </c>
      <c r="B7" s="22">
        <v>1262026489</v>
      </c>
      <c r="C7">
        <v>2401</v>
      </c>
      <c r="D7">
        <v>99</v>
      </c>
      <c r="E7" s="23">
        <v>0.96040000000000003</v>
      </c>
      <c r="F7" s="23">
        <v>3.9600000000000003E-2</v>
      </c>
      <c r="G7">
        <v>49</v>
      </c>
      <c r="H7">
        <v>1</v>
      </c>
      <c r="I7">
        <v>2401</v>
      </c>
      <c r="J7" s="27">
        <v>1</v>
      </c>
      <c r="K7">
        <v>2</v>
      </c>
      <c r="L7">
        <v>1172</v>
      </c>
      <c r="M7">
        <v>2336</v>
      </c>
      <c r="N7">
        <v>8</v>
      </c>
      <c r="O7">
        <v>2344</v>
      </c>
      <c r="P7" s="23">
        <v>0.97626000000000002</v>
      </c>
    </row>
    <row r="8" spans="1:16" x14ac:dyDescent="0.25">
      <c r="A8" t="s">
        <v>24</v>
      </c>
      <c r="B8" s="22">
        <v>641008233</v>
      </c>
      <c r="C8">
        <v>2418</v>
      </c>
      <c r="D8">
        <v>82</v>
      </c>
      <c r="E8" s="23">
        <v>0.96719999999999995</v>
      </c>
      <c r="F8" s="23">
        <v>3.2800000000000003E-2</v>
      </c>
      <c r="G8">
        <v>49</v>
      </c>
      <c r="H8">
        <v>1</v>
      </c>
      <c r="I8">
        <v>2418</v>
      </c>
      <c r="J8" s="27">
        <v>1</v>
      </c>
      <c r="K8">
        <v>1</v>
      </c>
      <c r="L8">
        <v>2356</v>
      </c>
      <c r="M8">
        <v>2356</v>
      </c>
      <c r="N8">
        <v>2356</v>
      </c>
      <c r="O8">
        <v>2356</v>
      </c>
      <c r="P8" s="23">
        <v>0.97435899999999998</v>
      </c>
    </row>
    <row r="9" spans="1:16" x14ac:dyDescent="0.25">
      <c r="A9" t="s">
        <v>24</v>
      </c>
      <c r="B9" s="22">
        <v>350765358</v>
      </c>
      <c r="C9">
        <v>2451</v>
      </c>
      <c r="D9">
        <v>49</v>
      </c>
      <c r="E9" s="23">
        <v>0.98040000000000005</v>
      </c>
      <c r="F9" s="23">
        <v>1.9599999999999999E-2</v>
      </c>
      <c r="G9">
        <v>49</v>
      </c>
      <c r="H9">
        <v>1</v>
      </c>
      <c r="I9">
        <v>2451</v>
      </c>
      <c r="J9" s="27">
        <v>1</v>
      </c>
      <c r="K9">
        <v>1</v>
      </c>
      <c r="L9">
        <v>2407</v>
      </c>
      <c r="M9">
        <v>2407</v>
      </c>
      <c r="N9">
        <v>2407</v>
      </c>
      <c r="O9">
        <v>2407</v>
      </c>
      <c r="P9" s="23">
        <v>0.98204800000000003</v>
      </c>
    </row>
    <row r="10" spans="1:16" x14ac:dyDescent="0.25">
      <c r="A10" t="s">
        <v>24</v>
      </c>
      <c r="B10" s="22">
        <v>2038918109</v>
      </c>
      <c r="C10">
        <v>2429</v>
      </c>
      <c r="D10">
        <v>71</v>
      </c>
      <c r="E10" s="23">
        <v>0.97160000000000002</v>
      </c>
      <c r="F10" s="23">
        <v>2.8400000000000002E-2</v>
      </c>
      <c r="G10">
        <v>49</v>
      </c>
      <c r="H10">
        <v>1</v>
      </c>
      <c r="I10">
        <v>2429</v>
      </c>
      <c r="J10" s="27">
        <v>1</v>
      </c>
      <c r="K10">
        <v>1</v>
      </c>
      <c r="L10">
        <v>2386</v>
      </c>
      <c r="M10">
        <v>2386</v>
      </c>
      <c r="N10">
        <v>2386</v>
      </c>
      <c r="O10">
        <v>2386</v>
      </c>
      <c r="P10" s="23">
        <v>0.98229699999999998</v>
      </c>
    </row>
    <row r="11" spans="1:16" x14ac:dyDescent="0.25">
      <c r="A11" t="s">
        <v>24</v>
      </c>
      <c r="B11" s="22">
        <v>1449629041</v>
      </c>
      <c r="C11">
        <v>2436</v>
      </c>
      <c r="D11">
        <v>64</v>
      </c>
      <c r="E11" s="23">
        <v>0.97440000000000004</v>
      </c>
      <c r="F11" s="23">
        <v>2.5600000000000001E-2</v>
      </c>
      <c r="G11">
        <v>49</v>
      </c>
      <c r="H11">
        <v>1</v>
      </c>
      <c r="I11">
        <v>2436</v>
      </c>
      <c r="J11" s="27">
        <v>1</v>
      </c>
      <c r="K11">
        <v>1</v>
      </c>
      <c r="L11">
        <v>2389</v>
      </c>
      <c r="M11">
        <v>2389</v>
      </c>
      <c r="N11">
        <v>2389</v>
      </c>
      <c r="O11">
        <v>2389</v>
      </c>
      <c r="P11" s="23">
        <v>0.98070599999999997</v>
      </c>
    </row>
    <row r="12" spans="1:16" x14ac:dyDescent="0.25">
      <c r="A12" t="s">
        <v>24</v>
      </c>
      <c r="B12" s="22">
        <v>650819471</v>
      </c>
      <c r="C12">
        <v>2429</v>
      </c>
      <c r="D12">
        <v>71</v>
      </c>
      <c r="E12" s="23">
        <v>0.97160000000000002</v>
      </c>
      <c r="F12" s="23">
        <v>2.8400000000000002E-2</v>
      </c>
      <c r="G12">
        <v>49</v>
      </c>
      <c r="H12">
        <v>1</v>
      </c>
      <c r="I12">
        <v>2429</v>
      </c>
      <c r="J12" s="27">
        <v>1</v>
      </c>
      <c r="K12">
        <v>1</v>
      </c>
      <c r="L12">
        <v>2380</v>
      </c>
      <c r="M12">
        <v>2380</v>
      </c>
      <c r="N12">
        <v>2380</v>
      </c>
      <c r="O12">
        <v>2380</v>
      </c>
      <c r="P12" s="23">
        <v>0.979827</v>
      </c>
    </row>
    <row r="13" spans="1:16" x14ac:dyDescent="0.25">
      <c r="A13" t="s">
        <v>24</v>
      </c>
      <c r="B13" s="22">
        <v>1581398447</v>
      </c>
      <c r="C13">
        <v>2454</v>
      </c>
      <c r="D13">
        <v>46</v>
      </c>
      <c r="E13" s="23">
        <v>0.98160000000000003</v>
      </c>
      <c r="F13" s="23">
        <v>1.84E-2</v>
      </c>
      <c r="G13">
        <v>49</v>
      </c>
      <c r="H13">
        <v>1</v>
      </c>
      <c r="I13">
        <v>2454</v>
      </c>
      <c r="J13" s="27">
        <v>1</v>
      </c>
      <c r="K13">
        <v>1</v>
      </c>
      <c r="L13">
        <v>2411</v>
      </c>
      <c r="M13">
        <v>2411</v>
      </c>
      <c r="N13">
        <v>2411</v>
      </c>
      <c r="O13">
        <v>2411</v>
      </c>
      <c r="P13" s="23">
        <v>0.98247799999999996</v>
      </c>
    </row>
    <row r="14" spans="1:16" x14ac:dyDescent="0.25">
      <c r="A14" t="s">
        <v>24</v>
      </c>
      <c r="B14" s="22">
        <v>26624270</v>
      </c>
      <c r="C14">
        <v>2455</v>
      </c>
      <c r="D14">
        <v>45</v>
      </c>
      <c r="E14" s="23">
        <v>0.98199999999999998</v>
      </c>
      <c r="F14" s="23">
        <v>1.7999999999999999E-2</v>
      </c>
      <c r="G14">
        <v>49</v>
      </c>
      <c r="H14">
        <v>1</v>
      </c>
      <c r="I14">
        <v>2455</v>
      </c>
      <c r="J14" s="27">
        <v>1</v>
      </c>
      <c r="K14">
        <v>1</v>
      </c>
      <c r="L14">
        <v>2416</v>
      </c>
      <c r="M14">
        <v>2416</v>
      </c>
      <c r="N14">
        <v>2416</v>
      </c>
      <c r="O14">
        <v>2416</v>
      </c>
      <c r="P14" s="23">
        <v>0.98411400000000004</v>
      </c>
    </row>
    <row r="15" spans="1:16" x14ac:dyDescent="0.25">
      <c r="A15" t="s">
        <v>24</v>
      </c>
      <c r="B15" s="22">
        <v>281253523</v>
      </c>
      <c r="C15">
        <v>2450</v>
      </c>
      <c r="D15">
        <v>50</v>
      </c>
      <c r="E15" s="23">
        <v>0.98</v>
      </c>
      <c r="F15" s="23">
        <v>0.02</v>
      </c>
      <c r="G15">
        <v>49</v>
      </c>
      <c r="H15">
        <v>1</v>
      </c>
      <c r="I15">
        <v>2450</v>
      </c>
      <c r="J15" s="27">
        <v>1</v>
      </c>
      <c r="K15">
        <v>1</v>
      </c>
      <c r="L15">
        <v>2416</v>
      </c>
      <c r="M15">
        <v>2416</v>
      </c>
      <c r="N15">
        <v>2416</v>
      </c>
      <c r="O15">
        <v>2416</v>
      </c>
      <c r="P15" s="23">
        <v>0.98612200000000005</v>
      </c>
    </row>
    <row r="16" spans="1:16" x14ac:dyDescent="0.25">
      <c r="A16" t="s">
        <v>24</v>
      </c>
      <c r="B16" s="22">
        <v>2000410391</v>
      </c>
      <c r="C16">
        <v>2437</v>
      </c>
      <c r="D16">
        <v>63</v>
      </c>
      <c r="E16" s="23">
        <v>0.9748</v>
      </c>
      <c r="F16" s="23">
        <v>2.52E-2</v>
      </c>
      <c r="G16">
        <v>49</v>
      </c>
      <c r="H16">
        <v>1</v>
      </c>
      <c r="I16">
        <v>2437</v>
      </c>
      <c r="J16" s="27">
        <v>1</v>
      </c>
      <c r="K16">
        <v>1</v>
      </c>
      <c r="L16">
        <v>2403</v>
      </c>
      <c r="M16">
        <v>2403</v>
      </c>
      <c r="N16">
        <v>2403</v>
      </c>
      <c r="O16">
        <v>2403</v>
      </c>
      <c r="P16" s="23">
        <v>0.98604800000000004</v>
      </c>
    </row>
    <row r="17" spans="1:16" x14ac:dyDescent="0.25">
      <c r="A17" t="s">
        <v>24</v>
      </c>
      <c r="B17" s="22">
        <v>1233092886</v>
      </c>
      <c r="C17">
        <v>2406</v>
      </c>
      <c r="D17">
        <v>94</v>
      </c>
      <c r="E17" s="23">
        <v>0.96240000000000003</v>
      </c>
      <c r="F17" s="23">
        <v>3.7600000000000001E-2</v>
      </c>
      <c r="G17">
        <v>49</v>
      </c>
      <c r="H17">
        <v>1</v>
      </c>
      <c r="I17">
        <v>2406</v>
      </c>
      <c r="J17" s="27">
        <v>1</v>
      </c>
      <c r="K17">
        <v>2</v>
      </c>
      <c r="L17">
        <v>1169</v>
      </c>
      <c r="M17">
        <v>2333</v>
      </c>
      <c r="N17">
        <v>5</v>
      </c>
      <c r="O17">
        <v>2338</v>
      </c>
      <c r="P17" s="23">
        <v>0.97173699999999996</v>
      </c>
    </row>
    <row r="18" spans="1:16" x14ac:dyDescent="0.25">
      <c r="A18" t="s">
        <v>24</v>
      </c>
      <c r="B18" s="22">
        <v>1835536652</v>
      </c>
      <c r="C18">
        <v>2420</v>
      </c>
      <c r="D18">
        <v>80</v>
      </c>
      <c r="E18" s="23">
        <v>0.96799999999999997</v>
      </c>
      <c r="F18" s="23">
        <v>3.2000000000000001E-2</v>
      </c>
      <c r="G18">
        <v>50</v>
      </c>
      <c r="H18">
        <v>1</v>
      </c>
      <c r="I18">
        <v>2420</v>
      </c>
      <c r="J18" s="27">
        <v>1</v>
      </c>
      <c r="K18">
        <v>1</v>
      </c>
      <c r="L18">
        <v>2366</v>
      </c>
      <c r="M18">
        <v>2366</v>
      </c>
      <c r="N18">
        <v>2366</v>
      </c>
      <c r="O18">
        <v>2366</v>
      </c>
      <c r="P18" s="23">
        <v>0.97768600000000006</v>
      </c>
    </row>
    <row r="19" spans="1:16" x14ac:dyDescent="0.25">
      <c r="A19" t="s">
        <v>24</v>
      </c>
      <c r="B19" s="22">
        <v>1767048682</v>
      </c>
      <c r="C19">
        <v>2459</v>
      </c>
      <c r="D19">
        <v>41</v>
      </c>
      <c r="E19" s="23">
        <v>0.98360000000000003</v>
      </c>
      <c r="F19" s="23">
        <v>1.6400000000000001E-2</v>
      </c>
      <c r="G19">
        <v>49</v>
      </c>
      <c r="H19">
        <v>1</v>
      </c>
      <c r="I19">
        <v>2459</v>
      </c>
      <c r="J19" s="27">
        <v>1</v>
      </c>
      <c r="K19">
        <v>1</v>
      </c>
      <c r="L19">
        <v>2420</v>
      </c>
      <c r="M19">
        <v>2420</v>
      </c>
      <c r="N19">
        <v>2420</v>
      </c>
      <c r="O19">
        <v>2420</v>
      </c>
      <c r="P19" s="23">
        <v>0.98414000000000001</v>
      </c>
    </row>
    <row r="20" spans="1:16" x14ac:dyDescent="0.25">
      <c r="A20" t="s">
        <v>24</v>
      </c>
      <c r="B20" s="22">
        <v>668691833</v>
      </c>
      <c r="C20">
        <v>2407</v>
      </c>
      <c r="D20">
        <v>93</v>
      </c>
      <c r="E20" s="23">
        <v>0.96279999999999999</v>
      </c>
      <c r="F20" s="23">
        <v>3.7199999999999997E-2</v>
      </c>
      <c r="G20">
        <v>50</v>
      </c>
      <c r="H20">
        <v>1</v>
      </c>
      <c r="I20">
        <v>2407</v>
      </c>
      <c r="J20" s="27">
        <v>1</v>
      </c>
      <c r="K20">
        <v>1</v>
      </c>
      <c r="L20">
        <v>2347</v>
      </c>
      <c r="M20">
        <v>2347</v>
      </c>
      <c r="N20">
        <v>2347</v>
      </c>
      <c r="O20">
        <v>2347</v>
      </c>
      <c r="P20" s="23">
        <v>0.97507299999999997</v>
      </c>
    </row>
    <row r="21" spans="1:16" x14ac:dyDescent="0.25">
      <c r="A21" t="s">
        <v>24</v>
      </c>
      <c r="B21" s="22">
        <v>1440029651</v>
      </c>
      <c r="C21">
        <v>2435</v>
      </c>
      <c r="D21">
        <v>65</v>
      </c>
      <c r="E21" s="23">
        <v>0.97399999999999998</v>
      </c>
      <c r="F21" s="23">
        <v>2.5999999999999999E-2</v>
      </c>
      <c r="G21">
        <v>49</v>
      </c>
      <c r="H21">
        <v>1</v>
      </c>
      <c r="I21">
        <v>2435</v>
      </c>
      <c r="J21" s="27">
        <v>1</v>
      </c>
      <c r="K21">
        <v>1</v>
      </c>
      <c r="L21">
        <v>2406</v>
      </c>
      <c r="M21">
        <v>2406</v>
      </c>
      <c r="N21">
        <v>2406</v>
      </c>
      <c r="O21">
        <v>2406</v>
      </c>
      <c r="P21" s="23">
        <v>0.98809000000000002</v>
      </c>
    </row>
    <row r="22" spans="1:16" x14ac:dyDescent="0.25">
      <c r="A22" t="s">
        <v>24</v>
      </c>
      <c r="B22" s="22">
        <v>2101382761</v>
      </c>
      <c r="C22">
        <v>2425</v>
      </c>
      <c r="D22">
        <v>75</v>
      </c>
      <c r="E22" s="23">
        <v>0.97</v>
      </c>
      <c r="F22" s="23">
        <v>0.03</v>
      </c>
      <c r="G22">
        <v>49</v>
      </c>
      <c r="H22">
        <v>1</v>
      </c>
      <c r="I22">
        <v>2425</v>
      </c>
      <c r="J22" s="27">
        <v>1</v>
      </c>
      <c r="K22">
        <v>1</v>
      </c>
      <c r="L22">
        <v>2371</v>
      </c>
      <c r="M22">
        <v>2371</v>
      </c>
      <c r="N22">
        <v>2371</v>
      </c>
      <c r="O22">
        <v>2371</v>
      </c>
      <c r="P22" s="23">
        <v>0.97773200000000005</v>
      </c>
    </row>
    <row r="23" spans="1:16" x14ac:dyDescent="0.25">
      <c r="A23" t="s">
        <v>24</v>
      </c>
      <c r="B23" s="22">
        <v>543245467</v>
      </c>
      <c r="C23">
        <v>2449</v>
      </c>
      <c r="D23">
        <v>51</v>
      </c>
      <c r="E23" s="23">
        <v>0.97960000000000003</v>
      </c>
      <c r="F23" s="23">
        <v>2.0400000000000001E-2</v>
      </c>
      <c r="G23">
        <v>50</v>
      </c>
      <c r="H23">
        <v>1</v>
      </c>
      <c r="I23">
        <v>2449</v>
      </c>
      <c r="J23" s="27">
        <v>1</v>
      </c>
      <c r="K23">
        <v>1</v>
      </c>
      <c r="L23">
        <v>2413</v>
      </c>
      <c r="M23">
        <v>2413</v>
      </c>
      <c r="N23">
        <v>2413</v>
      </c>
      <c r="O23">
        <v>2413</v>
      </c>
      <c r="P23" s="23">
        <v>0.98529999999999995</v>
      </c>
    </row>
    <row r="24" spans="1:16" x14ac:dyDescent="0.25">
      <c r="A24" t="s">
        <v>24</v>
      </c>
      <c r="B24" s="22">
        <v>1113437534</v>
      </c>
      <c r="C24">
        <v>2408</v>
      </c>
      <c r="D24">
        <v>92</v>
      </c>
      <c r="E24" s="23">
        <v>0.96319999999999995</v>
      </c>
      <c r="F24" s="23">
        <v>3.6799999999999999E-2</v>
      </c>
      <c r="G24">
        <v>49</v>
      </c>
      <c r="H24">
        <v>1</v>
      </c>
      <c r="I24">
        <v>2408</v>
      </c>
      <c r="J24" s="27">
        <v>1</v>
      </c>
      <c r="K24">
        <v>1</v>
      </c>
      <c r="L24">
        <v>2352</v>
      </c>
      <c r="M24">
        <v>2352</v>
      </c>
      <c r="N24">
        <v>2352</v>
      </c>
      <c r="O24">
        <v>2352</v>
      </c>
      <c r="P24" s="23">
        <v>0.97674399999999995</v>
      </c>
    </row>
    <row r="25" spans="1:16" x14ac:dyDescent="0.25">
      <c r="A25" t="s">
        <v>24</v>
      </c>
      <c r="B25" s="22">
        <v>89129296</v>
      </c>
      <c r="C25">
        <v>2434</v>
      </c>
      <c r="D25">
        <v>66</v>
      </c>
      <c r="E25" s="23">
        <v>0.97360000000000002</v>
      </c>
      <c r="F25" s="23">
        <v>2.64E-2</v>
      </c>
      <c r="G25">
        <v>49</v>
      </c>
      <c r="H25">
        <v>1</v>
      </c>
      <c r="I25">
        <v>2434</v>
      </c>
      <c r="J25" s="27">
        <v>1</v>
      </c>
      <c r="K25">
        <v>1</v>
      </c>
      <c r="L25">
        <v>2385</v>
      </c>
      <c r="M25">
        <v>2385</v>
      </c>
      <c r="N25">
        <v>2385</v>
      </c>
      <c r="O25">
        <v>2385</v>
      </c>
      <c r="P25" s="23">
        <v>0.97986899999999999</v>
      </c>
    </row>
    <row r="26" spans="1:16" x14ac:dyDescent="0.25">
      <c r="A26" t="s">
        <v>24</v>
      </c>
      <c r="B26" s="22">
        <v>1077480701</v>
      </c>
      <c r="C26">
        <v>2434</v>
      </c>
      <c r="D26">
        <v>66</v>
      </c>
      <c r="E26" s="23">
        <v>0.97360000000000002</v>
      </c>
      <c r="F26" s="23">
        <v>2.64E-2</v>
      </c>
      <c r="G26">
        <v>49</v>
      </c>
      <c r="H26">
        <v>1</v>
      </c>
      <c r="I26">
        <v>2434</v>
      </c>
      <c r="J26" s="27">
        <v>1</v>
      </c>
      <c r="K26">
        <v>1</v>
      </c>
      <c r="L26">
        <v>2388</v>
      </c>
      <c r="M26">
        <v>2388</v>
      </c>
      <c r="N26">
        <v>2388</v>
      </c>
      <c r="O26">
        <v>2388</v>
      </c>
      <c r="P26" s="23">
        <v>0.981101</v>
      </c>
    </row>
    <row r="27" spans="1:16" x14ac:dyDescent="0.25">
      <c r="A27" t="s">
        <v>24</v>
      </c>
      <c r="B27" s="22">
        <v>34208372</v>
      </c>
      <c r="C27">
        <v>2417</v>
      </c>
      <c r="D27">
        <v>83</v>
      </c>
      <c r="E27" s="23">
        <v>0.96679999999999999</v>
      </c>
      <c r="F27" s="23">
        <v>3.32E-2</v>
      </c>
      <c r="G27">
        <v>49</v>
      </c>
      <c r="H27">
        <v>1</v>
      </c>
      <c r="I27">
        <v>2417</v>
      </c>
      <c r="J27" s="27">
        <v>1</v>
      </c>
      <c r="K27">
        <v>1</v>
      </c>
      <c r="L27">
        <v>2358</v>
      </c>
      <c r="M27">
        <v>2358</v>
      </c>
      <c r="N27">
        <v>2358</v>
      </c>
      <c r="O27">
        <v>2358</v>
      </c>
      <c r="P27" s="23">
        <v>0.97558999999999996</v>
      </c>
    </row>
    <row r="28" spans="1:16" x14ac:dyDescent="0.25">
      <c r="A28" t="s">
        <v>24</v>
      </c>
      <c r="B28" s="22">
        <v>1618565766</v>
      </c>
      <c r="C28">
        <v>2397</v>
      </c>
      <c r="D28">
        <v>103</v>
      </c>
      <c r="E28" s="23">
        <v>0.95879999999999999</v>
      </c>
      <c r="F28" s="23">
        <v>4.1200000000000001E-2</v>
      </c>
      <c r="G28">
        <v>50</v>
      </c>
      <c r="H28">
        <v>1</v>
      </c>
      <c r="I28">
        <v>2397</v>
      </c>
      <c r="J28" s="27">
        <v>1</v>
      </c>
      <c r="K28">
        <v>1</v>
      </c>
      <c r="L28">
        <v>2351</v>
      </c>
      <c r="M28">
        <v>2351</v>
      </c>
      <c r="N28">
        <v>2351</v>
      </c>
      <c r="O28">
        <v>2351</v>
      </c>
      <c r="P28" s="23">
        <v>0.98080900000000004</v>
      </c>
    </row>
    <row r="29" spans="1:16" x14ac:dyDescent="0.25">
      <c r="A29" t="s">
        <v>24</v>
      </c>
      <c r="B29" s="22">
        <v>2062825938</v>
      </c>
      <c r="C29">
        <v>2402</v>
      </c>
      <c r="D29">
        <v>98</v>
      </c>
      <c r="E29" s="23">
        <v>0.96079999999999999</v>
      </c>
      <c r="F29" s="23">
        <v>3.9199999999999999E-2</v>
      </c>
      <c r="G29">
        <v>49</v>
      </c>
      <c r="H29">
        <v>1</v>
      </c>
      <c r="I29">
        <v>2402</v>
      </c>
      <c r="J29" s="27">
        <v>1</v>
      </c>
      <c r="K29">
        <v>1</v>
      </c>
      <c r="L29">
        <v>2335</v>
      </c>
      <c r="M29">
        <v>2335</v>
      </c>
      <c r="N29">
        <v>2335</v>
      </c>
      <c r="O29">
        <v>2335</v>
      </c>
      <c r="P29" s="23">
        <v>0.97210700000000005</v>
      </c>
    </row>
    <row r="30" spans="1:16" x14ac:dyDescent="0.25">
      <c r="A30" t="s">
        <v>24</v>
      </c>
      <c r="B30" s="22">
        <v>1516936628</v>
      </c>
      <c r="C30">
        <v>2453</v>
      </c>
      <c r="D30">
        <v>47</v>
      </c>
      <c r="E30" s="23">
        <v>0.98119999999999996</v>
      </c>
      <c r="F30" s="23">
        <v>1.8800000000000001E-2</v>
      </c>
      <c r="G30">
        <v>49</v>
      </c>
      <c r="H30">
        <v>1</v>
      </c>
      <c r="I30">
        <v>2453</v>
      </c>
      <c r="J30" s="27">
        <v>1</v>
      </c>
      <c r="K30">
        <v>1</v>
      </c>
      <c r="L30">
        <v>2415</v>
      </c>
      <c r="M30">
        <v>2415</v>
      </c>
      <c r="N30">
        <v>2415</v>
      </c>
      <c r="O30">
        <v>2415</v>
      </c>
      <c r="P30" s="23">
        <v>0.98450899999999997</v>
      </c>
    </row>
    <row r="31" spans="1:16" x14ac:dyDescent="0.25">
      <c r="A31" t="s">
        <v>24</v>
      </c>
      <c r="B31" s="22">
        <v>374898200</v>
      </c>
      <c r="C31">
        <v>2401</v>
      </c>
      <c r="D31">
        <v>99</v>
      </c>
      <c r="E31" s="23">
        <v>0.96040000000000003</v>
      </c>
      <c r="F31" s="23">
        <v>3.9600000000000003E-2</v>
      </c>
      <c r="G31">
        <v>50</v>
      </c>
      <c r="H31">
        <v>1</v>
      </c>
      <c r="I31">
        <v>2401</v>
      </c>
      <c r="J31" s="27">
        <v>1</v>
      </c>
      <c r="K31">
        <v>1</v>
      </c>
      <c r="L31">
        <v>2327</v>
      </c>
      <c r="M31">
        <v>2327</v>
      </c>
      <c r="N31">
        <v>2327</v>
      </c>
      <c r="O31">
        <v>2327</v>
      </c>
      <c r="P31" s="23">
        <v>0.96918000000000004</v>
      </c>
    </row>
    <row r="32" spans="1:16" x14ac:dyDescent="0.25">
      <c r="A32" t="s">
        <v>24</v>
      </c>
      <c r="B32" s="22">
        <v>583197968</v>
      </c>
      <c r="C32">
        <v>2439</v>
      </c>
      <c r="D32">
        <v>61</v>
      </c>
      <c r="E32" s="23">
        <v>0.97560000000000002</v>
      </c>
      <c r="F32" s="23">
        <v>2.4400000000000002E-2</v>
      </c>
      <c r="G32">
        <v>49</v>
      </c>
      <c r="H32">
        <v>1</v>
      </c>
      <c r="I32">
        <v>2439</v>
      </c>
      <c r="J32" s="27">
        <v>1</v>
      </c>
      <c r="K32">
        <v>1</v>
      </c>
      <c r="L32">
        <v>2397</v>
      </c>
      <c r="M32">
        <v>2397</v>
      </c>
      <c r="N32">
        <v>2397</v>
      </c>
      <c r="O32">
        <v>2397</v>
      </c>
      <c r="P32" s="23">
        <v>0.98277999999999999</v>
      </c>
    </row>
    <row r="33" spans="1:16" x14ac:dyDescent="0.25">
      <c r="A33" t="s">
        <v>24</v>
      </c>
      <c r="B33" s="22">
        <v>1871135977</v>
      </c>
      <c r="C33">
        <v>2442</v>
      </c>
      <c r="D33">
        <v>58</v>
      </c>
      <c r="E33" s="23">
        <v>0.9768</v>
      </c>
      <c r="F33" s="23">
        <v>2.3199999999999998E-2</v>
      </c>
      <c r="G33">
        <v>49</v>
      </c>
      <c r="H33">
        <v>1</v>
      </c>
      <c r="I33">
        <v>2442</v>
      </c>
      <c r="J33" s="27">
        <v>1</v>
      </c>
      <c r="K33">
        <v>1</v>
      </c>
      <c r="L33">
        <v>2387</v>
      </c>
      <c r="M33">
        <v>2387</v>
      </c>
      <c r="N33">
        <v>2387</v>
      </c>
      <c r="O33">
        <v>2387</v>
      </c>
      <c r="P33" s="23">
        <v>0.97747700000000004</v>
      </c>
    </row>
    <row r="34" spans="1:16" x14ac:dyDescent="0.25">
      <c r="A34" t="s">
        <v>24</v>
      </c>
      <c r="B34" s="22">
        <v>664358530</v>
      </c>
      <c r="C34">
        <v>2444</v>
      </c>
      <c r="D34">
        <v>56</v>
      </c>
      <c r="E34" s="23">
        <v>0.97760000000000002</v>
      </c>
      <c r="F34" s="23">
        <v>2.24E-2</v>
      </c>
      <c r="G34">
        <v>49</v>
      </c>
      <c r="H34">
        <v>1</v>
      </c>
      <c r="I34">
        <v>2444</v>
      </c>
      <c r="J34" s="27">
        <v>1</v>
      </c>
      <c r="K34">
        <v>1</v>
      </c>
      <c r="L34">
        <v>2396</v>
      </c>
      <c r="M34">
        <v>2396</v>
      </c>
      <c r="N34">
        <v>2396</v>
      </c>
      <c r="O34">
        <v>2396</v>
      </c>
      <c r="P34" s="23">
        <v>0.98036000000000001</v>
      </c>
    </row>
    <row r="35" spans="1:16" x14ac:dyDescent="0.25">
      <c r="A35" t="s">
        <v>24</v>
      </c>
      <c r="B35" s="22">
        <v>304791486</v>
      </c>
      <c r="C35">
        <v>2448</v>
      </c>
      <c r="D35">
        <v>52</v>
      </c>
      <c r="E35" s="23">
        <v>0.97919999999999996</v>
      </c>
      <c r="F35" s="23">
        <v>2.0799999999999999E-2</v>
      </c>
      <c r="G35">
        <v>49</v>
      </c>
      <c r="H35">
        <v>1</v>
      </c>
      <c r="I35">
        <v>2448</v>
      </c>
      <c r="J35" s="27">
        <v>1</v>
      </c>
      <c r="K35">
        <v>1</v>
      </c>
      <c r="L35">
        <v>2416</v>
      </c>
      <c r="M35">
        <v>2416</v>
      </c>
      <c r="N35">
        <v>2416</v>
      </c>
      <c r="O35">
        <v>2416</v>
      </c>
      <c r="P35" s="23">
        <v>0.98692800000000003</v>
      </c>
    </row>
    <row r="36" spans="1:16" x14ac:dyDescent="0.25">
      <c r="A36" t="s">
        <v>24</v>
      </c>
      <c r="B36" s="22">
        <v>1543408401</v>
      </c>
      <c r="C36">
        <v>2408</v>
      </c>
      <c r="D36">
        <v>92</v>
      </c>
      <c r="E36" s="23">
        <v>0.96319999999999995</v>
      </c>
      <c r="F36" s="23">
        <v>3.6799999999999999E-2</v>
      </c>
      <c r="G36">
        <v>51</v>
      </c>
      <c r="H36">
        <v>1</v>
      </c>
      <c r="I36">
        <v>2408</v>
      </c>
      <c r="J36" s="27">
        <v>1</v>
      </c>
      <c r="K36">
        <v>1</v>
      </c>
      <c r="L36">
        <v>2346</v>
      </c>
      <c r="M36">
        <v>2346</v>
      </c>
      <c r="N36">
        <v>2346</v>
      </c>
      <c r="O36">
        <v>2346</v>
      </c>
      <c r="P36" s="23">
        <v>0.97425200000000001</v>
      </c>
    </row>
    <row r="37" spans="1:16" x14ac:dyDescent="0.25">
      <c r="A37" t="s">
        <v>24</v>
      </c>
      <c r="B37" s="22">
        <v>989385067</v>
      </c>
      <c r="C37">
        <v>2421</v>
      </c>
      <c r="D37">
        <v>79</v>
      </c>
      <c r="E37" s="23">
        <v>0.96840000000000004</v>
      </c>
      <c r="F37" s="23">
        <v>3.1600000000000003E-2</v>
      </c>
      <c r="G37">
        <v>49</v>
      </c>
      <c r="H37">
        <v>1</v>
      </c>
      <c r="I37">
        <v>2421</v>
      </c>
      <c r="J37" s="27">
        <v>1</v>
      </c>
      <c r="K37">
        <v>1</v>
      </c>
      <c r="L37">
        <v>2369</v>
      </c>
      <c r="M37">
        <v>2369</v>
      </c>
      <c r="N37">
        <v>2369</v>
      </c>
      <c r="O37">
        <v>2369</v>
      </c>
      <c r="P37" s="23">
        <v>0.97852099999999997</v>
      </c>
    </row>
    <row r="38" spans="1:16" x14ac:dyDescent="0.25">
      <c r="A38" t="s">
        <v>24</v>
      </c>
      <c r="B38" s="22">
        <v>730720387</v>
      </c>
      <c r="C38">
        <v>2427</v>
      </c>
      <c r="D38">
        <v>73</v>
      </c>
      <c r="E38" s="23">
        <v>0.9708</v>
      </c>
      <c r="F38" s="23">
        <v>2.92E-2</v>
      </c>
      <c r="G38">
        <v>49</v>
      </c>
      <c r="H38">
        <v>1</v>
      </c>
      <c r="I38">
        <v>2427</v>
      </c>
      <c r="J38" s="27">
        <v>1</v>
      </c>
      <c r="K38">
        <v>1</v>
      </c>
      <c r="L38">
        <v>2375</v>
      </c>
      <c r="M38">
        <v>2375</v>
      </c>
      <c r="N38">
        <v>2375</v>
      </c>
      <c r="O38">
        <v>2375</v>
      </c>
      <c r="P38" s="23">
        <v>0.97857400000000005</v>
      </c>
    </row>
    <row r="39" spans="1:16" x14ac:dyDescent="0.25">
      <c r="A39" t="s">
        <v>24</v>
      </c>
      <c r="B39" s="22">
        <v>1706882783</v>
      </c>
      <c r="C39">
        <v>2453</v>
      </c>
      <c r="D39">
        <v>47</v>
      </c>
      <c r="E39" s="23">
        <v>0.98119999999999996</v>
      </c>
      <c r="F39" s="23">
        <v>1.8800000000000001E-2</v>
      </c>
      <c r="G39">
        <v>49</v>
      </c>
      <c r="H39">
        <v>1</v>
      </c>
      <c r="I39">
        <v>2453</v>
      </c>
      <c r="J39" s="27">
        <v>1</v>
      </c>
      <c r="K39">
        <v>1</v>
      </c>
      <c r="L39">
        <v>2420</v>
      </c>
      <c r="M39">
        <v>2420</v>
      </c>
      <c r="N39">
        <v>2420</v>
      </c>
      <c r="O39">
        <v>2420</v>
      </c>
      <c r="P39" s="23">
        <v>0.98654699999999995</v>
      </c>
    </row>
    <row r="40" spans="1:16" x14ac:dyDescent="0.25">
      <c r="A40" t="s">
        <v>24</v>
      </c>
      <c r="B40" s="22">
        <v>221581085</v>
      </c>
      <c r="C40">
        <v>2465</v>
      </c>
      <c r="D40">
        <v>35</v>
      </c>
      <c r="E40" s="23">
        <v>0.98599999999999999</v>
      </c>
      <c r="F40" s="23">
        <v>1.4E-2</v>
      </c>
      <c r="G40">
        <v>49</v>
      </c>
      <c r="H40">
        <v>1</v>
      </c>
      <c r="I40">
        <v>2465</v>
      </c>
      <c r="J40" s="27">
        <v>1</v>
      </c>
      <c r="K40">
        <v>1</v>
      </c>
      <c r="L40">
        <v>2429</v>
      </c>
      <c r="M40">
        <v>2429</v>
      </c>
      <c r="N40">
        <v>2429</v>
      </c>
      <c r="O40">
        <v>2429</v>
      </c>
      <c r="P40" s="23">
        <v>0.98539600000000005</v>
      </c>
    </row>
    <row r="41" spans="1:16" x14ac:dyDescent="0.25">
      <c r="A41" t="s">
        <v>24</v>
      </c>
      <c r="B41" s="22">
        <v>1843796521</v>
      </c>
      <c r="C41">
        <v>2425</v>
      </c>
      <c r="D41">
        <v>75</v>
      </c>
      <c r="E41" s="23">
        <v>0.97</v>
      </c>
      <c r="F41" s="23">
        <v>0.03</v>
      </c>
      <c r="G41">
        <v>49</v>
      </c>
      <c r="H41">
        <v>1</v>
      </c>
      <c r="I41">
        <v>2425</v>
      </c>
      <c r="J41" s="27">
        <v>1</v>
      </c>
      <c r="K41">
        <v>1</v>
      </c>
      <c r="L41">
        <v>2387</v>
      </c>
      <c r="M41">
        <v>2387</v>
      </c>
      <c r="N41">
        <v>2387</v>
      </c>
      <c r="O41">
        <v>2387</v>
      </c>
      <c r="P41" s="23">
        <v>0.98433000000000004</v>
      </c>
    </row>
    <row r="42" spans="1:16" x14ac:dyDescent="0.25">
      <c r="A42" t="s">
        <v>24</v>
      </c>
      <c r="B42" s="22">
        <v>961328345</v>
      </c>
      <c r="C42">
        <v>2398</v>
      </c>
      <c r="D42">
        <v>102</v>
      </c>
      <c r="E42" s="23">
        <v>0.95920000000000005</v>
      </c>
      <c r="F42" s="23">
        <v>4.0800000000000003E-2</v>
      </c>
      <c r="G42">
        <v>49</v>
      </c>
      <c r="H42">
        <v>1</v>
      </c>
      <c r="I42">
        <v>2398</v>
      </c>
      <c r="J42" s="27">
        <v>1</v>
      </c>
      <c r="K42">
        <v>1</v>
      </c>
      <c r="L42">
        <v>2334</v>
      </c>
      <c r="M42">
        <v>2334</v>
      </c>
      <c r="N42">
        <v>2334</v>
      </c>
      <c r="O42">
        <v>2334</v>
      </c>
      <c r="P42" s="23">
        <v>0.97331100000000004</v>
      </c>
    </row>
    <row r="43" spans="1:16" x14ac:dyDescent="0.25">
      <c r="A43" t="s">
        <v>24</v>
      </c>
      <c r="B43" s="22">
        <v>1010747579</v>
      </c>
      <c r="C43">
        <v>2428</v>
      </c>
      <c r="D43">
        <v>72</v>
      </c>
      <c r="E43" s="23">
        <v>0.97119999999999995</v>
      </c>
      <c r="F43" s="23">
        <v>2.8799999999999999E-2</v>
      </c>
      <c r="G43">
        <v>49</v>
      </c>
      <c r="H43">
        <v>1</v>
      </c>
      <c r="I43">
        <v>2428</v>
      </c>
      <c r="J43" s="27">
        <v>1</v>
      </c>
      <c r="K43">
        <v>1</v>
      </c>
      <c r="L43">
        <v>2382</v>
      </c>
      <c r="M43">
        <v>2382</v>
      </c>
      <c r="N43">
        <v>2382</v>
      </c>
      <c r="O43">
        <v>2382</v>
      </c>
      <c r="P43" s="23">
        <v>0.98105399999999998</v>
      </c>
    </row>
    <row r="44" spans="1:16" x14ac:dyDescent="0.25">
      <c r="A44" t="s">
        <v>24</v>
      </c>
      <c r="B44" s="22">
        <v>2042363827</v>
      </c>
      <c r="C44">
        <v>2452</v>
      </c>
      <c r="D44">
        <v>48</v>
      </c>
      <c r="E44" s="23">
        <v>0.98080000000000001</v>
      </c>
      <c r="F44" s="23">
        <v>1.9199999999999998E-2</v>
      </c>
      <c r="G44">
        <v>49</v>
      </c>
      <c r="H44">
        <v>1</v>
      </c>
      <c r="I44">
        <v>2452</v>
      </c>
      <c r="J44" s="27">
        <v>1</v>
      </c>
      <c r="K44">
        <v>1</v>
      </c>
      <c r="L44">
        <v>2420</v>
      </c>
      <c r="M44">
        <v>2420</v>
      </c>
      <c r="N44">
        <v>2420</v>
      </c>
      <c r="O44">
        <v>2420</v>
      </c>
      <c r="P44" s="23">
        <v>0.98694899999999997</v>
      </c>
    </row>
    <row r="45" spans="1:16" x14ac:dyDescent="0.25">
      <c r="A45" t="s">
        <v>24</v>
      </c>
      <c r="B45" s="22">
        <v>347028151</v>
      </c>
      <c r="C45">
        <v>2431</v>
      </c>
      <c r="D45">
        <v>69</v>
      </c>
      <c r="E45" s="23">
        <v>0.97240000000000004</v>
      </c>
      <c r="F45" s="23">
        <v>2.76E-2</v>
      </c>
      <c r="G45">
        <v>49</v>
      </c>
      <c r="H45">
        <v>1</v>
      </c>
      <c r="I45">
        <v>2431</v>
      </c>
      <c r="J45" s="27">
        <v>1</v>
      </c>
      <c r="K45">
        <v>1</v>
      </c>
      <c r="L45">
        <v>2385</v>
      </c>
      <c r="M45">
        <v>2385</v>
      </c>
      <c r="N45">
        <v>2385</v>
      </c>
      <c r="O45">
        <v>2385</v>
      </c>
      <c r="P45" s="23">
        <v>0.98107800000000001</v>
      </c>
    </row>
    <row r="46" spans="1:16" x14ac:dyDescent="0.25">
      <c r="A46" t="s">
        <v>24</v>
      </c>
      <c r="B46" s="22">
        <v>1634001978</v>
      </c>
      <c r="C46">
        <v>2427</v>
      </c>
      <c r="D46">
        <v>73</v>
      </c>
      <c r="E46" s="23">
        <v>0.9708</v>
      </c>
      <c r="F46" s="23">
        <v>2.92E-2</v>
      </c>
      <c r="G46">
        <v>49</v>
      </c>
      <c r="H46">
        <v>1</v>
      </c>
      <c r="I46">
        <v>2427</v>
      </c>
      <c r="J46" s="27">
        <v>1</v>
      </c>
      <c r="K46">
        <v>1</v>
      </c>
      <c r="L46">
        <v>2380</v>
      </c>
      <c r="M46">
        <v>2380</v>
      </c>
      <c r="N46">
        <v>2380</v>
      </c>
      <c r="O46">
        <v>2380</v>
      </c>
      <c r="P46" s="23">
        <v>0.98063500000000003</v>
      </c>
    </row>
    <row r="47" spans="1:16" x14ac:dyDescent="0.25">
      <c r="A47" t="s">
        <v>24</v>
      </c>
      <c r="B47" s="22">
        <v>1144987968</v>
      </c>
      <c r="C47">
        <v>2401</v>
      </c>
      <c r="D47">
        <v>99</v>
      </c>
      <c r="E47" s="23">
        <v>0.96040000000000003</v>
      </c>
      <c r="F47" s="23">
        <v>3.9600000000000003E-2</v>
      </c>
      <c r="G47">
        <v>49</v>
      </c>
      <c r="H47">
        <v>1</v>
      </c>
      <c r="I47">
        <v>2401</v>
      </c>
      <c r="J47" s="27">
        <v>1</v>
      </c>
      <c r="K47">
        <v>2</v>
      </c>
      <c r="L47">
        <v>1167.5</v>
      </c>
      <c r="M47">
        <v>2330</v>
      </c>
      <c r="N47">
        <v>5</v>
      </c>
      <c r="O47">
        <v>2335</v>
      </c>
      <c r="P47" s="23">
        <v>0.97251100000000001</v>
      </c>
    </row>
    <row r="48" spans="1:16" x14ac:dyDescent="0.25">
      <c r="A48" t="s">
        <v>24</v>
      </c>
      <c r="B48" s="22">
        <v>1510210248</v>
      </c>
      <c r="C48">
        <v>2450</v>
      </c>
      <c r="D48">
        <v>50</v>
      </c>
      <c r="E48" s="23">
        <v>0.98</v>
      </c>
      <c r="F48" s="23">
        <v>0.02</v>
      </c>
      <c r="G48">
        <v>49</v>
      </c>
      <c r="H48">
        <v>1</v>
      </c>
      <c r="I48">
        <v>2450</v>
      </c>
      <c r="J48" s="27">
        <v>1</v>
      </c>
      <c r="K48">
        <v>1</v>
      </c>
      <c r="L48">
        <v>2415</v>
      </c>
      <c r="M48">
        <v>2415</v>
      </c>
      <c r="N48">
        <v>2415</v>
      </c>
      <c r="O48">
        <v>2415</v>
      </c>
      <c r="P48" s="23">
        <v>0.98571399999999998</v>
      </c>
    </row>
    <row r="49" spans="1:16" x14ac:dyDescent="0.25">
      <c r="A49" t="s">
        <v>24</v>
      </c>
      <c r="B49" s="22">
        <v>408280503</v>
      </c>
      <c r="C49">
        <v>2432</v>
      </c>
      <c r="D49">
        <v>68</v>
      </c>
      <c r="E49" s="23">
        <v>0.9728</v>
      </c>
      <c r="F49" s="23">
        <v>2.7199999999999998E-2</v>
      </c>
      <c r="G49">
        <v>49</v>
      </c>
      <c r="H49">
        <v>1</v>
      </c>
      <c r="I49">
        <v>2432</v>
      </c>
      <c r="J49" s="27">
        <v>1</v>
      </c>
      <c r="K49">
        <v>1</v>
      </c>
      <c r="L49">
        <v>2376</v>
      </c>
      <c r="M49">
        <v>2376</v>
      </c>
      <c r="N49">
        <v>2376</v>
      </c>
      <c r="O49">
        <v>2376</v>
      </c>
      <c r="P49" s="23">
        <v>0.97697400000000001</v>
      </c>
    </row>
    <row r="50" spans="1:16" x14ac:dyDescent="0.25">
      <c r="A50" t="s">
        <v>24</v>
      </c>
      <c r="B50" s="22">
        <v>1543091582</v>
      </c>
      <c r="C50">
        <v>2409</v>
      </c>
      <c r="D50">
        <v>91</v>
      </c>
      <c r="E50" s="23">
        <v>0.96360000000000001</v>
      </c>
      <c r="F50" s="23">
        <v>3.6400000000000002E-2</v>
      </c>
      <c r="G50">
        <v>49</v>
      </c>
      <c r="H50">
        <v>1</v>
      </c>
      <c r="I50">
        <v>2409</v>
      </c>
      <c r="J50" s="27">
        <v>1</v>
      </c>
      <c r="K50">
        <v>1</v>
      </c>
      <c r="L50">
        <v>2345</v>
      </c>
      <c r="M50">
        <v>2345</v>
      </c>
      <c r="N50">
        <v>2345</v>
      </c>
      <c r="O50">
        <v>2345</v>
      </c>
      <c r="P50" s="23">
        <v>0.97343299999999999</v>
      </c>
    </row>
    <row r="51" spans="1:16" x14ac:dyDescent="0.25">
      <c r="A51" t="s">
        <v>24</v>
      </c>
      <c r="B51" s="22">
        <v>781667234</v>
      </c>
      <c r="C51">
        <v>2426</v>
      </c>
      <c r="D51">
        <v>74</v>
      </c>
      <c r="E51" s="23">
        <v>0.97040000000000004</v>
      </c>
      <c r="F51" s="23">
        <v>2.9600000000000001E-2</v>
      </c>
      <c r="G51">
        <v>50</v>
      </c>
      <c r="H51">
        <v>1</v>
      </c>
      <c r="I51">
        <v>2426</v>
      </c>
      <c r="J51" s="27">
        <v>1</v>
      </c>
      <c r="K51">
        <v>1</v>
      </c>
      <c r="L51">
        <v>2379</v>
      </c>
      <c r="M51">
        <v>2379</v>
      </c>
      <c r="N51">
        <v>2379</v>
      </c>
      <c r="O51">
        <v>2379</v>
      </c>
      <c r="P51" s="23">
        <v>0.98062700000000003</v>
      </c>
    </row>
    <row r="52" spans="1:16" x14ac:dyDescent="0.25">
      <c r="A52" t="s">
        <v>26</v>
      </c>
      <c r="B52"/>
      <c r="C52">
        <f>SUBTOTAL(101,CA4_wall50_it6_neigh3[floors])</f>
        <v>2430.2800000000002</v>
      </c>
      <c r="D52">
        <f>SUBTOTAL(101,CA4_wall50_it6_neigh3[walls])</f>
        <v>69.72</v>
      </c>
      <c r="E52" s="24">
        <f>SUBTOTAL(101,CA4_wall50_it6_neigh3[floor_percent])</f>
        <v>0.97211200000000009</v>
      </c>
      <c r="F52" s="24">
        <f>SUBTOTAL(101,CA4_wall50_it6_neigh3[wall_percent])</f>
        <v>2.7888000000000003E-2</v>
      </c>
      <c r="G52">
        <f>SUBTOTAL(101,CA4_wall50_it6_neigh3[longest_shortest_path])</f>
        <v>49.18</v>
      </c>
      <c r="H52">
        <f>SUBTOTAL(101,CA4_wall50_it6_neigh3[component_count])</f>
        <v>1</v>
      </c>
      <c r="I52">
        <f>SUBTOTAL(101,CA4_wall50_it6_neigh3[max_component_size])</f>
        <v>2430.2800000000002</v>
      </c>
      <c r="J52" s="25">
        <f>SUBTOTAL(101,CA4_wall50_it6_neigh3[connectivity_ratio])</f>
        <v>1</v>
      </c>
      <c r="K52">
        <f>SUBTOTAL(101,CA4_wall50_it6_neigh3[room_count])</f>
        <v>1.08</v>
      </c>
      <c r="L52">
        <f>SUBTOTAL(101,CA4_wall50_it6_neigh3[avg_room_size])</f>
        <v>2288.1799999999998</v>
      </c>
      <c r="M52">
        <f>SUBTOTAL(101,CA4_wall50_it6_neigh3[max_room_size])</f>
        <v>2381.88</v>
      </c>
      <c r="N52">
        <f>SUBTOTAL(101,CA4_wall50_it6_neigh3[min_room_size])</f>
        <v>2194.48</v>
      </c>
      <c r="O52">
        <f>SUBTOTAL(101,CA4_wall50_it6_neigh3[room_tiles])</f>
        <v>2382.2600000000002</v>
      </c>
      <c r="P52" s="24">
        <f>SUBTOTAL(101,CA4_wall50_it6_neigh3[room_ratio])</f>
        <v>0.98021079999999994</v>
      </c>
    </row>
    <row r="53" spans="1:16" x14ac:dyDescent="0.25">
      <c r="A53" s="26" t="s">
        <v>34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59A7-1183-44FA-A8A4-AB0A50228FDE}">
  <dimension ref="A1:P53"/>
  <sheetViews>
    <sheetView topLeftCell="A34" workbookViewId="0">
      <selection activeCell="I70" sqref="I70:I71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1138997086</v>
      </c>
      <c r="C2">
        <v>2392</v>
      </c>
      <c r="D2">
        <v>108</v>
      </c>
      <c r="E2" s="23">
        <v>0.95679999999999998</v>
      </c>
      <c r="F2" s="23">
        <v>4.3200000000000002E-2</v>
      </c>
      <c r="G2">
        <v>50</v>
      </c>
      <c r="H2">
        <v>1</v>
      </c>
      <c r="I2">
        <v>2392</v>
      </c>
      <c r="J2" s="27">
        <v>1</v>
      </c>
      <c r="K2">
        <v>1</v>
      </c>
      <c r="L2">
        <v>2336</v>
      </c>
      <c r="M2">
        <v>2336</v>
      </c>
      <c r="N2">
        <v>2336</v>
      </c>
      <c r="O2">
        <v>2336</v>
      </c>
      <c r="P2" s="23">
        <v>0.97658900000000004</v>
      </c>
    </row>
    <row r="3" spans="1:16" x14ac:dyDescent="0.25">
      <c r="A3" t="s">
        <v>24</v>
      </c>
      <c r="B3" s="22">
        <v>1224181534</v>
      </c>
      <c r="C3">
        <v>2358</v>
      </c>
      <c r="D3">
        <v>142</v>
      </c>
      <c r="E3" s="23">
        <v>0.94320000000000004</v>
      </c>
      <c r="F3" s="23">
        <v>5.6800000000000003E-2</v>
      </c>
      <c r="G3">
        <v>50</v>
      </c>
      <c r="H3">
        <v>1</v>
      </c>
      <c r="I3">
        <v>2358</v>
      </c>
      <c r="J3" s="27">
        <v>1</v>
      </c>
      <c r="K3">
        <v>1</v>
      </c>
      <c r="L3">
        <v>2292</v>
      </c>
      <c r="M3">
        <v>2292</v>
      </c>
      <c r="N3">
        <v>2292</v>
      </c>
      <c r="O3">
        <v>2292</v>
      </c>
      <c r="P3" s="23">
        <v>0.97201000000000004</v>
      </c>
    </row>
    <row r="4" spans="1:16" x14ac:dyDescent="0.25">
      <c r="A4" t="s">
        <v>24</v>
      </c>
      <c r="B4" s="22">
        <v>1144256670</v>
      </c>
      <c r="C4">
        <v>2351</v>
      </c>
      <c r="D4">
        <v>149</v>
      </c>
      <c r="E4" s="23">
        <v>0.94040000000000001</v>
      </c>
      <c r="F4" s="23">
        <v>5.96E-2</v>
      </c>
      <c r="G4">
        <v>49</v>
      </c>
      <c r="H4">
        <v>1</v>
      </c>
      <c r="I4">
        <v>2351</v>
      </c>
      <c r="J4" s="27">
        <v>1</v>
      </c>
      <c r="K4">
        <v>1</v>
      </c>
      <c r="L4">
        <v>2282</v>
      </c>
      <c r="M4">
        <v>2282</v>
      </c>
      <c r="N4">
        <v>2282</v>
      </c>
      <c r="O4">
        <v>2282</v>
      </c>
      <c r="P4" s="23">
        <v>0.97065100000000004</v>
      </c>
    </row>
    <row r="5" spans="1:16" x14ac:dyDescent="0.25">
      <c r="A5" t="s">
        <v>24</v>
      </c>
      <c r="B5" s="22">
        <v>419642881</v>
      </c>
      <c r="C5">
        <v>2392</v>
      </c>
      <c r="D5">
        <v>108</v>
      </c>
      <c r="E5" s="23">
        <v>0.95679999999999998</v>
      </c>
      <c r="F5" s="23">
        <v>4.3200000000000002E-2</v>
      </c>
      <c r="G5">
        <v>50</v>
      </c>
      <c r="H5">
        <v>1</v>
      </c>
      <c r="I5">
        <v>2392</v>
      </c>
      <c r="J5" s="27">
        <v>1</v>
      </c>
      <c r="K5">
        <v>1</v>
      </c>
      <c r="L5">
        <v>2326</v>
      </c>
      <c r="M5">
        <v>2326</v>
      </c>
      <c r="N5">
        <v>2326</v>
      </c>
      <c r="O5">
        <v>2326</v>
      </c>
      <c r="P5" s="23">
        <v>0.97240800000000005</v>
      </c>
    </row>
    <row r="6" spans="1:16" x14ac:dyDescent="0.25">
      <c r="A6" t="s">
        <v>24</v>
      </c>
      <c r="B6" s="22">
        <v>1918929714</v>
      </c>
      <c r="C6">
        <v>2365</v>
      </c>
      <c r="D6">
        <v>135</v>
      </c>
      <c r="E6" s="23">
        <v>0.94599999999999995</v>
      </c>
      <c r="F6" s="23">
        <v>5.3999999999999999E-2</v>
      </c>
      <c r="G6">
        <v>50</v>
      </c>
      <c r="H6">
        <v>1</v>
      </c>
      <c r="I6">
        <v>2365</v>
      </c>
      <c r="J6" s="27">
        <v>1</v>
      </c>
      <c r="K6">
        <v>1</v>
      </c>
      <c r="L6">
        <v>2300</v>
      </c>
      <c r="M6">
        <v>2300</v>
      </c>
      <c r="N6">
        <v>2300</v>
      </c>
      <c r="O6">
        <v>2300</v>
      </c>
      <c r="P6" s="23">
        <v>0.97251600000000005</v>
      </c>
    </row>
    <row r="7" spans="1:16" x14ac:dyDescent="0.25">
      <c r="A7" t="s">
        <v>24</v>
      </c>
      <c r="B7" s="22">
        <v>609876928</v>
      </c>
      <c r="C7">
        <v>2370</v>
      </c>
      <c r="D7">
        <v>130</v>
      </c>
      <c r="E7" s="23">
        <v>0.94799999999999995</v>
      </c>
      <c r="F7" s="23">
        <v>5.1999999999999998E-2</v>
      </c>
      <c r="G7">
        <v>50</v>
      </c>
      <c r="H7">
        <v>1</v>
      </c>
      <c r="I7">
        <v>2370</v>
      </c>
      <c r="J7" s="27">
        <v>1</v>
      </c>
      <c r="K7">
        <v>1</v>
      </c>
      <c r="L7">
        <v>2298</v>
      </c>
      <c r="M7">
        <v>2298</v>
      </c>
      <c r="N7">
        <v>2298</v>
      </c>
      <c r="O7">
        <v>2298</v>
      </c>
      <c r="P7" s="23">
        <v>0.96962000000000004</v>
      </c>
    </row>
    <row r="8" spans="1:16" x14ac:dyDescent="0.25">
      <c r="A8" t="s">
        <v>24</v>
      </c>
      <c r="B8" s="22">
        <v>970527868</v>
      </c>
      <c r="C8">
        <v>2368</v>
      </c>
      <c r="D8">
        <v>132</v>
      </c>
      <c r="E8" s="23">
        <v>0.94720000000000004</v>
      </c>
      <c r="F8" s="23">
        <v>5.28E-2</v>
      </c>
      <c r="G8">
        <v>50</v>
      </c>
      <c r="H8">
        <v>1</v>
      </c>
      <c r="I8">
        <v>2368</v>
      </c>
      <c r="J8" s="27">
        <v>1</v>
      </c>
      <c r="K8">
        <v>1</v>
      </c>
      <c r="L8">
        <v>2289</v>
      </c>
      <c r="M8">
        <v>2289</v>
      </c>
      <c r="N8">
        <v>2289</v>
      </c>
      <c r="O8">
        <v>2289</v>
      </c>
      <c r="P8" s="23">
        <v>0.96663900000000003</v>
      </c>
    </row>
    <row r="9" spans="1:16" x14ac:dyDescent="0.25">
      <c r="A9" t="s">
        <v>24</v>
      </c>
      <c r="B9" s="22">
        <v>195588017</v>
      </c>
      <c r="C9">
        <v>2341</v>
      </c>
      <c r="D9">
        <v>159</v>
      </c>
      <c r="E9" s="23">
        <v>0.93640000000000001</v>
      </c>
      <c r="F9" s="23">
        <v>6.3600000000000004E-2</v>
      </c>
      <c r="G9">
        <v>49</v>
      </c>
      <c r="H9">
        <v>1</v>
      </c>
      <c r="I9">
        <v>2341</v>
      </c>
      <c r="J9" s="27">
        <v>1</v>
      </c>
      <c r="K9">
        <v>1</v>
      </c>
      <c r="L9">
        <v>2235</v>
      </c>
      <c r="M9">
        <v>2235</v>
      </c>
      <c r="N9">
        <v>2235</v>
      </c>
      <c r="O9">
        <v>2235</v>
      </c>
      <c r="P9" s="23">
        <v>0.95472000000000001</v>
      </c>
    </row>
    <row r="10" spans="1:16" x14ac:dyDescent="0.25">
      <c r="A10" t="s">
        <v>24</v>
      </c>
      <c r="B10" s="22">
        <v>593856125</v>
      </c>
      <c r="C10">
        <v>2390</v>
      </c>
      <c r="D10">
        <v>110</v>
      </c>
      <c r="E10" s="23">
        <v>0.95599999999999996</v>
      </c>
      <c r="F10" s="23">
        <v>4.3999999999999997E-2</v>
      </c>
      <c r="G10">
        <v>49</v>
      </c>
      <c r="H10">
        <v>1</v>
      </c>
      <c r="I10">
        <v>2390</v>
      </c>
      <c r="J10" s="27">
        <v>1</v>
      </c>
      <c r="K10">
        <v>1</v>
      </c>
      <c r="L10">
        <v>2325</v>
      </c>
      <c r="M10">
        <v>2325</v>
      </c>
      <c r="N10">
        <v>2325</v>
      </c>
      <c r="O10">
        <v>2325</v>
      </c>
      <c r="P10" s="23">
        <v>0.97280299999999997</v>
      </c>
    </row>
    <row r="11" spans="1:16" x14ac:dyDescent="0.25">
      <c r="A11" t="s">
        <v>24</v>
      </c>
      <c r="B11" s="22">
        <v>2083620159</v>
      </c>
      <c r="C11">
        <v>2406</v>
      </c>
      <c r="D11">
        <v>94</v>
      </c>
      <c r="E11" s="23">
        <v>0.96240000000000003</v>
      </c>
      <c r="F11" s="23">
        <v>3.7600000000000001E-2</v>
      </c>
      <c r="G11">
        <v>49</v>
      </c>
      <c r="H11">
        <v>1</v>
      </c>
      <c r="I11">
        <v>2406</v>
      </c>
      <c r="J11" s="27">
        <v>1</v>
      </c>
      <c r="K11">
        <v>1</v>
      </c>
      <c r="L11">
        <v>2342</v>
      </c>
      <c r="M11">
        <v>2342</v>
      </c>
      <c r="N11">
        <v>2342</v>
      </c>
      <c r="O11">
        <v>2342</v>
      </c>
      <c r="P11" s="23">
        <v>0.97340000000000004</v>
      </c>
    </row>
    <row r="12" spans="1:16" x14ac:dyDescent="0.25">
      <c r="A12" t="s">
        <v>24</v>
      </c>
      <c r="B12" s="22">
        <v>648400636</v>
      </c>
      <c r="C12">
        <v>2401</v>
      </c>
      <c r="D12">
        <v>99</v>
      </c>
      <c r="E12" s="23">
        <v>0.96040000000000003</v>
      </c>
      <c r="F12" s="23">
        <v>3.9600000000000003E-2</v>
      </c>
      <c r="G12">
        <v>50</v>
      </c>
      <c r="H12">
        <v>1</v>
      </c>
      <c r="I12">
        <v>2401</v>
      </c>
      <c r="J12" s="27">
        <v>1</v>
      </c>
      <c r="K12">
        <v>1</v>
      </c>
      <c r="L12">
        <v>2333</v>
      </c>
      <c r="M12">
        <v>2333</v>
      </c>
      <c r="N12">
        <v>2333</v>
      </c>
      <c r="O12">
        <v>2333</v>
      </c>
      <c r="P12" s="23">
        <v>0.97167800000000004</v>
      </c>
    </row>
    <row r="13" spans="1:16" x14ac:dyDescent="0.25">
      <c r="A13" t="s">
        <v>24</v>
      </c>
      <c r="B13" s="22">
        <v>333877964</v>
      </c>
      <c r="C13">
        <v>2416</v>
      </c>
      <c r="D13">
        <v>84</v>
      </c>
      <c r="E13" s="23">
        <v>0.96640000000000004</v>
      </c>
      <c r="F13" s="23">
        <v>3.3599999999999998E-2</v>
      </c>
      <c r="G13">
        <v>49</v>
      </c>
      <c r="H13">
        <v>1</v>
      </c>
      <c r="I13">
        <v>2416</v>
      </c>
      <c r="J13" s="27">
        <v>1</v>
      </c>
      <c r="K13">
        <v>1</v>
      </c>
      <c r="L13">
        <v>2369</v>
      </c>
      <c r="M13">
        <v>2369</v>
      </c>
      <c r="N13">
        <v>2369</v>
      </c>
      <c r="O13">
        <v>2369</v>
      </c>
      <c r="P13" s="23">
        <v>0.98054600000000003</v>
      </c>
    </row>
    <row r="14" spans="1:16" x14ac:dyDescent="0.25">
      <c r="A14" t="s">
        <v>24</v>
      </c>
      <c r="B14" s="22">
        <v>1826855909</v>
      </c>
      <c r="C14">
        <v>2385</v>
      </c>
      <c r="D14">
        <v>115</v>
      </c>
      <c r="E14" s="23">
        <v>0.95399999999999996</v>
      </c>
      <c r="F14" s="23">
        <v>4.5999999999999999E-2</v>
      </c>
      <c r="G14">
        <v>50</v>
      </c>
      <c r="H14">
        <v>1</v>
      </c>
      <c r="I14">
        <v>2385</v>
      </c>
      <c r="J14" s="27">
        <v>1</v>
      </c>
      <c r="K14">
        <v>1</v>
      </c>
      <c r="L14">
        <v>2320</v>
      </c>
      <c r="M14">
        <v>2320</v>
      </c>
      <c r="N14">
        <v>2320</v>
      </c>
      <c r="O14">
        <v>2320</v>
      </c>
      <c r="P14" s="23">
        <v>0.972746</v>
      </c>
    </row>
    <row r="15" spans="1:16" x14ac:dyDescent="0.25">
      <c r="A15" t="s">
        <v>24</v>
      </c>
      <c r="B15" s="22">
        <v>197094135</v>
      </c>
      <c r="C15">
        <v>2358</v>
      </c>
      <c r="D15">
        <v>142</v>
      </c>
      <c r="E15" s="23">
        <v>0.94320000000000004</v>
      </c>
      <c r="F15" s="23">
        <v>5.6800000000000003E-2</v>
      </c>
      <c r="G15">
        <v>50</v>
      </c>
      <c r="H15">
        <v>1</v>
      </c>
      <c r="I15">
        <v>2358</v>
      </c>
      <c r="J15" s="27">
        <v>1</v>
      </c>
      <c r="K15">
        <v>1</v>
      </c>
      <c r="L15">
        <v>2270</v>
      </c>
      <c r="M15">
        <v>2270</v>
      </c>
      <c r="N15">
        <v>2270</v>
      </c>
      <c r="O15">
        <v>2270</v>
      </c>
      <c r="P15" s="23">
        <v>0.96267999999999998</v>
      </c>
    </row>
    <row r="16" spans="1:16" x14ac:dyDescent="0.25">
      <c r="A16" t="s">
        <v>24</v>
      </c>
      <c r="B16" s="22">
        <v>1141739591</v>
      </c>
      <c r="C16">
        <v>2371</v>
      </c>
      <c r="D16">
        <v>129</v>
      </c>
      <c r="E16" s="23">
        <v>0.94840000000000002</v>
      </c>
      <c r="F16" s="23">
        <v>5.16E-2</v>
      </c>
      <c r="G16">
        <v>49</v>
      </c>
      <c r="H16">
        <v>1</v>
      </c>
      <c r="I16">
        <v>2371</v>
      </c>
      <c r="J16" s="27">
        <v>1</v>
      </c>
      <c r="K16">
        <v>1</v>
      </c>
      <c r="L16">
        <v>2295</v>
      </c>
      <c r="M16">
        <v>2295</v>
      </c>
      <c r="N16">
        <v>2295</v>
      </c>
      <c r="O16">
        <v>2295</v>
      </c>
      <c r="P16" s="23">
        <v>0.96794599999999997</v>
      </c>
    </row>
    <row r="17" spans="1:16" x14ac:dyDescent="0.25">
      <c r="A17" t="s">
        <v>24</v>
      </c>
      <c r="B17" s="22">
        <v>1673135387</v>
      </c>
      <c r="C17">
        <v>2408</v>
      </c>
      <c r="D17">
        <v>92</v>
      </c>
      <c r="E17" s="23">
        <v>0.96319999999999995</v>
      </c>
      <c r="F17" s="23">
        <v>3.6799999999999999E-2</v>
      </c>
      <c r="G17">
        <v>50</v>
      </c>
      <c r="H17">
        <v>1</v>
      </c>
      <c r="I17">
        <v>2408</v>
      </c>
      <c r="J17" s="27">
        <v>1</v>
      </c>
      <c r="K17">
        <v>1</v>
      </c>
      <c r="L17">
        <v>2345</v>
      </c>
      <c r="M17">
        <v>2345</v>
      </c>
      <c r="N17">
        <v>2345</v>
      </c>
      <c r="O17">
        <v>2345</v>
      </c>
      <c r="P17" s="23">
        <v>0.97383699999999995</v>
      </c>
    </row>
    <row r="18" spans="1:16" x14ac:dyDescent="0.25">
      <c r="A18" t="s">
        <v>24</v>
      </c>
      <c r="B18" s="22">
        <v>528873966</v>
      </c>
      <c r="C18">
        <v>2406</v>
      </c>
      <c r="D18">
        <v>94</v>
      </c>
      <c r="E18" s="23">
        <v>0.96240000000000003</v>
      </c>
      <c r="F18" s="23">
        <v>3.7600000000000001E-2</v>
      </c>
      <c r="G18">
        <v>49</v>
      </c>
      <c r="H18">
        <v>1</v>
      </c>
      <c r="I18">
        <v>2406</v>
      </c>
      <c r="J18" s="27">
        <v>1</v>
      </c>
      <c r="K18">
        <v>1</v>
      </c>
      <c r="L18">
        <v>2356</v>
      </c>
      <c r="M18">
        <v>2356</v>
      </c>
      <c r="N18">
        <v>2356</v>
      </c>
      <c r="O18">
        <v>2356</v>
      </c>
      <c r="P18" s="23">
        <v>0.97921899999999995</v>
      </c>
    </row>
    <row r="19" spans="1:16" x14ac:dyDescent="0.25">
      <c r="A19" t="s">
        <v>24</v>
      </c>
      <c r="B19" s="22">
        <v>1305896761</v>
      </c>
      <c r="C19">
        <v>2376</v>
      </c>
      <c r="D19">
        <v>124</v>
      </c>
      <c r="E19" s="23">
        <v>0.95040000000000002</v>
      </c>
      <c r="F19" s="23">
        <v>4.9599999999999998E-2</v>
      </c>
      <c r="G19">
        <v>49</v>
      </c>
      <c r="H19">
        <v>1</v>
      </c>
      <c r="I19">
        <v>2376</v>
      </c>
      <c r="J19" s="27">
        <v>1</v>
      </c>
      <c r="K19">
        <v>1</v>
      </c>
      <c r="L19">
        <v>2309</v>
      </c>
      <c r="M19">
        <v>2309</v>
      </c>
      <c r="N19">
        <v>2309</v>
      </c>
      <c r="O19">
        <v>2309</v>
      </c>
      <c r="P19" s="23">
        <v>0.97180100000000003</v>
      </c>
    </row>
    <row r="20" spans="1:16" x14ac:dyDescent="0.25">
      <c r="A20" t="s">
        <v>24</v>
      </c>
      <c r="B20" s="22">
        <v>1101109140</v>
      </c>
      <c r="C20">
        <v>2352</v>
      </c>
      <c r="D20">
        <v>148</v>
      </c>
      <c r="E20" s="23">
        <v>0.94079999999999997</v>
      </c>
      <c r="F20" s="23">
        <v>5.9200000000000003E-2</v>
      </c>
      <c r="G20">
        <v>50</v>
      </c>
      <c r="H20">
        <v>1</v>
      </c>
      <c r="I20">
        <v>2352</v>
      </c>
      <c r="J20" s="27">
        <v>1</v>
      </c>
      <c r="K20">
        <v>1</v>
      </c>
      <c r="L20">
        <v>2281</v>
      </c>
      <c r="M20">
        <v>2281</v>
      </c>
      <c r="N20">
        <v>2281</v>
      </c>
      <c r="O20">
        <v>2281</v>
      </c>
      <c r="P20" s="23">
        <v>0.96981300000000004</v>
      </c>
    </row>
    <row r="21" spans="1:16" x14ac:dyDescent="0.25">
      <c r="A21" t="s">
        <v>24</v>
      </c>
      <c r="B21" s="22">
        <v>2060826640</v>
      </c>
      <c r="C21">
        <v>2412</v>
      </c>
      <c r="D21">
        <v>88</v>
      </c>
      <c r="E21" s="23">
        <v>0.96479999999999999</v>
      </c>
      <c r="F21" s="23">
        <v>3.5200000000000002E-2</v>
      </c>
      <c r="G21">
        <v>49</v>
      </c>
      <c r="H21">
        <v>1</v>
      </c>
      <c r="I21">
        <v>2412</v>
      </c>
      <c r="J21" s="27">
        <v>1</v>
      </c>
      <c r="K21">
        <v>1</v>
      </c>
      <c r="L21">
        <v>2348</v>
      </c>
      <c r="M21">
        <v>2348</v>
      </c>
      <c r="N21">
        <v>2348</v>
      </c>
      <c r="O21">
        <v>2348</v>
      </c>
      <c r="P21" s="23">
        <v>0.97346600000000005</v>
      </c>
    </row>
    <row r="22" spans="1:16" x14ac:dyDescent="0.25">
      <c r="A22" t="s">
        <v>24</v>
      </c>
      <c r="B22" s="22">
        <v>1566994692</v>
      </c>
      <c r="C22">
        <v>2357</v>
      </c>
      <c r="D22">
        <v>143</v>
      </c>
      <c r="E22" s="23">
        <v>0.94279999999999997</v>
      </c>
      <c r="F22" s="23">
        <v>5.7200000000000001E-2</v>
      </c>
      <c r="G22">
        <v>49</v>
      </c>
      <c r="H22">
        <v>1</v>
      </c>
      <c r="I22">
        <v>2357</v>
      </c>
      <c r="J22" s="27">
        <v>1</v>
      </c>
      <c r="K22">
        <v>1</v>
      </c>
      <c r="L22">
        <v>2271</v>
      </c>
      <c r="M22">
        <v>2271</v>
      </c>
      <c r="N22">
        <v>2271</v>
      </c>
      <c r="O22">
        <v>2271</v>
      </c>
      <c r="P22" s="23">
        <v>0.96351299999999995</v>
      </c>
    </row>
    <row r="23" spans="1:16" x14ac:dyDescent="0.25">
      <c r="A23" t="s">
        <v>24</v>
      </c>
      <c r="B23" s="22">
        <v>451909128</v>
      </c>
      <c r="C23">
        <v>2417</v>
      </c>
      <c r="D23">
        <v>83</v>
      </c>
      <c r="E23" s="23">
        <v>0.96679999999999999</v>
      </c>
      <c r="F23" s="23">
        <v>3.32E-2</v>
      </c>
      <c r="G23">
        <v>49</v>
      </c>
      <c r="H23">
        <v>1</v>
      </c>
      <c r="I23">
        <v>2417</v>
      </c>
      <c r="J23" s="27">
        <v>1</v>
      </c>
      <c r="K23">
        <v>1</v>
      </c>
      <c r="L23">
        <v>2368</v>
      </c>
      <c r="M23">
        <v>2368</v>
      </c>
      <c r="N23">
        <v>2368</v>
      </c>
      <c r="O23">
        <v>2368</v>
      </c>
      <c r="P23" s="23">
        <v>0.97972700000000001</v>
      </c>
    </row>
    <row r="24" spans="1:16" x14ac:dyDescent="0.25">
      <c r="A24" t="s">
        <v>24</v>
      </c>
      <c r="B24" s="22">
        <v>1886041988</v>
      </c>
      <c r="C24">
        <v>2393</v>
      </c>
      <c r="D24">
        <v>107</v>
      </c>
      <c r="E24" s="23">
        <v>0.95720000000000005</v>
      </c>
      <c r="F24" s="23">
        <v>4.2799999999999998E-2</v>
      </c>
      <c r="G24">
        <v>49</v>
      </c>
      <c r="H24">
        <v>1</v>
      </c>
      <c r="I24">
        <v>2393</v>
      </c>
      <c r="J24" s="27">
        <v>1</v>
      </c>
      <c r="K24">
        <v>1</v>
      </c>
      <c r="L24">
        <v>2325</v>
      </c>
      <c r="M24">
        <v>2325</v>
      </c>
      <c r="N24">
        <v>2325</v>
      </c>
      <c r="O24">
        <v>2325</v>
      </c>
      <c r="P24" s="23">
        <v>0.971584</v>
      </c>
    </row>
    <row r="25" spans="1:16" x14ac:dyDescent="0.25">
      <c r="A25" t="s">
        <v>24</v>
      </c>
      <c r="B25" s="22">
        <v>1451450207</v>
      </c>
      <c r="C25">
        <v>2404</v>
      </c>
      <c r="D25">
        <v>96</v>
      </c>
      <c r="E25" s="23">
        <v>0.96160000000000001</v>
      </c>
      <c r="F25" s="23">
        <v>3.8399999999999997E-2</v>
      </c>
      <c r="G25">
        <v>49</v>
      </c>
      <c r="H25">
        <v>1</v>
      </c>
      <c r="I25">
        <v>2404</v>
      </c>
      <c r="J25" s="27">
        <v>1</v>
      </c>
      <c r="K25">
        <v>1</v>
      </c>
      <c r="L25">
        <v>2350</v>
      </c>
      <c r="M25">
        <v>2350</v>
      </c>
      <c r="N25">
        <v>2350</v>
      </c>
      <c r="O25">
        <v>2350</v>
      </c>
      <c r="P25" s="23">
        <v>0.97753699999999999</v>
      </c>
    </row>
    <row r="26" spans="1:16" x14ac:dyDescent="0.25">
      <c r="A26" t="s">
        <v>24</v>
      </c>
      <c r="B26" s="22">
        <v>1620237643</v>
      </c>
      <c r="C26">
        <v>2380</v>
      </c>
      <c r="D26">
        <v>120</v>
      </c>
      <c r="E26" s="23">
        <v>0.95199999999999996</v>
      </c>
      <c r="F26" s="23">
        <v>4.8000000000000001E-2</v>
      </c>
      <c r="G26">
        <v>49</v>
      </c>
      <c r="H26">
        <v>1</v>
      </c>
      <c r="I26">
        <v>2380</v>
      </c>
      <c r="J26" s="27">
        <v>1</v>
      </c>
      <c r="K26">
        <v>1</v>
      </c>
      <c r="L26">
        <v>2309</v>
      </c>
      <c r="M26">
        <v>2309</v>
      </c>
      <c r="N26">
        <v>2309</v>
      </c>
      <c r="O26">
        <v>2309</v>
      </c>
      <c r="P26" s="23">
        <v>0.97016800000000003</v>
      </c>
    </row>
    <row r="27" spans="1:16" x14ac:dyDescent="0.25">
      <c r="A27" t="s">
        <v>24</v>
      </c>
      <c r="B27" s="22">
        <v>1765338251</v>
      </c>
      <c r="C27">
        <v>2384</v>
      </c>
      <c r="D27">
        <v>116</v>
      </c>
      <c r="E27" s="23">
        <v>0.9536</v>
      </c>
      <c r="F27" s="23">
        <v>4.6399999999999997E-2</v>
      </c>
      <c r="G27">
        <v>49</v>
      </c>
      <c r="H27">
        <v>1</v>
      </c>
      <c r="I27">
        <v>2384</v>
      </c>
      <c r="J27" s="27">
        <v>1</v>
      </c>
      <c r="K27">
        <v>1</v>
      </c>
      <c r="L27">
        <v>2317</v>
      </c>
      <c r="M27">
        <v>2317</v>
      </c>
      <c r="N27">
        <v>2317</v>
      </c>
      <c r="O27">
        <v>2317</v>
      </c>
      <c r="P27" s="23">
        <v>0.97189599999999998</v>
      </c>
    </row>
    <row r="28" spans="1:16" x14ac:dyDescent="0.25">
      <c r="A28" t="s">
        <v>24</v>
      </c>
      <c r="B28" s="22">
        <v>304615778</v>
      </c>
      <c r="C28">
        <v>2385</v>
      </c>
      <c r="D28">
        <v>115</v>
      </c>
      <c r="E28" s="23">
        <v>0.95399999999999996</v>
      </c>
      <c r="F28" s="23">
        <v>4.5999999999999999E-2</v>
      </c>
      <c r="G28">
        <v>49</v>
      </c>
      <c r="H28">
        <v>1</v>
      </c>
      <c r="I28">
        <v>2385</v>
      </c>
      <c r="J28" s="27">
        <v>1</v>
      </c>
      <c r="K28">
        <v>1</v>
      </c>
      <c r="L28">
        <v>2338</v>
      </c>
      <c r="M28">
        <v>2338</v>
      </c>
      <c r="N28">
        <v>2338</v>
      </c>
      <c r="O28">
        <v>2338</v>
      </c>
      <c r="P28" s="23">
        <v>0.980294</v>
      </c>
    </row>
    <row r="29" spans="1:16" x14ac:dyDescent="0.25">
      <c r="A29" t="s">
        <v>24</v>
      </c>
      <c r="B29" s="22">
        <v>675387428</v>
      </c>
      <c r="C29">
        <v>2327</v>
      </c>
      <c r="D29">
        <v>173</v>
      </c>
      <c r="E29" s="23">
        <v>0.93079999999999996</v>
      </c>
      <c r="F29" s="23">
        <v>6.9199999999999998E-2</v>
      </c>
      <c r="G29">
        <v>51</v>
      </c>
      <c r="H29">
        <v>1</v>
      </c>
      <c r="I29">
        <v>2327</v>
      </c>
      <c r="J29" s="27">
        <v>1</v>
      </c>
      <c r="K29">
        <v>1</v>
      </c>
      <c r="L29">
        <v>2233</v>
      </c>
      <c r="M29">
        <v>2233</v>
      </c>
      <c r="N29">
        <v>2233</v>
      </c>
      <c r="O29">
        <v>2233</v>
      </c>
      <c r="P29" s="23">
        <v>0.95960500000000004</v>
      </c>
    </row>
    <row r="30" spans="1:16" x14ac:dyDescent="0.25">
      <c r="A30" t="s">
        <v>24</v>
      </c>
      <c r="B30" s="22">
        <v>1397234032</v>
      </c>
      <c r="C30">
        <v>2410</v>
      </c>
      <c r="D30">
        <v>90</v>
      </c>
      <c r="E30" s="23">
        <v>0.96399999999999997</v>
      </c>
      <c r="F30" s="23">
        <v>3.5999999999999997E-2</v>
      </c>
      <c r="G30">
        <v>49</v>
      </c>
      <c r="H30">
        <v>1</v>
      </c>
      <c r="I30">
        <v>2410</v>
      </c>
      <c r="J30" s="27">
        <v>1</v>
      </c>
      <c r="K30">
        <v>1</v>
      </c>
      <c r="L30">
        <v>2354</v>
      </c>
      <c r="M30">
        <v>2354</v>
      </c>
      <c r="N30">
        <v>2354</v>
      </c>
      <c r="O30">
        <v>2354</v>
      </c>
      <c r="P30" s="23">
        <v>0.97676300000000005</v>
      </c>
    </row>
    <row r="31" spans="1:16" x14ac:dyDescent="0.25">
      <c r="A31" t="s">
        <v>24</v>
      </c>
      <c r="B31" s="22">
        <v>792175228</v>
      </c>
      <c r="C31">
        <v>2369</v>
      </c>
      <c r="D31">
        <v>131</v>
      </c>
      <c r="E31" s="23">
        <v>0.9476</v>
      </c>
      <c r="F31" s="23">
        <v>5.2400000000000002E-2</v>
      </c>
      <c r="G31">
        <v>50</v>
      </c>
      <c r="H31">
        <v>1</v>
      </c>
      <c r="I31">
        <v>2369</v>
      </c>
      <c r="J31" s="27">
        <v>1</v>
      </c>
      <c r="K31">
        <v>1</v>
      </c>
      <c r="L31">
        <v>2264</v>
      </c>
      <c r="M31">
        <v>2264</v>
      </c>
      <c r="N31">
        <v>2264</v>
      </c>
      <c r="O31">
        <v>2264</v>
      </c>
      <c r="P31" s="23">
        <v>0.95567800000000003</v>
      </c>
    </row>
    <row r="32" spans="1:16" x14ac:dyDescent="0.25">
      <c r="A32" t="s">
        <v>24</v>
      </c>
      <c r="B32" s="22">
        <v>1575105527</v>
      </c>
      <c r="C32">
        <v>2347</v>
      </c>
      <c r="D32">
        <v>153</v>
      </c>
      <c r="E32" s="23">
        <v>0.93879999999999997</v>
      </c>
      <c r="F32" s="23">
        <v>6.1199999999999997E-2</v>
      </c>
      <c r="G32">
        <v>50</v>
      </c>
      <c r="H32">
        <v>1</v>
      </c>
      <c r="I32">
        <v>2347</v>
      </c>
      <c r="J32" s="27">
        <v>1</v>
      </c>
      <c r="K32">
        <v>2</v>
      </c>
      <c r="L32">
        <v>1127.5</v>
      </c>
      <c r="M32">
        <v>2254</v>
      </c>
      <c r="N32">
        <v>1</v>
      </c>
      <c r="O32">
        <v>2255</v>
      </c>
      <c r="P32" s="23">
        <v>0.96080100000000002</v>
      </c>
    </row>
    <row r="33" spans="1:16" x14ac:dyDescent="0.25">
      <c r="A33" t="s">
        <v>24</v>
      </c>
      <c r="B33" s="22">
        <v>1544081942</v>
      </c>
      <c r="C33">
        <v>2397</v>
      </c>
      <c r="D33">
        <v>103</v>
      </c>
      <c r="E33" s="23">
        <v>0.95879999999999999</v>
      </c>
      <c r="F33" s="23">
        <v>4.1200000000000001E-2</v>
      </c>
      <c r="G33">
        <v>50</v>
      </c>
      <c r="H33">
        <v>1</v>
      </c>
      <c r="I33">
        <v>2397</v>
      </c>
      <c r="J33" s="27">
        <v>1</v>
      </c>
      <c r="K33">
        <v>1</v>
      </c>
      <c r="L33">
        <v>2337</v>
      </c>
      <c r="M33">
        <v>2337</v>
      </c>
      <c r="N33">
        <v>2337</v>
      </c>
      <c r="O33">
        <v>2337</v>
      </c>
      <c r="P33" s="23">
        <v>0.97496899999999997</v>
      </c>
    </row>
    <row r="34" spans="1:16" x14ac:dyDescent="0.25">
      <c r="A34" t="s">
        <v>24</v>
      </c>
      <c r="B34" s="22">
        <v>1584198781</v>
      </c>
      <c r="C34">
        <v>2382</v>
      </c>
      <c r="D34">
        <v>118</v>
      </c>
      <c r="E34" s="23">
        <v>0.95279999999999998</v>
      </c>
      <c r="F34" s="23">
        <v>4.7199999999999999E-2</v>
      </c>
      <c r="G34">
        <v>49</v>
      </c>
      <c r="H34">
        <v>1</v>
      </c>
      <c r="I34">
        <v>2382</v>
      </c>
      <c r="J34" s="27">
        <v>1</v>
      </c>
      <c r="K34">
        <v>1</v>
      </c>
      <c r="L34">
        <v>2313</v>
      </c>
      <c r="M34">
        <v>2313</v>
      </c>
      <c r="N34">
        <v>2313</v>
      </c>
      <c r="O34">
        <v>2313</v>
      </c>
      <c r="P34" s="23">
        <v>0.97103300000000004</v>
      </c>
    </row>
    <row r="35" spans="1:16" x14ac:dyDescent="0.25">
      <c r="A35" t="s">
        <v>24</v>
      </c>
      <c r="B35" s="22">
        <v>325988793</v>
      </c>
      <c r="C35">
        <v>2368</v>
      </c>
      <c r="D35">
        <v>132</v>
      </c>
      <c r="E35" s="23">
        <v>0.94720000000000004</v>
      </c>
      <c r="F35" s="23">
        <v>5.28E-2</v>
      </c>
      <c r="G35">
        <v>49</v>
      </c>
      <c r="H35">
        <v>1</v>
      </c>
      <c r="I35">
        <v>2368</v>
      </c>
      <c r="J35" s="27">
        <v>1</v>
      </c>
      <c r="K35">
        <v>1</v>
      </c>
      <c r="L35">
        <v>2297</v>
      </c>
      <c r="M35">
        <v>2297</v>
      </c>
      <c r="N35">
        <v>2297</v>
      </c>
      <c r="O35">
        <v>2297</v>
      </c>
      <c r="P35" s="23">
        <v>0.97001700000000002</v>
      </c>
    </row>
    <row r="36" spans="1:16" x14ac:dyDescent="0.25">
      <c r="A36" t="s">
        <v>24</v>
      </c>
      <c r="B36" s="22">
        <v>1331754716</v>
      </c>
      <c r="C36">
        <v>2419</v>
      </c>
      <c r="D36">
        <v>81</v>
      </c>
      <c r="E36" s="23">
        <v>0.96760000000000002</v>
      </c>
      <c r="F36" s="23">
        <v>3.2399999999999998E-2</v>
      </c>
      <c r="G36">
        <v>49</v>
      </c>
      <c r="H36">
        <v>1</v>
      </c>
      <c r="I36">
        <v>2419</v>
      </c>
      <c r="J36" s="27">
        <v>1</v>
      </c>
      <c r="K36">
        <v>1</v>
      </c>
      <c r="L36">
        <v>2369</v>
      </c>
      <c r="M36">
        <v>2369</v>
      </c>
      <c r="N36">
        <v>2369</v>
      </c>
      <c r="O36">
        <v>2369</v>
      </c>
      <c r="P36" s="23">
        <v>0.97933000000000003</v>
      </c>
    </row>
    <row r="37" spans="1:16" x14ac:dyDescent="0.25">
      <c r="A37" t="s">
        <v>24</v>
      </c>
      <c r="B37" s="22">
        <v>1638774318</v>
      </c>
      <c r="C37">
        <v>2363</v>
      </c>
      <c r="D37">
        <v>137</v>
      </c>
      <c r="E37" s="23">
        <v>0.94520000000000004</v>
      </c>
      <c r="F37" s="23">
        <v>5.4800000000000001E-2</v>
      </c>
      <c r="G37">
        <v>49</v>
      </c>
      <c r="H37">
        <v>2</v>
      </c>
      <c r="I37">
        <v>2361</v>
      </c>
      <c r="J37" s="27">
        <v>0.99915399999999999</v>
      </c>
      <c r="K37">
        <v>1</v>
      </c>
      <c r="L37">
        <v>2288</v>
      </c>
      <c r="M37">
        <v>2288</v>
      </c>
      <c r="N37">
        <v>2288</v>
      </c>
      <c r="O37">
        <v>2288</v>
      </c>
      <c r="P37" s="23">
        <v>0.96826100000000004</v>
      </c>
    </row>
    <row r="38" spans="1:16" x14ac:dyDescent="0.25">
      <c r="A38" t="s">
        <v>24</v>
      </c>
      <c r="B38" s="22">
        <v>559642100</v>
      </c>
      <c r="C38">
        <v>2418</v>
      </c>
      <c r="D38">
        <v>82</v>
      </c>
      <c r="E38" s="23">
        <v>0.96719999999999995</v>
      </c>
      <c r="F38" s="23">
        <v>3.2800000000000003E-2</v>
      </c>
      <c r="G38">
        <v>49</v>
      </c>
      <c r="H38">
        <v>1</v>
      </c>
      <c r="I38">
        <v>2418</v>
      </c>
      <c r="J38" s="27">
        <v>1</v>
      </c>
      <c r="K38">
        <v>1</v>
      </c>
      <c r="L38">
        <v>2370</v>
      </c>
      <c r="M38">
        <v>2370</v>
      </c>
      <c r="N38">
        <v>2370</v>
      </c>
      <c r="O38">
        <v>2370</v>
      </c>
      <c r="P38" s="23">
        <v>0.98014900000000005</v>
      </c>
    </row>
    <row r="39" spans="1:16" x14ac:dyDescent="0.25">
      <c r="A39" t="s">
        <v>24</v>
      </c>
      <c r="B39" s="22">
        <v>1815050322</v>
      </c>
      <c r="C39">
        <v>2367</v>
      </c>
      <c r="D39">
        <v>133</v>
      </c>
      <c r="E39" s="23">
        <v>0.94679999999999997</v>
      </c>
      <c r="F39" s="23">
        <v>5.3199999999999997E-2</v>
      </c>
      <c r="G39">
        <v>49</v>
      </c>
      <c r="H39">
        <v>1</v>
      </c>
      <c r="I39">
        <v>2367</v>
      </c>
      <c r="J39" s="27">
        <v>1</v>
      </c>
      <c r="K39">
        <v>1</v>
      </c>
      <c r="L39">
        <v>2299</v>
      </c>
      <c r="M39">
        <v>2299</v>
      </c>
      <c r="N39">
        <v>2299</v>
      </c>
      <c r="O39">
        <v>2299</v>
      </c>
      <c r="P39" s="23">
        <v>0.97127200000000002</v>
      </c>
    </row>
    <row r="40" spans="1:16" x14ac:dyDescent="0.25">
      <c r="A40" t="s">
        <v>24</v>
      </c>
      <c r="B40" s="22">
        <v>1314498684</v>
      </c>
      <c r="C40">
        <v>2426</v>
      </c>
      <c r="D40">
        <v>74</v>
      </c>
      <c r="E40" s="23">
        <v>0.97040000000000004</v>
      </c>
      <c r="F40" s="23">
        <v>2.9600000000000001E-2</v>
      </c>
      <c r="G40">
        <v>49</v>
      </c>
      <c r="H40">
        <v>1</v>
      </c>
      <c r="I40">
        <v>2426</v>
      </c>
      <c r="J40" s="27">
        <v>1</v>
      </c>
      <c r="K40">
        <v>1</v>
      </c>
      <c r="L40">
        <v>2368</v>
      </c>
      <c r="M40">
        <v>2368</v>
      </c>
      <c r="N40">
        <v>2368</v>
      </c>
      <c r="O40">
        <v>2368</v>
      </c>
      <c r="P40" s="23">
        <v>0.97609199999999996</v>
      </c>
    </row>
    <row r="41" spans="1:16" x14ac:dyDescent="0.25">
      <c r="A41" t="s">
        <v>24</v>
      </c>
      <c r="B41" s="22">
        <v>1021101998</v>
      </c>
      <c r="C41">
        <v>2356</v>
      </c>
      <c r="D41">
        <v>144</v>
      </c>
      <c r="E41" s="23">
        <v>0.94240000000000002</v>
      </c>
      <c r="F41" s="23">
        <v>5.7599999999999998E-2</v>
      </c>
      <c r="G41">
        <v>49</v>
      </c>
      <c r="H41">
        <v>1</v>
      </c>
      <c r="I41">
        <v>2356</v>
      </c>
      <c r="J41" s="27">
        <v>1</v>
      </c>
      <c r="K41">
        <v>1</v>
      </c>
      <c r="L41">
        <v>2280</v>
      </c>
      <c r="M41">
        <v>2280</v>
      </c>
      <c r="N41">
        <v>2280</v>
      </c>
      <c r="O41">
        <v>2280</v>
      </c>
      <c r="P41" s="23">
        <v>0.96774199999999999</v>
      </c>
    </row>
    <row r="42" spans="1:16" x14ac:dyDescent="0.25">
      <c r="A42" t="s">
        <v>24</v>
      </c>
      <c r="B42" s="22">
        <v>1399123774</v>
      </c>
      <c r="C42">
        <v>2370</v>
      </c>
      <c r="D42">
        <v>130</v>
      </c>
      <c r="E42" s="23">
        <v>0.94799999999999995</v>
      </c>
      <c r="F42" s="23">
        <v>5.1999999999999998E-2</v>
      </c>
      <c r="G42">
        <v>50</v>
      </c>
      <c r="H42">
        <v>1</v>
      </c>
      <c r="I42">
        <v>2370</v>
      </c>
      <c r="J42" s="27">
        <v>1</v>
      </c>
      <c r="K42">
        <v>1</v>
      </c>
      <c r="L42">
        <v>2309</v>
      </c>
      <c r="M42">
        <v>2309</v>
      </c>
      <c r="N42">
        <v>2309</v>
      </c>
      <c r="O42">
        <v>2309</v>
      </c>
      <c r="P42" s="23">
        <v>0.97426199999999996</v>
      </c>
    </row>
    <row r="43" spans="1:16" x14ac:dyDescent="0.25">
      <c r="A43" t="s">
        <v>24</v>
      </c>
      <c r="B43" s="22">
        <v>284273109</v>
      </c>
      <c r="C43">
        <v>2316</v>
      </c>
      <c r="D43">
        <v>184</v>
      </c>
      <c r="E43" s="23">
        <v>0.9264</v>
      </c>
      <c r="F43" s="23">
        <v>7.3599999999999999E-2</v>
      </c>
      <c r="G43">
        <v>52</v>
      </c>
      <c r="H43">
        <v>1</v>
      </c>
      <c r="I43">
        <v>2316</v>
      </c>
      <c r="J43" s="27">
        <v>1</v>
      </c>
      <c r="K43">
        <v>1</v>
      </c>
      <c r="L43">
        <v>2236</v>
      </c>
      <c r="M43">
        <v>2236</v>
      </c>
      <c r="N43">
        <v>2236</v>
      </c>
      <c r="O43">
        <v>2236</v>
      </c>
      <c r="P43" s="23">
        <v>0.96545800000000004</v>
      </c>
    </row>
    <row r="44" spans="1:16" x14ac:dyDescent="0.25">
      <c r="A44" t="s">
        <v>24</v>
      </c>
      <c r="B44" s="22">
        <v>1224577678</v>
      </c>
      <c r="C44">
        <v>2353</v>
      </c>
      <c r="D44">
        <v>147</v>
      </c>
      <c r="E44" s="23">
        <v>0.94120000000000004</v>
      </c>
      <c r="F44" s="23">
        <v>5.8799999999999998E-2</v>
      </c>
      <c r="G44">
        <v>49</v>
      </c>
      <c r="H44">
        <v>1</v>
      </c>
      <c r="I44">
        <v>2353</v>
      </c>
      <c r="J44" s="27">
        <v>1</v>
      </c>
      <c r="K44">
        <v>1</v>
      </c>
      <c r="L44">
        <v>2264</v>
      </c>
      <c r="M44">
        <v>2264</v>
      </c>
      <c r="N44">
        <v>2264</v>
      </c>
      <c r="O44">
        <v>2264</v>
      </c>
      <c r="P44" s="23">
        <v>0.96217600000000003</v>
      </c>
    </row>
    <row r="45" spans="1:16" x14ac:dyDescent="0.25">
      <c r="A45" t="s">
        <v>24</v>
      </c>
      <c r="B45" s="22">
        <v>318622224</v>
      </c>
      <c r="C45">
        <v>2407</v>
      </c>
      <c r="D45">
        <v>93</v>
      </c>
      <c r="E45" s="23">
        <v>0.96279999999999999</v>
      </c>
      <c r="F45" s="23">
        <v>3.7199999999999997E-2</v>
      </c>
      <c r="G45">
        <v>49</v>
      </c>
      <c r="H45">
        <v>1</v>
      </c>
      <c r="I45">
        <v>2407</v>
      </c>
      <c r="J45" s="27">
        <v>1</v>
      </c>
      <c r="K45">
        <v>1</v>
      </c>
      <c r="L45">
        <v>2346</v>
      </c>
      <c r="M45">
        <v>2346</v>
      </c>
      <c r="N45">
        <v>2346</v>
      </c>
      <c r="O45">
        <v>2346</v>
      </c>
      <c r="P45" s="23">
        <v>0.974657</v>
      </c>
    </row>
    <row r="46" spans="1:16" x14ac:dyDescent="0.25">
      <c r="A46" t="s">
        <v>24</v>
      </c>
      <c r="B46" s="22">
        <v>514700419</v>
      </c>
      <c r="C46">
        <v>2389</v>
      </c>
      <c r="D46">
        <v>111</v>
      </c>
      <c r="E46" s="23">
        <v>0.9556</v>
      </c>
      <c r="F46" s="23">
        <v>4.4400000000000002E-2</v>
      </c>
      <c r="G46">
        <v>49</v>
      </c>
      <c r="H46">
        <v>1</v>
      </c>
      <c r="I46">
        <v>2389</v>
      </c>
      <c r="J46" s="27">
        <v>1</v>
      </c>
      <c r="K46">
        <v>1</v>
      </c>
      <c r="L46">
        <v>2321</v>
      </c>
      <c r="M46">
        <v>2321</v>
      </c>
      <c r="N46">
        <v>2321</v>
      </c>
      <c r="O46">
        <v>2321</v>
      </c>
      <c r="P46" s="23">
        <v>0.97153599999999996</v>
      </c>
    </row>
    <row r="47" spans="1:16" x14ac:dyDescent="0.25">
      <c r="A47" t="s">
        <v>24</v>
      </c>
      <c r="B47" s="22">
        <v>1514062292</v>
      </c>
      <c r="C47">
        <v>2396</v>
      </c>
      <c r="D47">
        <v>104</v>
      </c>
      <c r="E47" s="23">
        <v>0.95840000000000003</v>
      </c>
      <c r="F47" s="23">
        <v>4.1599999999999998E-2</v>
      </c>
      <c r="G47">
        <v>50</v>
      </c>
      <c r="H47">
        <v>1</v>
      </c>
      <c r="I47">
        <v>2396</v>
      </c>
      <c r="J47" s="27">
        <v>1</v>
      </c>
      <c r="K47">
        <v>1</v>
      </c>
      <c r="L47">
        <v>2328</v>
      </c>
      <c r="M47">
        <v>2328</v>
      </c>
      <c r="N47">
        <v>2328</v>
      </c>
      <c r="O47">
        <v>2328</v>
      </c>
      <c r="P47" s="23">
        <v>0.97161900000000001</v>
      </c>
    </row>
    <row r="48" spans="1:16" x14ac:dyDescent="0.25">
      <c r="A48" t="s">
        <v>24</v>
      </c>
      <c r="B48" s="22">
        <v>114792341</v>
      </c>
      <c r="C48">
        <v>2372</v>
      </c>
      <c r="D48">
        <v>128</v>
      </c>
      <c r="E48" s="23">
        <v>0.94879999999999998</v>
      </c>
      <c r="F48" s="23">
        <v>5.1200000000000002E-2</v>
      </c>
      <c r="G48">
        <v>49</v>
      </c>
      <c r="H48">
        <v>1</v>
      </c>
      <c r="I48">
        <v>2372</v>
      </c>
      <c r="J48" s="27">
        <v>1</v>
      </c>
      <c r="K48">
        <v>1</v>
      </c>
      <c r="L48">
        <v>2303</v>
      </c>
      <c r="M48">
        <v>2303</v>
      </c>
      <c r="N48">
        <v>2303</v>
      </c>
      <c r="O48">
        <v>2303</v>
      </c>
      <c r="P48" s="23">
        <v>0.97091099999999997</v>
      </c>
    </row>
    <row r="49" spans="1:16" x14ac:dyDescent="0.25">
      <c r="A49" t="s">
        <v>24</v>
      </c>
      <c r="B49" s="22">
        <v>1394923612</v>
      </c>
      <c r="C49">
        <v>2372</v>
      </c>
      <c r="D49">
        <v>128</v>
      </c>
      <c r="E49" s="23">
        <v>0.94879999999999998</v>
      </c>
      <c r="F49" s="23">
        <v>5.1200000000000002E-2</v>
      </c>
      <c r="G49">
        <v>49</v>
      </c>
      <c r="H49">
        <v>1</v>
      </c>
      <c r="I49">
        <v>2372</v>
      </c>
      <c r="J49" s="27">
        <v>1</v>
      </c>
      <c r="K49">
        <v>1</v>
      </c>
      <c r="L49">
        <v>2303</v>
      </c>
      <c r="M49">
        <v>2303</v>
      </c>
      <c r="N49">
        <v>2303</v>
      </c>
      <c r="O49">
        <v>2303</v>
      </c>
      <c r="P49" s="23">
        <v>0.97091099999999997</v>
      </c>
    </row>
    <row r="50" spans="1:16" x14ac:dyDescent="0.25">
      <c r="A50" t="s">
        <v>24</v>
      </c>
      <c r="B50" s="22">
        <v>1728739110</v>
      </c>
      <c r="C50">
        <v>2386</v>
      </c>
      <c r="D50">
        <v>114</v>
      </c>
      <c r="E50" s="23">
        <v>0.95440000000000003</v>
      </c>
      <c r="F50" s="23">
        <v>4.5600000000000002E-2</v>
      </c>
      <c r="G50">
        <v>49</v>
      </c>
      <c r="H50">
        <v>1</v>
      </c>
      <c r="I50">
        <v>2386</v>
      </c>
      <c r="J50" s="27">
        <v>1</v>
      </c>
      <c r="K50">
        <v>1</v>
      </c>
      <c r="L50">
        <v>2320</v>
      </c>
      <c r="M50">
        <v>2320</v>
      </c>
      <c r="N50">
        <v>2320</v>
      </c>
      <c r="O50">
        <v>2320</v>
      </c>
      <c r="P50" s="23">
        <v>0.97233899999999995</v>
      </c>
    </row>
    <row r="51" spans="1:16" x14ac:dyDescent="0.25">
      <c r="A51" t="s">
        <v>24</v>
      </c>
      <c r="B51" s="22">
        <v>883155978</v>
      </c>
      <c r="C51">
        <v>2373</v>
      </c>
      <c r="D51">
        <v>127</v>
      </c>
      <c r="E51" s="23">
        <v>0.94920000000000004</v>
      </c>
      <c r="F51" s="23">
        <v>5.0799999999999998E-2</v>
      </c>
      <c r="G51">
        <v>49</v>
      </c>
      <c r="H51">
        <v>1</v>
      </c>
      <c r="I51">
        <v>2373</v>
      </c>
      <c r="J51" s="27">
        <v>1</v>
      </c>
      <c r="K51">
        <v>1</v>
      </c>
      <c r="L51">
        <v>2290</v>
      </c>
      <c r="M51">
        <v>2290</v>
      </c>
      <c r="N51">
        <v>2290</v>
      </c>
      <c r="O51">
        <v>2290</v>
      </c>
      <c r="P51" s="23">
        <v>0.96502299999999996</v>
      </c>
    </row>
    <row r="52" spans="1:16" x14ac:dyDescent="0.25">
      <c r="A52" t="s">
        <v>26</v>
      </c>
      <c r="B52"/>
      <c r="C52">
        <f>SUBTOTAL(101,CA4_wall50_it5_neigh3[floors])</f>
        <v>2380.42</v>
      </c>
      <c r="D52">
        <f>SUBTOTAL(101,CA4_wall50_it5_neigh3[walls])</f>
        <v>119.58</v>
      </c>
      <c r="E52" s="24">
        <f>SUBTOTAL(101,CA4_wall50_it5_neigh3[floor_percent])</f>
        <v>0.95216799999999979</v>
      </c>
      <c r="F52" s="24">
        <f>SUBTOTAL(101,CA4_wall50_it5_neigh3[wall_percent])</f>
        <v>4.7831999999999993E-2</v>
      </c>
      <c r="G52">
        <f>SUBTOTAL(101,CA4_wall50_it5_neigh3[longest_shortest_path])</f>
        <v>49.42</v>
      </c>
      <c r="H52">
        <f>SUBTOTAL(101,CA4_wall50_it5_neigh3[component_count])</f>
        <v>1.02</v>
      </c>
      <c r="I52">
        <f>SUBTOTAL(101,CA4_wall50_it5_neigh3[max_component_size])</f>
        <v>2380.38</v>
      </c>
      <c r="J52" s="25">
        <f>SUBTOTAL(101,CA4_wall50_it5_neigh3[connectivity_ratio])</f>
        <v>0.99998307999999991</v>
      </c>
      <c r="K52">
        <f>SUBTOTAL(101,CA4_wall50_it5_neigh3[room_count])</f>
        <v>1.02</v>
      </c>
      <c r="L52">
        <f>SUBTOTAL(101,CA4_wall50_it5_neigh3[avg_room_size])</f>
        <v>2288.9699999999998</v>
      </c>
      <c r="M52">
        <f>SUBTOTAL(101,CA4_wall50_it5_neigh3[max_room_size])</f>
        <v>2311.5</v>
      </c>
      <c r="N52">
        <f>SUBTOTAL(101,CA4_wall50_it5_neigh3[min_room_size])</f>
        <v>2266.44</v>
      </c>
      <c r="O52">
        <f>SUBTOTAL(101,CA4_wall50_it5_neigh3[room_tiles])</f>
        <v>2311.52</v>
      </c>
      <c r="P52" s="24">
        <f>SUBTOTAL(101,CA4_wall50_it5_neigh3[room_ratio])</f>
        <v>0.97100821999999998</v>
      </c>
    </row>
    <row r="53" spans="1:16" x14ac:dyDescent="0.25">
      <c r="A53" s="26" t="s">
        <v>35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6CA3-516F-4516-9FCC-638752714A0A}">
  <dimension ref="A1:P53"/>
  <sheetViews>
    <sheetView topLeftCell="A22" workbookViewId="0">
      <selection activeCell="J22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1155825599</v>
      </c>
      <c r="C2">
        <v>2353</v>
      </c>
      <c r="D2">
        <v>147</v>
      </c>
      <c r="E2" s="23">
        <v>0.94120000000000004</v>
      </c>
      <c r="F2" s="23">
        <v>5.8799999999999998E-2</v>
      </c>
      <c r="G2">
        <v>49</v>
      </c>
      <c r="H2">
        <v>1</v>
      </c>
      <c r="I2">
        <v>2353</v>
      </c>
      <c r="J2" s="27">
        <v>1</v>
      </c>
      <c r="K2">
        <v>1</v>
      </c>
      <c r="L2">
        <v>2275</v>
      </c>
      <c r="M2">
        <v>2275</v>
      </c>
      <c r="N2">
        <v>2275</v>
      </c>
      <c r="O2">
        <v>2275</v>
      </c>
      <c r="P2" s="23">
        <v>0.96685100000000002</v>
      </c>
    </row>
    <row r="3" spans="1:16" x14ac:dyDescent="0.25">
      <c r="A3" t="s">
        <v>24</v>
      </c>
      <c r="B3" s="22">
        <v>1752670112</v>
      </c>
      <c r="C3">
        <v>2309</v>
      </c>
      <c r="D3">
        <v>191</v>
      </c>
      <c r="E3" s="23">
        <v>0.92359999999999998</v>
      </c>
      <c r="F3" s="23">
        <v>7.6399999999999996E-2</v>
      </c>
      <c r="G3">
        <v>49</v>
      </c>
      <c r="H3">
        <v>1</v>
      </c>
      <c r="I3">
        <v>2309</v>
      </c>
      <c r="J3" s="27">
        <v>1</v>
      </c>
      <c r="K3">
        <v>1</v>
      </c>
      <c r="L3">
        <v>2219</v>
      </c>
      <c r="M3">
        <v>2219</v>
      </c>
      <c r="N3">
        <v>2219</v>
      </c>
      <c r="O3">
        <v>2219</v>
      </c>
      <c r="P3" s="23">
        <v>0.96102200000000004</v>
      </c>
    </row>
    <row r="4" spans="1:16" x14ac:dyDescent="0.25">
      <c r="A4" t="s">
        <v>24</v>
      </c>
      <c r="B4" s="22">
        <v>2117075775</v>
      </c>
      <c r="C4">
        <v>2260</v>
      </c>
      <c r="D4">
        <v>240</v>
      </c>
      <c r="E4" s="23">
        <v>0.90400000000000003</v>
      </c>
      <c r="F4" s="23">
        <v>9.6000000000000002E-2</v>
      </c>
      <c r="G4">
        <v>50</v>
      </c>
      <c r="H4">
        <v>1</v>
      </c>
      <c r="I4">
        <v>2260</v>
      </c>
      <c r="J4" s="27">
        <v>1</v>
      </c>
      <c r="K4">
        <v>1</v>
      </c>
      <c r="L4">
        <v>2136</v>
      </c>
      <c r="M4">
        <v>2136</v>
      </c>
      <c r="N4">
        <v>2136</v>
      </c>
      <c r="O4">
        <v>2136</v>
      </c>
      <c r="P4" s="23">
        <v>0.945133</v>
      </c>
    </row>
    <row r="5" spans="1:16" x14ac:dyDescent="0.25">
      <c r="A5" t="s">
        <v>24</v>
      </c>
      <c r="B5" s="22">
        <v>960812722</v>
      </c>
      <c r="C5">
        <v>2302</v>
      </c>
      <c r="D5">
        <v>198</v>
      </c>
      <c r="E5" s="23">
        <v>0.92079999999999995</v>
      </c>
      <c r="F5" s="23">
        <v>7.9200000000000007E-2</v>
      </c>
      <c r="G5">
        <v>50</v>
      </c>
      <c r="H5">
        <v>1</v>
      </c>
      <c r="I5">
        <v>2302</v>
      </c>
      <c r="J5" s="27">
        <v>1</v>
      </c>
      <c r="K5">
        <v>1</v>
      </c>
      <c r="L5">
        <v>2207</v>
      </c>
      <c r="M5">
        <v>2207</v>
      </c>
      <c r="N5">
        <v>2207</v>
      </c>
      <c r="O5">
        <v>2207</v>
      </c>
      <c r="P5" s="23">
        <v>0.95873200000000003</v>
      </c>
    </row>
    <row r="6" spans="1:16" x14ac:dyDescent="0.25">
      <c r="A6" t="s">
        <v>24</v>
      </c>
      <c r="B6" s="22">
        <v>701058571</v>
      </c>
      <c r="C6">
        <v>2309</v>
      </c>
      <c r="D6">
        <v>191</v>
      </c>
      <c r="E6" s="23">
        <v>0.92359999999999998</v>
      </c>
      <c r="F6" s="23">
        <v>7.6399999999999996E-2</v>
      </c>
      <c r="G6">
        <v>49</v>
      </c>
      <c r="H6">
        <v>1</v>
      </c>
      <c r="I6">
        <v>2309</v>
      </c>
      <c r="J6" s="27">
        <v>1</v>
      </c>
      <c r="K6">
        <v>1</v>
      </c>
      <c r="L6">
        <v>2198</v>
      </c>
      <c r="M6">
        <v>2198</v>
      </c>
      <c r="N6">
        <v>2198</v>
      </c>
      <c r="O6">
        <v>2198</v>
      </c>
      <c r="P6" s="23">
        <v>0.95192699999999997</v>
      </c>
    </row>
    <row r="7" spans="1:16" x14ac:dyDescent="0.25">
      <c r="A7" t="s">
        <v>24</v>
      </c>
      <c r="B7" s="22">
        <v>256487910</v>
      </c>
      <c r="C7">
        <v>2292</v>
      </c>
      <c r="D7">
        <v>208</v>
      </c>
      <c r="E7" s="23">
        <v>0.91679999999999995</v>
      </c>
      <c r="F7" s="23">
        <v>8.3199999999999996E-2</v>
      </c>
      <c r="G7">
        <v>51</v>
      </c>
      <c r="H7">
        <v>1</v>
      </c>
      <c r="I7">
        <v>2292</v>
      </c>
      <c r="J7" s="27">
        <v>1</v>
      </c>
      <c r="K7">
        <v>1</v>
      </c>
      <c r="L7">
        <v>2188</v>
      </c>
      <c r="M7">
        <v>2188</v>
      </c>
      <c r="N7">
        <v>2188</v>
      </c>
      <c r="O7">
        <v>2188</v>
      </c>
      <c r="P7" s="23">
        <v>0.95462499999999995</v>
      </c>
    </row>
    <row r="8" spans="1:16" x14ac:dyDescent="0.25">
      <c r="A8" t="s">
        <v>24</v>
      </c>
      <c r="B8" s="22">
        <v>1786057895</v>
      </c>
      <c r="C8">
        <v>2293</v>
      </c>
      <c r="D8">
        <v>207</v>
      </c>
      <c r="E8" s="23">
        <v>0.91720000000000002</v>
      </c>
      <c r="F8" s="23">
        <v>8.2799999999999999E-2</v>
      </c>
      <c r="G8">
        <v>49</v>
      </c>
      <c r="H8">
        <v>1</v>
      </c>
      <c r="I8">
        <v>2293</v>
      </c>
      <c r="J8" s="27">
        <v>1</v>
      </c>
      <c r="K8">
        <v>1</v>
      </c>
      <c r="L8">
        <v>2202</v>
      </c>
      <c r="M8">
        <v>2202</v>
      </c>
      <c r="N8">
        <v>2202</v>
      </c>
      <c r="O8">
        <v>2202</v>
      </c>
      <c r="P8" s="23">
        <v>0.960314</v>
      </c>
    </row>
    <row r="9" spans="1:16" x14ac:dyDescent="0.25">
      <c r="A9" t="s">
        <v>24</v>
      </c>
      <c r="B9" s="22">
        <v>1706069082</v>
      </c>
      <c r="C9">
        <v>2280</v>
      </c>
      <c r="D9">
        <v>220</v>
      </c>
      <c r="E9" s="23">
        <v>0.91200000000000003</v>
      </c>
      <c r="F9" s="23">
        <v>8.7999999999999995E-2</v>
      </c>
      <c r="G9">
        <v>50</v>
      </c>
      <c r="H9">
        <v>1</v>
      </c>
      <c r="I9">
        <v>2280</v>
      </c>
      <c r="J9" s="27">
        <v>1</v>
      </c>
      <c r="K9">
        <v>1</v>
      </c>
      <c r="L9">
        <v>2173</v>
      </c>
      <c r="M9">
        <v>2173</v>
      </c>
      <c r="N9">
        <v>2173</v>
      </c>
      <c r="O9">
        <v>2173</v>
      </c>
      <c r="P9" s="23">
        <v>0.95306999999999997</v>
      </c>
    </row>
    <row r="10" spans="1:16" x14ac:dyDescent="0.25">
      <c r="A10" t="s">
        <v>24</v>
      </c>
      <c r="B10" s="22">
        <v>1925292744</v>
      </c>
      <c r="C10">
        <v>2340</v>
      </c>
      <c r="D10">
        <v>160</v>
      </c>
      <c r="E10" s="23">
        <v>0.93600000000000005</v>
      </c>
      <c r="F10" s="23">
        <v>6.4000000000000001E-2</v>
      </c>
      <c r="G10">
        <v>49</v>
      </c>
      <c r="H10">
        <v>1</v>
      </c>
      <c r="I10">
        <v>2340</v>
      </c>
      <c r="J10" s="27">
        <v>1</v>
      </c>
      <c r="K10">
        <v>1</v>
      </c>
      <c r="L10">
        <v>2250</v>
      </c>
      <c r="M10">
        <v>2250</v>
      </c>
      <c r="N10">
        <v>2250</v>
      </c>
      <c r="O10">
        <v>2250</v>
      </c>
      <c r="P10" s="23">
        <v>0.961538</v>
      </c>
    </row>
    <row r="11" spans="1:16" x14ac:dyDescent="0.25">
      <c r="A11" t="s">
        <v>24</v>
      </c>
      <c r="B11" s="22">
        <v>634616357</v>
      </c>
      <c r="C11">
        <v>2332</v>
      </c>
      <c r="D11">
        <v>168</v>
      </c>
      <c r="E11" s="23">
        <v>0.93279999999999996</v>
      </c>
      <c r="F11" s="23">
        <v>6.7199999999999996E-2</v>
      </c>
      <c r="G11">
        <v>50</v>
      </c>
      <c r="H11">
        <v>1</v>
      </c>
      <c r="I11">
        <v>2332</v>
      </c>
      <c r="J11" s="27">
        <v>1</v>
      </c>
      <c r="K11">
        <v>1</v>
      </c>
      <c r="L11">
        <v>2242</v>
      </c>
      <c r="M11">
        <v>2242</v>
      </c>
      <c r="N11">
        <v>2242</v>
      </c>
      <c r="O11">
        <v>2242</v>
      </c>
      <c r="P11" s="23">
        <v>0.96140700000000001</v>
      </c>
    </row>
    <row r="12" spans="1:16" x14ac:dyDescent="0.25">
      <c r="A12" t="s">
        <v>24</v>
      </c>
      <c r="B12" s="22">
        <v>2001197018</v>
      </c>
      <c r="C12">
        <v>2336</v>
      </c>
      <c r="D12">
        <v>164</v>
      </c>
      <c r="E12" s="23">
        <v>0.93440000000000001</v>
      </c>
      <c r="F12" s="23">
        <v>6.5600000000000006E-2</v>
      </c>
      <c r="G12">
        <v>51</v>
      </c>
      <c r="H12">
        <v>1</v>
      </c>
      <c r="I12">
        <v>2336</v>
      </c>
      <c r="J12" s="27">
        <v>1</v>
      </c>
      <c r="K12">
        <v>1</v>
      </c>
      <c r="L12">
        <v>2253</v>
      </c>
      <c r="M12">
        <v>2253</v>
      </c>
      <c r="N12">
        <v>2253</v>
      </c>
      <c r="O12">
        <v>2253</v>
      </c>
      <c r="P12" s="23">
        <v>0.96446900000000002</v>
      </c>
    </row>
    <row r="13" spans="1:16" x14ac:dyDescent="0.25">
      <c r="A13" t="s">
        <v>24</v>
      </c>
      <c r="B13" s="22">
        <v>274374295</v>
      </c>
      <c r="C13">
        <v>2320</v>
      </c>
      <c r="D13">
        <v>180</v>
      </c>
      <c r="E13" s="23">
        <v>0.92800000000000005</v>
      </c>
      <c r="F13" s="23">
        <v>7.1999999999999995E-2</v>
      </c>
      <c r="G13">
        <v>50</v>
      </c>
      <c r="H13">
        <v>1</v>
      </c>
      <c r="I13">
        <v>2320</v>
      </c>
      <c r="J13" s="27">
        <v>1</v>
      </c>
      <c r="K13">
        <v>1</v>
      </c>
      <c r="L13">
        <v>2240</v>
      </c>
      <c r="M13">
        <v>2240</v>
      </c>
      <c r="N13">
        <v>2240</v>
      </c>
      <c r="O13">
        <v>2240</v>
      </c>
      <c r="P13" s="23">
        <v>0.96551699999999996</v>
      </c>
    </row>
    <row r="14" spans="1:16" x14ac:dyDescent="0.25">
      <c r="A14" t="s">
        <v>24</v>
      </c>
      <c r="B14" s="22">
        <v>522217605</v>
      </c>
      <c r="C14">
        <v>2309</v>
      </c>
      <c r="D14">
        <v>191</v>
      </c>
      <c r="E14" s="23">
        <v>0.92359999999999998</v>
      </c>
      <c r="F14" s="23">
        <v>7.6399999999999996E-2</v>
      </c>
      <c r="G14">
        <v>50</v>
      </c>
      <c r="H14">
        <v>1</v>
      </c>
      <c r="I14">
        <v>2309</v>
      </c>
      <c r="J14" s="27">
        <v>1</v>
      </c>
      <c r="K14">
        <v>1</v>
      </c>
      <c r="L14">
        <v>2222</v>
      </c>
      <c r="M14">
        <v>2222</v>
      </c>
      <c r="N14">
        <v>2222</v>
      </c>
      <c r="O14">
        <v>2222</v>
      </c>
      <c r="P14" s="23">
        <v>0.96232099999999998</v>
      </c>
    </row>
    <row r="15" spans="1:16" x14ac:dyDescent="0.25">
      <c r="A15" t="s">
        <v>24</v>
      </c>
      <c r="B15" s="22">
        <v>970439974</v>
      </c>
      <c r="C15">
        <v>2308</v>
      </c>
      <c r="D15">
        <v>192</v>
      </c>
      <c r="E15" s="23">
        <v>0.92320000000000002</v>
      </c>
      <c r="F15" s="23">
        <v>7.6799999999999993E-2</v>
      </c>
      <c r="G15">
        <v>50</v>
      </c>
      <c r="H15">
        <v>1</v>
      </c>
      <c r="I15">
        <v>2308</v>
      </c>
      <c r="J15" s="27">
        <v>1</v>
      </c>
      <c r="K15">
        <v>1</v>
      </c>
      <c r="L15">
        <v>2223</v>
      </c>
      <c r="M15">
        <v>2223</v>
      </c>
      <c r="N15">
        <v>2223</v>
      </c>
      <c r="O15">
        <v>2223</v>
      </c>
      <c r="P15" s="23">
        <v>0.96317200000000003</v>
      </c>
    </row>
    <row r="16" spans="1:16" x14ac:dyDescent="0.25">
      <c r="A16" t="s">
        <v>24</v>
      </c>
      <c r="B16" s="22">
        <v>520319575</v>
      </c>
      <c r="C16">
        <v>2264</v>
      </c>
      <c r="D16">
        <v>236</v>
      </c>
      <c r="E16" s="23">
        <v>0.90559999999999996</v>
      </c>
      <c r="F16" s="23">
        <v>9.4399999999999998E-2</v>
      </c>
      <c r="G16">
        <v>49</v>
      </c>
      <c r="H16">
        <v>2</v>
      </c>
      <c r="I16">
        <v>2262</v>
      </c>
      <c r="J16" s="27">
        <v>0.99911700000000003</v>
      </c>
      <c r="K16">
        <v>1</v>
      </c>
      <c r="L16">
        <v>2154</v>
      </c>
      <c r="M16">
        <v>2154</v>
      </c>
      <c r="N16">
        <v>2154</v>
      </c>
      <c r="O16">
        <v>2154</v>
      </c>
      <c r="P16" s="23">
        <v>0.95141299999999995</v>
      </c>
    </row>
    <row r="17" spans="1:16" x14ac:dyDescent="0.25">
      <c r="A17" t="s">
        <v>24</v>
      </c>
      <c r="B17" s="22">
        <v>1373075035</v>
      </c>
      <c r="C17">
        <v>2295</v>
      </c>
      <c r="D17">
        <v>205</v>
      </c>
      <c r="E17" s="23">
        <v>0.91800000000000004</v>
      </c>
      <c r="F17" s="23">
        <v>8.2000000000000003E-2</v>
      </c>
      <c r="G17">
        <v>49</v>
      </c>
      <c r="H17">
        <v>1</v>
      </c>
      <c r="I17">
        <v>2295</v>
      </c>
      <c r="J17" s="27">
        <v>1</v>
      </c>
      <c r="K17">
        <v>1</v>
      </c>
      <c r="L17">
        <v>2210</v>
      </c>
      <c r="M17">
        <v>2210</v>
      </c>
      <c r="N17">
        <v>2210</v>
      </c>
      <c r="O17">
        <v>2210</v>
      </c>
      <c r="P17" s="23">
        <v>0.96296300000000001</v>
      </c>
    </row>
    <row r="18" spans="1:16" x14ac:dyDescent="0.25">
      <c r="A18" t="s">
        <v>24</v>
      </c>
      <c r="B18" s="22">
        <v>1327205660</v>
      </c>
      <c r="C18">
        <v>2325</v>
      </c>
      <c r="D18">
        <v>175</v>
      </c>
      <c r="E18" s="23">
        <v>0.93</v>
      </c>
      <c r="F18" s="23">
        <v>7.0000000000000007E-2</v>
      </c>
      <c r="G18">
        <v>50</v>
      </c>
      <c r="H18">
        <v>1</v>
      </c>
      <c r="I18">
        <v>2325</v>
      </c>
      <c r="J18" s="27">
        <v>1</v>
      </c>
      <c r="K18">
        <v>1</v>
      </c>
      <c r="L18">
        <v>2239</v>
      </c>
      <c r="M18">
        <v>2239</v>
      </c>
      <c r="N18">
        <v>2239</v>
      </c>
      <c r="O18">
        <v>2239</v>
      </c>
      <c r="P18" s="23">
        <v>0.96301099999999995</v>
      </c>
    </row>
    <row r="19" spans="1:16" x14ac:dyDescent="0.25">
      <c r="A19" t="s">
        <v>24</v>
      </c>
      <c r="B19" s="22">
        <v>1346316507</v>
      </c>
      <c r="C19">
        <v>2299</v>
      </c>
      <c r="D19">
        <v>201</v>
      </c>
      <c r="E19" s="23">
        <v>0.91959999999999997</v>
      </c>
      <c r="F19" s="23">
        <v>8.0399999999999999E-2</v>
      </c>
      <c r="G19">
        <v>50</v>
      </c>
      <c r="H19">
        <v>1</v>
      </c>
      <c r="I19">
        <v>2299</v>
      </c>
      <c r="J19" s="27">
        <v>1</v>
      </c>
      <c r="K19">
        <v>1</v>
      </c>
      <c r="L19">
        <v>2209</v>
      </c>
      <c r="M19">
        <v>2209</v>
      </c>
      <c r="N19">
        <v>2209</v>
      </c>
      <c r="O19">
        <v>2209</v>
      </c>
      <c r="P19" s="23">
        <v>0.96085299999999996</v>
      </c>
    </row>
    <row r="20" spans="1:16" x14ac:dyDescent="0.25">
      <c r="A20" t="s">
        <v>24</v>
      </c>
      <c r="B20" s="22">
        <v>416156122</v>
      </c>
      <c r="C20">
        <v>2292</v>
      </c>
      <c r="D20">
        <v>208</v>
      </c>
      <c r="E20" s="23">
        <v>0.91679999999999995</v>
      </c>
      <c r="F20" s="23">
        <v>8.3199999999999996E-2</v>
      </c>
      <c r="G20">
        <v>49</v>
      </c>
      <c r="H20">
        <v>1</v>
      </c>
      <c r="I20">
        <v>2292</v>
      </c>
      <c r="J20" s="27">
        <v>1</v>
      </c>
      <c r="K20">
        <v>1</v>
      </c>
      <c r="L20">
        <v>2184</v>
      </c>
      <c r="M20">
        <v>2184</v>
      </c>
      <c r="N20">
        <v>2184</v>
      </c>
      <c r="O20">
        <v>2184</v>
      </c>
      <c r="P20" s="23">
        <v>0.95287999999999995</v>
      </c>
    </row>
    <row r="21" spans="1:16" x14ac:dyDescent="0.25">
      <c r="A21" t="s">
        <v>24</v>
      </c>
      <c r="B21" s="22">
        <v>641257677</v>
      </c>
      <c r="C21">
        <v>2305</v>
      </c>
      <c r="D21">
        <v>195</v>
      </c>
      <c r="E21" s="23">
        <v>0.92200000000000004</v>
      </c>
      <c r="F21" s="23">
        <v>7.8E-2</v>
      </c>
      <c r="G21">
        <v>50</v>
      </c>
      <c r="H21">
        <v>1</v>
      </c>
      <c r="I21">
        <v>2305</v>
      </c>
      <c r="J21" s="27">
        <v>1</v>
      </c>
      <c r="K21">
        <v>1</v>
      </c>
      <c r="L21">
        <v>2213</v>
      </c>
      <c r="M21">
        <v>2213</v>
      </c>
      <c r="N21">
        <v>2213</v>
      </c>
      <c r="O21">
        <v>2213</v>
      </c>
      <c r="P21" s="23">
        <v>0.96008700000000002</v>
      </c>
    </row>
    <row r="22" spans="1:16" x14ac:dyDescent="0.25">
      <c r="A22" t="s">
        <v>24</v>
      </c>
      <c r="B22" s="22">
        <v>908988856</v>
      </c>
      <c r="C22">
        <v>2385</v>
      </c>
      <c r="D22">
        <v>115</v>
      </c>
      <c r="E22" s="23">
        <v>0.95399999999999996</v>
      </c>
      <c r="F22" s="23">
        <v>4.5999999999999999E-2</v>
      </c>
      <c r="G22">
        <v>49</v>
      </c>
      <c r="H22">
        <v>1</v>
      </c>
      <c r="I22">
        <v>2385</v>
      </c>
      <c r="J22" s="27">
        <v>1</v>
      </c>
      <c r="K22">
        <v>1</v>
      </c>
      <c r="L22">
        <v>2316</v>
      </c>
      <c r="M22">
        <v>2316</v>
      </c>
      <c r="N22">
        <v>2316</v>
      </c>
      <c r="O22">
        <v>2316</v>
      </c>
      <c r="P22" s="23">
        <v>0.97106899999999996</v>
      </c>
    </row>
    <row r="23" spans="1:16" x14ac:dyDescent="0.25">
      <c r="A23" t="s">
        <v>24</v>
      </c>
      <c r="B23" s="22">
        <v>1129158461</v>
      </c>
      <c r="C23">
        <v>2322</v>
      </c>
      <c r="D23">
        <v>178</v>
      </c>
      <c r="E23" s="23">
        <v>0.92879999999999996</v>
      </c>
      <c r="F23" s="23">
        <v>7.1199999999999999E-2</v>
      </c>
      <c r="G23">
        <v>50</v>
      </c>
      <c r="H23">
        <v>1</v>
      </c>
      <c r="I23">
        <v>2322</v>
      </c>
      <c r="J23" s="27">
        <v>1</v>
      </c>
      <c r="K23">
        <v>1</v>
      </c>
      <c r="L23">
        <v>2237</v>
      </c>
      <c r="M23">
        <v>2237</v>
      </c>
      <c r="N23">
        <v>2237</v>
      </c>
      <c r="O23">
        <v>2237</v>
      </c>
      <c r="P23" s="23">
        <v>0.96339399999999997</v>
      </c>
    </row>
    <row r="24" spans="1:16" x14ac:dyDescent="0.25">
      <c r="A24" t="s">
        <v>24</v>
      </c>
      <c r="B24" s="22">
        <v>1587291582</v>
      </c>
      <c r="C24">
        <v>2290</v>
      </c>
      <c r="D24">
        <v>210</v>
      </c>
      <c r="E24" s="23">
        <v>0.91600000000000004</v>
      </c>
      <c r="F24" s="23">
        <v>8.4000000000000005E-2</v>
      </c>
      <c r="G24">
        <v>49</v>
      </c>
      <c r="H24">
        <v>1</v>
      </c>
      <c r="I24">
        <v>2290</v>
      </c>
      <c r="J24" s="27">
        <v>1</v>
      </c>
      <c r="K24">
        <v>1</v>
      </c>
      <c r="L24">
        <v>2182</v>
      </c>
      <c r="M24">
        <v>2182</v>
      </c>
      <c r="N24">
        <v>2182</v>
      </c>
      <c r="O24">
        <v>2182</v>
      </c>
      <c r="P24" s="23">
        <v>0.95283799999999996</v>
      </c>
    </row>
    <row r="25" spans="1:16" x14ac:dyDescent="0.25">
      <c r="A25" t="s">
        <v>24</v>
      </c>
      <c r="B25" s="22">
        <v>651890067</v>
      </c>
      <c r="C25">
        <v>2362</v>
      </c>
      <c r="D25">
        <v>138</v>
      </c>
      <c r="E25" s="23">
        <v>0.94479999999999997</v>
      </c>
      <c r="F25" s="23">
        <v>5.5199999999999999E-2</v>
      </c>
      <c r="G25">
        <v>51</v>
      </c>
      <c r="H25">
        <v>1</v>
      </c>
      <c r="I25">
        <v>2362</v>
      </c>
      <c r="J25" s="27">
        <v>1</v>
      </c>
      <c r="K25">
        <v>1</v>
      </c>
      <c r="L25">
        <v>2291</v>
      </c>
      <c r="M25">
        <v>2291</v>
      </c>
      <c r="N25">
        <v>2291</v>
      </c>
      <c r="O25">
        <v>2291</v>
      </c>
      <c r="P25" s="23">
        <v>0.96994100000000005</v>
      </c>
    </row>
    <row r="26" spans="1:16" x14ac:dyDescent="0.25">
      <c r="A26" t="s">
        <v>24</v>
      </c>
      <c r="B26" s="22">
        <v>867603965</v>
      </c>
      <c r="C26">
        <v>2328</v>
      </c>
      <c r="D26">
        <v>172</v>
      </c>
      <c r="E26" s="23">
        <v>0.93120000000000003</v>
      </c>
      <c r="F26" s="23">
        <v>6.88E-2</v>
      </c>
      <c r="G26">
        <v>50</v>
      </c>
      <c r="H26">
        <v>1</v>
      </c>
      <c r="I26">
        <v>2328</v>
      </c>
      <c r="J26" s="27">
        <v>1</v>
      </c>
      <c r="K26">
        <v>1</v>
      </c>
      <c r="L26">
        <v>2241</v>
      </c>
      <c r="M26">
        <v>2241</v>
      </c>
      <c r="N26">
        <v>2241</v>
      </c>
      <c r="O26">
        <v>2241</v>
      </c>
      <c r="P26" s="23">
        <v>0.96262899999999996</v>
      </c>
    </row>
    <row r="27" spans="1:16" x14ac:dyDescent="0.25">
      <c r="A27" t="s">
        <v>24</v>
      </c>
      <c r="B27" s="22">
        <v>549612725</v>
      </c>
      <c r="C27">
        <v>2294</v>
      </c>
      <c r="D27">
        <v>206</v>
      </c>
      <c r="E27" s="23">
        <v>0.91759999999999997</v>
      </c>
      <c r="F27" s="23">
        <v>8.2400000000000001E-2</v>
      </c>
      <c r="G27">
        <v>49</v>
      </c>
      <c r="H27">
        <v>1</v>
      </c>
      <c r="I27">
        <v>2294</v>
      </c>
      <c r="J27" s="27">
        <v>1</v>
      </c>
      <c r="K27">
        <v>1</v>
      </c>
      <c r="L27">
        <v>2196</v>
      </c>
      <c r="M27">
        <v>2196</v>
      </c>
      <c r="N27">
        <v>2196</v>
      </c>
      <c r="O27">
        <v>2196</v>
      </c>
      <c r="P27" s="23">
        <v>0.95728000000000002</v>
      </c>
    </row>
    <row r="28" spans="1:16" x14ac:dyDescent="0.25">
      <c r="A28" t="s">
        <v>24</v>
      </c>
      <c r="B28" s="22">
        <v>2034185353</v>
      </c>
      <c r="C28">
        <v>2258</v>
      </c>
      <c r="D28">
        <v>242</v>
      </c>
      <c r="E28" s="23">
        <v>0.9032</v>
      </c>
      <c r="F28" s="23">
        <v>9.6799999999999997E-2</v>
      </c>
      <c r="G28">
        <v>50</v>
      </c>
      <c r="H28">
        <v>1</v>
      </c>
      <c r="I28">
        <v>2258</v>
      </c>
      <c r="J28" s="27">
        <v>1</v>
      </c>
      <c r="K28">
        <v>1</v>
      </c>
      <c r="L28">
        <v>2151</v>
      </c>
      <c r="M28">
        <v>2151</v>
      </c>
      <c r="N28">
        <v>2151</v>
      </c>
      <c r="O28">
        <v>2151</v>
      </c>
      <c r="P28" s="23">
        <v>0.95261300000000004</v>
      </c>
    </row>
    <row r="29" spans="1:16" x14ac:dyDescent="0.25">
      <c r="A29" t="s">
        <v>24</v>
      </c>
      <c r="B29" s="22">
        <v>2118078065</v>
      </c>
      <c r="C29">
        <v>2281</v>
      </c>
      <c r="D29">
        <v>219</v>
      </c>
      <c r="E29" s="23">
        <v>0.91239999999999999</v>
      </c>
      <c r="F29" s="23">
        <v>8.7599999999999997E-2</v>
      </c>
      <c r="G29">
        <v>49</v>
      </c>
      <c r="H29">
        <v>1</v>
      </c>
      <c r="I29">
        <v>2281</v>
      </c>
      <c r="J29" s="27">
        <v>1</v>
      </c>
      <c r="K29">
        <v>2</v>
      </c>
      <c r="L29">
        <v>1090</v>
      </c>
      <c r="M29">
        <v>2160</v>
      </c>
      <c r="N29">
        <v>20</v>
      </c>
      <c r="O29">
        <v>2180</v>
      </c>
      <c r="P29" s="23">
        <v>0.95572100000000004</v>
      </c>
    </row>
    <row r="30" spans="1:16" x14ac:dyDescent="0.25">
      <c r="A30" t="s">
        <v>24</v>
      </c>
      <c r="B30" s="22">
        <v>560609179</v>
      </c>
      <c r="C30">
        <v>2280</v>
      </c>
      <c r="D30">
        <v>220</v>
      </c>
      <c r="E30" s="23">
        <v>0.91200000000000003</v>
      </c>
      <c r="F30" s="23">
        <v>8.7999999999999995E-2</v>
      </c>
      <c r="G30">
        <v>50</v>
      </c>
      <c r="H30">
        <v>1</v>
      </c>
      <c r="I30">
        <v>2280</v>
      </c>
      <c r="J30" s="27">
        <v>1</v>
      </c>
      <c r="K30">
        <v>1</v>
      </c>
      <c r="L30">
        <v>2182</v>
      </c>
      <c r="M30">
        <v>2182</v>
      </c>
      <c r="N30">
        <v>2182</v>
      </c>
      <c r="O30">
        <v>2182</v>
      </c>
      <c r="P30" s="23">
        <v>0.95701800000000004</v>
      </c>
    </row>
    <row r="31" spans="1:16" x14ac:dyDescent="0.25">
      <c r="A31" t="s">
        <v>24</v>
      </c>
      <c r="B31" s="22">
        <v>1912929019</v>
      </c>
      <c r="C31">
        <v>2293</v>
      </c>
      <c r="D31">
        <v>207</v>
      </c>
      <c r="E31" s="23">
        <v>0.91720000000000002</v>
      </c>
      <c r="F31" s="23">
        <v>8.2799999999999999E-2</v>
      </c>
      <c r="G31">
        <v>50</v>
      </c>
      <c r="H31">
        <v>1</v>
      </c>
      <c r="I31">
        <v>2293</v>
      </c>
      <c r="J31" s="27">
        <v>1</v>
      </c>
      <c r="K31">
        <v>1</v>
      </c>
      <c r="L31">
        <v>2188</v>
      </c>
      <c r="M31">
        <v>2188</v>
      </c>
      <c r="N31">
        <v>2188</v>
      </c>
      <c r="O31">
        <v>2188</v>
      </c>
      <c r="P31" s="23">
        <v>0.95420799999999995</v>
      </c>
    </row>
    <row r="32" spans="1:16" x14ac:dyDescent="0.25">
      <c r="A32" t="s">
        <v>24</v>
      </c>
      <c r="B32" s="22">
        <v>2107814272</v>
      </c>
      <c r="C32">
        <v>2301</v>
      </c>
      <c r="D32">
        <v>199</v>
      </c>
      <c r="E32" s="23">
        <v>0.9204</v>
      </c>
      <c r="F32" s="23">
        <v>7.9600000000000004E-2</v>
      </c>
      <c r="G32">
        <v>50</v>
      </c>
      <c r="H32">
        <v>1</v>
      </c>
      <c r="I32">
        <v>2301</v>
      </c>
      <c r="J32" s="27">
        <v>1</v>
      </c>
      <c r="K32">
        <v>2</v>
      </c>
      <c r="L32">
        <v>1102</v>
      </c>
      <c r="M32">
        <v>2201</v>
      </c>
      <c r="N32">
        <v>3</v>
      </c>
      <c r="O32">
        <v>2204</v>
      </c>
      <c r="P32" s="23">
        <v>0.95784400000000003</v>
      </c>
    </row>
    <row r="33" spans="1:16" x14ac:dyDescent="0.25">
      <c r="A33" t="s">
        <v>24</v>
      </c>
      <c r="B33" s="22">
        <v>1831795810</v>
      </c>
      <c r="C33">
        <v>2374</v>
      </c>
      <c r="D33">
        <v>126</v>
      </c>
      <c r="E33" s="23">
        <v>0.9496</v>
      </c>
      <c r="F33" s="23">
        <v>5.04E-2</v>
      </c>
      <c r="G33">
        <v>49</v>
      </c>
      <c r="H33">
        <v>1</v>
      </c>
      <c r="I33">
        <v>2374</v>
      </c>
      <c r="J33" s="27">
        <v>1</v>
      </c>
      <c r="K33">
        <v>1</v>
      </c>
      <c r="L33">
        <v>2306</v>
      </c>
      <c r="M33">
        <v>2306</v>
      </c>
      <c r="N33">
        <v>2306</v>
      </c>
      <c r="O33">
        <v>2306</v>
      </c>
      <c r="P33" s="23">
        <v>0.971356</v>
      </c>
    </row>
    <row r="34" spans="1:16" x14ac:dyDescent="0.25">
      <c r="A34" t="s">
        <v>24</v>
      </c>
      <c r="B34" s="22">
        <v>1247777774</v>
      </c>
      <c r="C34">
        <v>2335</v>
      </c>
      <c r="D34">
        <v>165</v>
      </c>
      <c r="E34" s="23">
        <v>0.93400000000000005</v>
      </c>
      <c r="F34" s="23">
        <v>6.6000000000000003E-2</v>
      </c>
      <c r="G34">
        <v>49</v>
      </c>
      <c r="H34">
        <v>1</v>
      </c>
      <c r="I34">
        <v>2335</v>
      </c>
      <c r="J34" s="27">
        <v>1</v>
      </c>
      <c r="K34">
        <v>1</v>
      </c>
      <c r="L34">
        <v>2238</v>
      </c>
      <c r="M34">
        <v>2238</v>
      </c>
      <c r="N34">
        <v>2238</v>
      </c>
      <c r="O34">
        <v>2238</v>
      </c>
      <c r="P34" s="23">
        <v>0.95845800000000003</v>
      </c>
    </row>
    <row r="35" spans="1:16" x14ac:dyDescent="0.25">
      <c r="A35" t="s">
        <v>24</v>
      </c>
      <c r="B35" s="22">
        <v>1899349988</v>
      </c>
      <c r="C35">
        <v>2330</v>
      </c>
      <c r="D35">
        <v>170</v>
      </c>
      <c r="E35" s="23">
        <v>0.93200000000000005</v>
      </c>
      <c r="F35" s="23">
        <v>6.8000000000000005E-2</v>
      </c>
      <c r="G35">
        <v>50</v>
      </c>
      <c r="H35">
        <v>1</v>
      </c>
      <c r="I35">
        <v>2330</v>
      </c>
      <c r="J35" s="27">
        <v>1</v>
      </c>
      <c r="K35">
        <v>1</v>
      </c>
      <c r="L35">
        <v>2251</v>
      </c>
      <c r="M35">
        <v>2251</v>
      </c>
      <c r="N35">
        <v>2251</v>
      </c>
      <c r="O35">
        <v>2251</v>
      </c>
      <c r="P35" s="23">
        <v>0.96609400000000001</v>
      </c>
    </row>
    <row r="36" spans="1:16" x14ac:dyDescent="0.25">
      <c r="A36" t="s">
        <v>24</v>
      </c>
      <c r="B36" s="22">
        <v>1904911332</v>
      </c>
      <c r="C36">
        <v>2357</v>
      </c>
      <c r="D36">
        <v>143</v>
      </c>
      <c r="E36" s="23">
        <v>0.94279999999999997</v>
      </c>
      <c r="F36" s="23">
        <v>5.7200000000000001E-2</v>
      </c>
      <c r="G36">
        <v>50</v>
      </c>
      <c r="H36">
        <v>1</v>
      </c>
      <c r="I36">
        <v>2357</v>
      </c>
      <c r="J36" s="27">
        <v>1</v>
      </c>
      <c r="K36">
        <v>1</v>
      </c>
      <c r="L36">
        <v>2299</v>
      </c>
      <c r="M36">
        <v>2299</v>
      </c>
      <c r="N36">
        <v>2299</v>
      </c>
      <c r="O36">
        <v>2299</v>
      </c>
      <c r="P36" s="23">
        <v>0.97539200000000004</v>
      </c>
    </row>
    <row r="37" spans="1:16" x14ac:dyDescent="0.25">
      <c r="A37" t="s">
        <v>24</v>
      </c>
      <c r="B37" s="22">
        <v>1569947054</v>
      </c>
      <c r="C37">
        <v>2306</v>
      </c>
      <c r="D37">
        <v>194</v>
      </c>
      <c r="E37" s="23">
        <v>0.9224</v>
      </c>
      <c r="F37" s="23">
        <v>7.7600000000000002E-2</v>
      </c>
      <c r="G37">
        <v>50</v>
      </c>
      <c r="H37">
        <v>1</v>
      </c>
      <c r="I37">
        <v>2306</v>
      </c>
      <c r="J37" s="27">
        <v>1</v>
      </c>
      <c r="K37">
        <v>1</v>
      </c>
      <c r="L37">
        <v>2207</v>
      </c>
      <c r="M37">
        <v>2207</v>
      </c>
      <c r="N37">
        <v>2207</v>
      </c>
      <c r="O37">
        <v>2207</v>
      </c>
      <c r="P37" s="23">
        <v>0.95706899999999995</v>
      </c>
    </row>
    <row r="38" spans="1:16" x14ac:dyDescent="0.25">
      <c r="A38" t="s">
        <v>24</v>
      </c>
      <c r="B38" s="22">
        <v>253145381</v>
      </c>
      <c r="C38">
        <v>2364</v>
      </c>
      <c r="D38">
        <v>136</v>
      </c>
      <c r="E38" s="23">
        <v>0.9456</v>
      </c>
      <c r="F38" s="23">
        <v>5.4399999999999997E-2</v>
      </c>
      <c r="G38">
        <v>49</v>
      </c>
      <c r="H38">
        <v>1</v>
      </c>
      <c r="I38">
        <v>2364</v>
      </c>
      <c r="J38" s="27">
        <v>1</v>
      </c>
      <c r="K38">
        <v>1</v>
      </c>
      <c r="L38">
        <v>2293</v>
      </c>
      <c r="M38">
        <v>2293</v>
      </c>
      <c r="N38">
        <v>2293</v>
      </c>
      <c r="O38">
        <v>2293</v>
      </c>
      <c r="P38" s="23">
        <v>0.96996599999999999</v>
      </c>
    </row>
    <row r="39" spans="1:16" x14ac:dyDescent="0.25">
      <c r="A39" t="s">
        <v>24</v>
      </c>
      <c r="B39" s="22">
        <v>414848665</v>
      </c>
      <c r="C39">
        <v>2278</v>
      </c>
      <c r="D39">
        <v>222</v>
      </c>
      <c r="E39" s="23">
        <v>0.91120000000000001</v>
      </c>
      <c r="F39" s="23">
        <v>8.8800000000000004E-2</v>
      </c>
      <c r="G39">
        <v>50</v>
      </c>
      <c r="H39">
        <v>1</v>
      </c>
      <c r="I39">
        <v>2278</v>
      </c>
      <c r="J39" s="27">
        <v>1</v>
      </c>
      <c r="K39">
        <v>1</v>
      </c>
      <c r="L39">
        <v>2176</v>
      </c>
      <c r="M39">
        <v>2176</v>
      </c>
      <c r="N39">
        <v>2176</v>
      </c>
      <c r="O39">
        <v>2176</v>
      </c>
      <c r="P39" s="23">
        <v>0.95522399999999996</v>
      </c>
    </row>
    <row r="40" spans="1:16" x14ac:dyDescent="0.25">
      <c r="A40" t="s">
        <v>24</v>
      </c>
      <c r="B40" s="22">
        <v>872357285</v>
      </c>
      <c r="C40">
        <v>2261</v>
      </c>
      <c r="D40">
        <v>239</v>
      </c>
      <c r="E40" s="23">
        <v>0.90439999999999998</v>
      </c>
      <c r="F40" s="23">
        <v>9.5600000000000004E-2</v>
      </c>
      <c r="G40">
        <v>50</v>
      </c>
      <c r="H40">
        <v>1</v>
      </c>
      <c r="I40">
        <v>2261</v>
      </c>
      <c r="J40" s="27">
        <v>1</v>
      </c>
      <c r="K40">
        <v>1</v>
      </c>
      <c r="L40">
        <v>2150</v>
      </c>
      <c r="M40">
        <v>2150</v>
      </c>
      <c r="N40">
        <v>2150</v>
      </c>
      <c r="O40">
        <v>2150</v>
      </c>
      <c r="P40" s="23">
        <v>0.95090699999999995</v>
      </c>
    </row>
    <row r="41" spans="1:16" x14ac:dyDescent="0.25">
      <c r="A41" t="s">
        <v>24</v>
      </c>
      <c r="B41" s="22">
        <v>484791342</v>
      </c>
      <c r="C41">
        <v>2286</v>
      </c>
      <c r="D41">
        <v>214</v>
      </c>
      <c r="E41" s="23">
        <v>0.91439999999999999</v>
      </c>
      <c r="F41" s="23">
        <v>8.5599999999999996E-2</v>
      </c>
      <c r="G41">
        <v>50</v>
      </c>
      <c r="H41">
        <v>1</v>
      </c>
      <c r="I41">
        <v>2286</v>
      </c>
      <c r="J41" s="27">
        <v>1</v>
      </c>
      <c r="K41">
        <v>1</v>
      </c>
      <c r="L41">
        <v>2188</v>
      </c>
      <c r="M41">
        <v>2188</v>
      </c>
      <c r="N41">
        <v>2188</v>
      </c>
      <c r="O41">
        <v>2188</v>
      </c>
      <c r="P41" s="23">
        <v>0.95713000000000004</v>
      </c>
    </row>
    <row r="42" spans="1:16" x14ac:dyDescent="0.25">
      <c r="A42" t="s">
        <v>24</v>
      </c>
      <c r="B42" s="22">
        <v>935119288</v>
      </c>
      <c r="C42">
        <v>2364</v>
      </c>
      <c r="D42">
        <v>136</v>
      </c>
      <c r="E42" s="23">
        <v>0.9456</v>
      </c>
      <c r="F42" s="23">
        <v>5.4399999999999997E-2</v>
      </c>
      <c r="G42">
        <v>50</v>
      </c>
      <c r="H42">
        <v>1</v>
      </c>
      <c r="I42">
        <v>2364</v>
      </c>
      <c r="J42" s="27">
        <v>1</v>
      </c>
      <c r="K42">
        <v>1</v>
      </c>
      <c r="L42">
        <v>2290</v>
      </c>
      <c r="M42">
        <v>2290</v>
      </c>
      <c r="N42">
        <v>2290</v>
      </c>
      <c r="O42">
        <v>2290</v>
      </c>
      <c r="P42" s="23">
        <v>0.96869700000000003</v>
      </c>
    </row>
    <row r="43" spans="1:16" x14ac:dyDescent="0.25">
      <c r="A43" t="s">
        <v>24</v>
      </c>
      <c r="B43" s="22">
        <v>1657654921</v>
      </c>
      <c r="C43">
        <v>2316</v>
      </c>
      <c r="D43">
        <v>184</v>
      </c>
      <c r="E43" s="23">
        <v>0.9264</v>
      </c>
      <c r="F43" s="23">
        <v>7.3599999999999999E-2</v>
      </c>
      <c r="G43">
        <v>50</v>
      </c>
      <c r="H43">
        <v>1</v>
      </c>
      <c r="I43">
        <v>2316</v>
      </c>
      <c r="J43" s="27">
        <v>1</v>
      </c>
      <c r="K43">
        <v>1</v>
      </c>
      <c r="L43">
        <v>2219</v>
      </c>
      <c r="M43">
        <v>2219</v>
      </c>
      <c r="N43">
        <v>2219</v>
      </c>
      <c r="O43">
        <v>2219</v>
      </c>
      <c r="P43" s="23">
        <v>0.958117</v>
      </c>
    </row>
    <row r="44" spans="1:16" x14ac:dyDescent="0.25">
      <c r="A44" t="s">
        <v>24</v>
      </c>
      <c r="B44" s="22">
        <v>273793969</v>
      </c>
      <c r="C44">
        <v>2317</v>
      </c>
      <c r="D44">
        <v>183</v>
      </c>
      <c r="E44" s="23">
        <v>0.92679999999999996</v>
      </c>
      <c r="F44" s="23">
        <v>7.3200000000000001E-2</v>
      </c>
      <c r="G44">
        <v>49</v>
      </c>
      <c r="H44">
        <v>1</v>
      </c>
      <c r="I44">
        <v>2317</v>
      </c>
      <c r="J44" s="27">
        <v>1</v>
      </c>
      <c r="K44">
        <v>1</v>
      </c>
      <c r="L44">
        <v>2228</v>
      </c>
      <c r="M44">
        <v>2228</v>
      </c>
      <c r="N44">
        <v>2228</v>
      </c>
      <c r="O44">
        <v>2228</v>
      </c>
      <c r="P44" s="23">
        <v>0.961588</v>
      </c>
    </row>
    <row r="45" spans="1:16" x14ac:dyDescent="0.25">
      <c r="A45" t="s">
        <v>24</v>
      </c>
      <c r="B45" s="22">
        <v>975354779</v>
      </c>
      <c r="C45">
        <v>2339</v>
      </c>
      <c r="D45">
        <v>161</v>
      </c>
      <c r="E45" s="23">
        <v>0.93559999999999999</v>
      </c>
      <c r="F45" s="23">
        <v>6.4399999999999999E-2</v>
      </c>
      <c r="G45">
        <v>51</v>
      </c>
      <c r="H45">
        <v>1</v>
      </c>
      <c r="I45">
        <v>2339</v>
      </c>
      <c r="J45" s="27">
        <v>1</v>
      </c>
      <c r="K45">
        <v>1</v>
      </c>
      <c r="L45">
        <v>2255</v>
      </c>
      <c r="M45">
        <v>2255</v>
      </c>
      <c r="N45">
        <v>2255</v>
      </c>
      <c r="O45">
        <v>2255</v>
      </c>
      <c r="P45" s="23">
        <v>0.96408700000000003</v>
      </c>
    </row>
    <row r="46" spans="1:16" x14ac:dyDescent="0.25">
      <c r="A46" t="s">
        <v>24</v>
      </c>
      <c r="B46" s="22">
        <v>885022208</v>
      </c>
      <c r="C46">
        <v>2292</v>
      </c>
      <c r="D46">
        <v>208</v>
      </c>
      <c r="E46" s="23">
        <v>0.91679999999999995</v>
      </c>
      <c r="F46" s="23">
        <v>8.3199999999999996E-2</v>
      </c>
      <c r="G46">
        <v>51</v>
      </c>
      <c r="H46">
        <v>1</v>
      </c>
      <c r="I46">
        <v>2292</v>
      </c>
      <c r="J46" s="27">
        <v>1</v>
      </c>
      <c r="K46">
        <v>1</v>
      </c>
      <c r="L46">
        <v>2194</v>
      </c>
      <c r="M46">
        <v>2194</v>
      </c>
      <c r="N46">
        <v>2194</v>
      </c>
      <c r="O46">
        <v>2194</v>
      </c>
      <c r="P46" s="23">
        <v>0.95724299999999996</v>
      </c>
    </row>
    <row r="47" spans="1:16" x14ac:dyDescent="0.25">
      <c r="A47" t="s">
        <v>24</v>
      </c>
      <c r="B47" s="22">
        <v>561962764</v>
      </c>
      <c r="C47">
        <v>2279</v>
      </c>
      <c r="D47">
        <v>221</v>
      </c>
      <c r="E47" s="23">
        <v>0.91159999999999997</v>
      </c>
      <c r="F47" s="23">
        <v>8.8400000000000006E-2</v>
      </c>
      <c r="G47">
        <v>51</v>
      </c>
      <c r="H47">
        <v>1</v>
      </c>
      <c r="I47">
        <v>2279</v>
      </c>
      <c r="J47" s="27">
        <v>1</v>
      </c>
      <c r="K47">
        <v>1</v>
      </c>
      <c r="L47">
        <v>2186</v>
      </c>
      <c r="M47">
        <v>2186</v>
      </c>
      <c r="N47">
        <v>2186</v>
      </c>
      <c r="O47">
        <v>2186</v>
      </c>
      <c r="P47" s="23">
        <v>0.95919299999999996</v>
      </c>
    </row>
    <row r="48" spans="1:16" x14ac:dyDescent="0.25">
      <c r="A48" t="s">
        <v>24</v>
      </c>
      <c r="B48" s="22">
        <v>492551195</v>
      </c>
      <c r="C48">
        <v>2307</v>
      </c>
      <c r="D48">
        <v>193</v>
      </c>
      <c r="E48" s="23">
        <v>0.92279999999999995</v>
      </c>
      <c r="F48" s="23">
        <v>7.7200000000000005E-2</v>
      </c>
      <c r="G48">
        <v>49</v>
      </c>
      <c r="H48">
        <v>1</v>
      </c>
      <c r="I48">
        <v>2307</v>
      </c>
      <c r="J48" s="27">
        <v>1</v>
      </c>
      <c r="K48">
        <v>1</v>
      </c>
      <c r="L48">
        <v>2218</v>
      </c>
      <c r="M48">
        <v>2218</v>
      </c>
      <c r="N48">
        <v>2218</v>
      </c>
      <c r="O48">
        <v>2218</v>
      </c>
      <c r="P48" s="23">
        <v>0.961422</v>
      </c>
    </row>
    <row r="49" spans="1:16" x14ac:dyDescent="0.25">
      <c r="A49" t="s">
        <v>24</v>
      </c>
      <c r="B49" s="22">
        <v>295594613</v>
      </c>
      <c r="C49">
        <v>2330</v>
      </c>
      <c r="D49">
        <v>170</v>
      </c>
      <c r="E49" s="23">
        <v>0.93200000000000005</v>
      </c>
      <c r="F49" s="23">
        <v>6.8000000000000005E-2</v>
      </c>
      <c r="G49">
        <v>50</v>
      </c>
      <c r="H49">
        <v>1</v>
      </c>
      <c r="I49">
        <v>2330</v>
      </c>
      <c r="J49" s="27">
        <v>1</v>
      </c>
      <c r="K49">
        <v>1</v>
      </c>
      <c r="L49">
        <v>2241</v>
      </c>
      <c r="M49">
        <v>2241</v>
      </c>
      <c r="N49">
        <v>2241</v>
      </c>
      <c r="O49">
        <v>2241</v>
      </c>
      <c r="P49" s="23">
        <v>0.96180299999999996</v>
      </c>
    </row>
    <row r="50" spans="1:16" x14ac:dyDescent="0.25">
      <c r="A50" t="s">
        <v>24</v>
      </c>
      <c r="B50" s="22">
        <v>967216852</v>
      </c>
      <c r="C50">
        <v>2345</v>
      </c>
      <c r="D50">
        <v>155</v>
      </c>
      <c r="E50" s="23">
        <v>0.93799999999999994</v>
      </c>
      <c r="F50" s="23">
        <v>6.2E-2</v>
      </c>
      <c r="G50">
        <v>50</v>
      </c>
      <c r="H50">
        <v>1</v>
      </c>
      <c r="I50">
        <v>2345</v>
      </c>
      <c r="J50" s="27">
        <v>1</v>
      </c>
      <c r="K50">
        <v>1</v>
      </c>
      <c r="L50">
        <v>2274</v>
      </c>
      <c r="M50">
        <v>2274</v>
      </c>
      <c r="N50">
        <v>2274</v>
      </c>
      <c r="O50">
        <v>2274</v>
      </c>
      <c r="P50" s="23">
        <v>0.969723</v>
      </c>
    </row>
    <row r="51" spans="1:16" x14ac:dyDescent="0.25">
      <c r="A51" t="s">
        <v>24</v>
      </c>
      <c r="B51" s="22">
        <v>110658939</v>
      </c>
      <c r="C51">
        <v>2312</v>
      </c>
      <c r="D51">
        <v>188</v>
      </c>
      <c r="E51" s="23">
        <v>0.92479999999999996</v>
      </c>
      <c r="F51" s="23">
        <v>7.5200000000000003E-2</v>
      </c>
      <c r="G51">
        <v>49</v>
      </c>
      <c r="H51">
        <v>1</v>
      </c>
      <c r="I51">
        <v>2312</v>
      </c>
      <c r="J51" s="27">
        <v>1</v>
      </c>
      <c r="K51">
        <v>1</v>
      </c>
      <c r="L51">
        <v>2226</v>
      </c>
      <c r="M51">
        <v>2226</v>
      </c>
      <c r="N51">
        <v>2226</v>
      </c>
      <c r="O51">
        <v>2226</v>
      </c>
      <c r="P51" s="23">
        <v>0.96280299999999996</v>
      </c>
    </row>
    <row r="52" spans="1:16" x14ac:dyDescent="0.25">
      <c r="A52" t="s">
        <v>26</v>
      </c>
      <c r="B52"/>
      <c r="C52">
        <f>SUBTOTAL(101,CA4_wall50_it4_neigh3[floors])</f>
        <v>2312.1799999999998</v>
      </c>
      <c r="D52">
        <f>SUBTOTAL(101,CA4_wall50_it4_neigh3[walls])</f>
        <v>187.82</v>
      </c>
      <c r="E52" s="24">
        <f>SUBTOTAL(101,CA4_wall50_it4_neigh3[floor_percent])</f>
        <v>0.92487200000000025</v>
      </c>
      <c r="F52" s="24">
        <f>SUBTOTAL(101,CA4_wall50_it4_neigh3[wall_percent])</f>
        <v>7.5128E-2</v>
      </c>
      <c r="G52">
        <f>SUBTOTAL(101,CA4_wall50_it4_neigh3[longest_shortest_path])</f>
        <v>49.76</v>
      </c>
      <c r="H52">
        <f>SUBTOTAL(101,CA4_wall50_it4_neigh3[component_count])</f>
        <v>1.02</v>
      </c>
      <c r="I52">
        <f>SUBTOTAL(101,CA4_wall50_it4_neigh3[max_component_size])</f>
        <v>2312.14</v>
      </c>
      <c r="J52" s="25">
        <f>SUBTOTAL(101,CA4_wall50_it4_neigh3[connectivity_ratio])</f>
        <v>0.99998233999999997</v>
      </c>
      <c r="K52">
        <f>SUBTOTAL(101,CA4_wall50_it4_neigh3[room_count])</f>
        <v>1.04</v>
      </c>
      <c r="L52">
        <f>SUBTOTAL(101,CA4_wall50_it4_neigh3[avg_room_size])</f>
        <v>2177.04</v>
      </c>
      <c r="M52">
        <f>SUBTOTAL(101,CA4_wall50_it4_neigh3[max_room_size])</f>
        <v>2220.42</v>
      </c>
      <c r="N52">
        <f>SUBTOTAL(101,CA4_wall50_it4_neigh3[min_room_size])</f>
        <v>2133.66</v>
      </c>
      <c r="O52">
        <f>SUBTOTAL(101,CA4_wall50_it4_neigh3[room_tiles])</f>
        <v>2220.88</v>
      </c>
      <c r="P52" s="24">
        <f>SUBTOTAL(101,CA4_wall50_it4_neigh3[room_ratio])</f>
        <v>0.96044264000000013</v>
      </c>
    </row>
    <row r="53" spans="1:16" x14ac:dyDescent="0.25">
      <c r="A53" s="26" t="s">
        <v>36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B5AC-FD9F-4E4F-B973-9BB5E6DA9C71}">
  <dimension ref="A1:P53"/>
  <sheetViews>
    <sheetView topLeftCell="A22" workbookViewId="0">
      <selection activeCell="I59" sqref="I59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140130762</v>
      </c>
      <c r="C2">
        <v>2167</v>
      </c>
      <c r="D2">
        <v>333</v>
      </c>
      <c r="E2" s="23">
        <v>0.86680000000000001</v>
      </c>
      <c r="F2" s="23">
        <v>0.13320000000000001</v>
      </c>
      <c r="G2">
        <v>50</v>
      </c>
      <c r="H2">
        <v>1</v>
      </c>
      <c r="I2">
        <v>2167</v>
      </c>
      <c r="J2" s="27">
        <v>1</v>
      </c>
      <c r="K2">
        <v>1</v>
      </c>
      <c r="L2">
        <v>2035</v>
      </c>
      <c r="M2">
        <v>2035</v>
      </c>
      <c r="N2">
        <v>2035</v>
      </c>
      <c r="O2">
        <v>2035</v>
      </c>
      <c r="P2" s="23">
        <v>0.93908599999999998</v>
      </c>
    </row>
    <row r="3" spans="1:16" x14ac:dyDescent="0.25">
      <c r="A3" t="s">
        <v>24</v>
      </c>
      <c r="B3" s="22">
        <v>519822040</v>
      </c>
      <c r="C3">
        <v>2200</v>
      </c>
      <c r="D3">
        <v>300</v>
      </c>
      <c r="E3" s="23">
        <v>0.88</v>
      </c>
      <c r="F3" s="23">
        <v>0.12</v>
      </c>
      <c r="G3">
        <v>50</v>
      </c>
      <c r="H3">
        <v>2</v>
      </c>
      <c r="I3">
        <v>2196</v>
      </c>
      <c r="J3" s="27">
        <v>0.99818200000000001</v>
      </c>
      <c r="K3">
        <v>1</v>
      </c>
      <c r="L3">
        <v>2067</v>
      </c>
      <c r="M3">
        <v>2067</v>
      </c>
      <c r="N3">
        <v>2067</v>
      </c>
      <c r="O3">
        <v>2067</v>
      </c>
      <c r="P3" s="23">
        <v>0.93954499999999996</v>
      </c>
    </row>
    <row r="4" spans="1:16" x14ac:dyDescent="0.25">
      <c r="A4" t="s">
        <v>24</v>
      </c>
      <c r="B4" s="22">
        <v>1023776443</v>
      </c>
      <c r="C4">
        <v>2214</v>
      </c>
      <c r="D4">
        <v>286</v>
      </c>
      <c r="E4" s="23">
        <v>0.88560000000000005</v>
      </c>
      <c r="F4" s="23">
        <v>0.1144</v>
      </c>
      <c r="G4">
        <v>50</v>
      </c>
      <c r="H4">
        <v>1</v>
      </c>
      <c r="I4">
        <v>2214</v>
      </c>
      <c r="J4" s="27">
        <v>1</v>
      </c>
      <c r="K4">
        <v>1</v>
      </c>
      <c r="L4">
        <v>2098</v>
      </c>
      <c r="M4">
        <v>2098</v>
      </c>
      <c r="N4">
        <v>2098</v>
      </c>
      <c r="O4">
        <v>2098</v>
      </c>
      <c r="P4" s="23">
        <v>0.94760599999999995</v>
      </c>
    </row>
    <row r="5" spans="1:16" x14ac:dyDescent="0.25">
      <c r="A5" t="s">
        <v>24</v>
      </c>
      <c r="B5" s="22">
        <v>659203787</v>
      </c>
      <c r="C5">
        <v>2154</v>
      </c>
      <c r="D5">
        <v>346</v>
      </c>
      <c r="E5" s="23">
        <v>0.86160000000000003</v>
      </c>
      <c r="F5" s="23">
        <v>0.1384</v>
      </c>
      <c r="G5">
        <v>50</v>
      </c>
      <c r="H5">
        <v>1</v>
      </c>
      <c r="I5">
        <v>2154</v>
      </c>
      <c r="J5" s="27">
        <v>1</v>
      </c>
      <c r="K5">
        <v>1</v>
      </c>
      <c r="L5">
        <v>2004</v>
      </c>
      <c r="M5">
        <v>2004</v>
      </c>
      <c r="N5">
        <v>2004</v>
      </c>
      <c r="O5">
        <v>2004</v>
      </c>
      <c r="P5" s="23">
        <v>0.93036200000000002</v>
      </c>
    </row>
    <row r="6" spans="1:16" x14ac:dyDescent="0.25">
      <c r="A6" t="s">
        <v>24</v>
      </c>
      <c r="B6" s="22">
        <v>152553546</v>
      </c>
      <c r="C6">
        <v>2213</v>
      </c>
      <c r="D6">
        <v>287</v>
      </c>
      <c r="E6" s="23">
        <v>0.88519999999999999</v>
      </c>
      <c r="F6" s="23">
        <v>0.1148</v>
      </c>
      <c r="G6">
        <v>49</v>
      </c>
      <c r="H6">
        <v>1</v>
      </c>
      <c r="I6">
        <v>2213</v>
      </c>
      <c r="J6" s="27">
        <v>1</v>
      </c>
      <c r="K6">
        <v>1</v>
      </c>
      <c r="L6">
        <v>2085</v>
      </c>
      <c r="M6">
        <v>2085</v>
      </c>
      <c r="N6">
        <v>2085</v>
      </c>
      <c r="O6">
        <v>2085</v>
      </c>
      <c r="P6" s="23">
        <v>0.94216</v>
      </c>
    </row>
    <row r="7" spans="1:16" x14ac:dyDescent="0.25">
      <c r="A7" t="s">
        <v>24</v>
      </c>
      <c r="B7" s="22">
        <v>157439889</v>
      </c>
      <c r="C7">
        <v>2193</v>
      </c>
      <c r="D7">
        <v>307</v>
      </c>
      <c r="E7" s="23">
        <v>0.87719999999999998</v>
      </c>
      <c r="F7" s="23">
        <v>0.12280000000000001</v>
      </c>
      <c r="G7">
        <v>51</v>
      </c>
      <c r="H7">
        <v>1</v>
      </c>
      <c r="I7">
        <v>2193</v>
      </c>
      <c r="J7" s="27">
        <v>1</v>
      </c>
      <c r="K7">
        <v>1</v>
      </c>
      <c r="L7">
        <v>2066</v>
      </c>
      <c r="M7">
        <v>2066</v>
      </c>
      <c r="N7">
        <v>2066</v>
      </c>
      <c r="O7">
        <v>2066</v>
      </c>
      <c r="P7" s="23">
        <v>0.94208800000000004</v>
      </c>
    </row>
    <row r="8" spans="1:16" x14ac:dyDescent="0.25">
      <c r="A8" t="s">
        <v>24</v>
      </c>
      <c r="B8" s="22">
        <v>1113241809</v>
      </c>
      <c r="C8">
        <v>2209</v>
      </c>
      <c r="D8">
        <v>291</v>
      </c>
      <c r="E8" s="23">
        <v>0.88360000000000005</v>
      </c>
      <c r="F8" s="23">
        <v>0.1164</v>
      </c>
      <c r="G8">
        <v>49</v>
      </c>
      <c r="H8">
        <v>1</v>
      </c>
      <c r="I8">
        <v>2209</v>
      </c>
      <c r="J8" s="27">
        <v>1</v>
      </c>
      <c r="K8">
        <v>1</v>
      </c>
      <c r="L8">
        <v>2080</v>
      </c>
      <c r="M8">
        <v>2080</v>
      </c>
      <c r="N8">
        <v>2080</v>
      </c>
      <c r="O8">
        <v>2080</v>
      </c>
      <c r="P8" s="23">
        <v>0.94160299999999997</v>
      </c>
    </row>
    <row r="9" spans="1:16" x14ac:dyDescent="0.25">
      <c r="A9" t="s">
        <v>24</v>
      </c>
      <c r="B9" s="22">
        <v>275745461</v>
      </c>
      <c r="C9">
        <v>2180</v>
      </c>
      <c r="D9">
        <v>320</v>
      </c>
      <c r="E9" s="23">
        <v>0.872</v>
      </c>
      <c r="F9" s="23">
        <v>0.128</v>
      </c>
      <c r="G9">
        <v>50</v>
      </c>
      <c r="H9">
        <v>1</v>
      </c>
      <c r="I9">
        <v>2180</v>
      </c>
      <c r="J9" s="27">
        <v>1</v>
      </c>
      <c r="K9">
        <v>1</v>
      </c>
      <c r="L9">
        <v>2032</v>
      </c>
      <c r="M9">
        <v>2032</v>
      </c>
      <c r="N9">
        <v>2032</v>
      </c>
      <c r="O9">
        <v>2032</v>
      </c>
      <c r="P9" s="23">
        <v>0.93210999999999999</v>
      </c>
    </row>
    <row r="10" spans="1:16" x14ac:dyDescent="0.25">
      <c r="A10" t="s">
        <v>24</v>
      </c>
      <c r="B10" s="22">
        <v>1832305972</v>
      </c>
      <c r="C10">
        <v>2190</v>
      </c>
      <c r="D10">
        <v>310</v>
      </c>
      <c r="E10" s="23">
        <v>0.876</v>
      </c>
      <c r="F10" s="23">
        <v>0.124</v>
      </c>
      <c r="G10">
        <v>50</v>
      </c>
      <c r="H10">
        <v>1</v>
      </c>
      <c r="I10">
        <v>2190</v>
      </c>
      <c r="J10" s="27">
        <v>1</v>
      </c>
      <c r="K10">
        <v>1</v>
      </c>
      <c r="L10">
        <v>2065</v>
      </c>
      <c r="M10">
        <v>2065</v>
      </c>
      <c r="N10">
        <v>2065</v>
      </c>
      <c r="O10">
        <v>2065</v>
      </c>
      <c r="P10" s="23">
        <v>0.94292200000000004</v>
      </c>
    </row>
    <row r="11" spans="1:16" x14ac:dyDescent="0.25">
      <c r="A11" t="s">
        <v>24</v>
      </c>
      <c r="B11" s="22">
        <v>34600299</v>
      </c>
      <c r="C11">
        <v>2180</v>
      </c>
      <c r="D11">
        <v>320</v>
      </c>
      <c r="E11" s="23">
        <v>0.872</v>
      </c>
      <c r="F11" s="23">
        <v>0.128</v>
      </c>
      <c r="G11">
        <v>50</v>
      </c>
      <c r="H11">
        <v>1</v>
      </c>
      <c r="I11">
        <v>2180</v>
      </c>
      <c r="J11" s="27">
        <v>1</v>
      </c>
      <c r="K11">
        <v>1</v>
      </c>
      <c r="L11">
        <v>2045</v>
      </c>
      <c r="M11">
        <v>2045</v>
      </c>
      <c r="N11">
        <v>2045</v>
      </c>
      <c r="O11">
        <v>2045</v>
      </c>
      <c r="P11" s="23">
        <v>0.93807300000000005</v>
      </c>
    </row>
    <row r="12" spans="1:16" x14ac:dyDescent="0.25">
      <c r="A12" t="s">
        <v>24</v>
      </c>
      <c r="B12" s="22">
        <v>56095770</v>
      </c>
      <c r="C12">
        <v>2177</v>
      </c>
      <c r="D12">
        <v>323</v>
      </c>
      <c r="E12" s="23">
        <v>0.87080000000000002</v>
      </c>
      <c r="F12" s="23">
        <v>0.12920000000000001</v>
      </c>
      <c r="G12">
        <v>49</v>
      </c>
      <c r="H12">
        <v>1</v>
      </c>
      <c r="I12">
        <v>2177</v>
      </c>
      <c r="J12" s="27">
        <v>1</v>
      </c>
      <c r="K12">
        <v>1</v>
      </c>
      <c r="L12">
        <v>2049</v>
      </c>
      <c r="M12">
        <v>2049</v>
      </c>
      <c r="N12">
        <v>2049</v>
      </c>
      <c r="O12">
        <v>2049</v>
      </c>
      <c r="P12" s="23">
        <v>0.94120300000000001</v>
      </c>
    </row>
    <row r="13" spans="1:16" x14ac:dyDescent="0.25">
      <c r="A13" t="s">
        <v>24</v>
      </c>
      <c r="B13" s="22">
        <v>92947</v>
      </c>
      <c r="C13">
        <v>2190</v>
      </c>
      <c r="D13">
        <v>310</v>
      </c>
      <c r="E13" s="23">
        <v>0.876</v>
      </c>
      <c r="F13" s="23">
        <v>0.124</v>
      </c>
      <c r="G13">
        <v>49</v>
      </c>
      <c r="H13">
        <v>1</v>
      </c>
      <c r="I13">
        <v>2190</v>
      </c>
      <c r="J13" s="27">
        <v>1</v>
      </c>
      <c r="K13">
        <v>1</v>
      </c>
      <c r="L13">
        <v>2062</v>
      </c>
      <c r="M13">
        <v>2062</v>
      </c>
      <c r="N13">
        <v>2062</v>
      </c>
      <c r="O13">
        <v>2062</v>
      </c>
      <c r="P13" s="23">
        <v>0.94155299999999997</v>
      </c>
    </row>
    <row r="14" spans="1:16" x14ac:dyDescent="0.25">
      <c r="A14" t="s">
        <v>24</v>
      </c>
      <c r="B14" s="22">
        <v>704464083</v>
      </c>
      <c r="C14">
        <v>2200</v>
      </c>
      <c r="D14">
        <v>300</v>
      </c>
      <c r="E14" s="23">
        <v>0.88</v>
      </c>
      <c r="F14" s="23">
        <v>0.12</v>
      </c>
      <c r="G14">
        <v>51</v>
      </c>
      <c r="H14">
        <v>1</v>
      </c>
      <c r="I14">
        <v>2200</v>
      </c>
      <c r="J14" s="27">
        <v>1</v>
      </c>
      <c r="K14">
        <v>1</v>
      </c>
      <c r="L14">
        <v>2088</v>
      </c>
      <c r="M14">
        <v>2088</v>
      </c>
      <c r="N14">
        <v>2088</v>
      </c>
      <c r="O14">
        <v>2088</v>
      </c>
      <c r="P14" s="23">
        <v>0.94909100000000002</v>
      </c>
    </row>
    <row r="15" spans="1:16" x14ac:dyDescent="0.25">
      <c r="A15" t="s">
        <v>24</v>
      </c>
      <c r="B15" s="22">
        <v>931807107</v>
      </c>
      <c r="C15">
        <v>2133</v>
      </c>
      <c r="D15">
        <v>367</v>
      </c>
      <c r="E15" s="23">
        <v>0.85319999999999996</v>
      </c>
      <c r="F15" s="23">
        <v>0.14680000000000001</v>
      </c>
      <c r="G15">
        <v>50</v>
      </c>
      <c r="H15">
        <v>1</v>
      </c>
      <c r="I15">
        <v>2133</v>
      </c>
      <c r="J15" s="27">
        <v>1</v>
      </c>
      <c r="K15">
        <v>2</v>
      </c>
      <c r="L15">
        <v>979.5</v>
      </c>
      <c r="M15">
        <v>1958</v>
      </c>
      <c r="N15">
        <v>1</v>
      </c>
      <c r="O15">
        <v>1959</v>
      </c>
      <c r="P15" s="23">
        <v>0.91842500000000005</v>
      </c>
    </row>
    <row r="16" spans="1:16" x14ac:dyDescent="0.25">
      <c r="A16" t="s">
        <v>24</v>
      </c>
      <c r="B16" s="22">
        <v>364381089</v>
      </c>
      <c r="C16">
        <v>2280</v>
      </c>
      <c r="D16">
        <v>220</v>
      </c>
      <c r="E16" s="23">
        <v>0.91200000000000003</v>
      </c>
      <c r="F16" s="23">
        <v>8.7999999999999995E-2</v>
      </c>
      <c r="G16">
        <v>49</v>
      </c>
      <c r="H16">
        <v>1</v>
      </c>
      <c r="I16">
        <v>2280</v>
      </c>
      <c r="J16" s="27">
        <v>1</v>
      </c>
      <c r="K16">
        <v>1</v>
      </c>
      <c r="L16">
        <v>2179</v>
      </c>
      <c r="M16">
        <v>2179</v>
      </c>
      <c r="N16">
        <v>2179</v>
      </c>
      <c r="O16">
        <v>2179</v>
      </c>
      <c r="P16" s="23">
        <v>0.95570200000000005</v>
      </c>
    </row>
    <row r="17" spans="1:16" x14ac:dyDescent="0.25">
      <c r="A17" t="s">
        <v>24</v>
      </c>
      <c r="B17" s="22">
        <v>2042593656</v>
      </c>
      <c r="C17">
        <v>2175</v>
      </c>
      <c r="D17">
        <v>325</v>
      </c>
      <c r="E17" s="23">
        <v>0.87</v>
      </c>
      <c r="F17" s="23">
        <v>0.13</v>
      </c>
      <c r="G17">
        <v>50</v>
      </c>
      <c r="H17">
        <v>1</v>
      </c>
      <c r="I17">
        <v>2175</v>
      </c>
      <c r="J17" s="27">
        <v>1</v>
      </c>
      <c r="K17">
        <v>1</v>
      </c>
      <c r="L17">
        <v>2032</v>
      </c>
      <c r="M17">
        <v>2032</v>
      </c>
      <c r="N17">
        <v>2032</v>
      </c>
      <c r="O17">
        <v>2032</v>
      </c>
      <c r="P17" s="23">
        <v>0.934253</v>
      </c>
    </row>
    <row r="18" spans="1:16" x14ac:dyDescent="0.25">
      <c r="A18" t="s">
        <v>24</v>
      </c>
      <c r="B18" s="22">
        <v>1395428935</v>
      </c>
      <c r="C18">
        <v>2242</v>
      </c>
      <c r="D18">
        <v>258</v>
      </c>
      <c r="E18" s="23">
        <v>0.89680000000000004</v>
      </c>
      <c r="F18" s="23">
        <v>0.1032</v>
      </c>
      <c r="G18">
        <v>49</v>
      </c>
      <c r="H18">
        <v>1</v>
      </c>
      <c r="I18">
        <v>2242</v>
      </c>
      <c r="J18" s="27">
        <v>1</v>
      </c>
      <c r="K18">
        <v>1</v>
      </c>
      <c r="L18">
        <v>2137</v>
      </c>
      <c r="M18">
        <v>2137</v>
      </c>
      <c r="N18">
        <v>2137</v>
      </c>
      <c r="O18">
        <v>2137</v>
      </c>
      <c r="P18" s="23">
        <v>0.95316699999999999</v>
      </c>
    </row>
    <row r="19" spans="1:16" x14ac:dyDescent="0.25">
      <c r="A19" t="s">
        <v>24</v>
      </c>
      <c r="B19" s="22">
        <v>2046702660</v>
      </c>
      <c r="C19">
        <v>2192</v>
      </c>
      <c r="D19">
        <v>308</v>
      </c>
      <c r="E19" s="23">
        <v>0.87680000000000002</v>
      </c>
      <c r="F19" s="23">
        <v>0.1232</v>
      </c>
      <c r="G19">
        <v>50</v>
      </c>
      <c r="H19">
        <v>1</v>
      </c>
      <c r="I19">
        <v>2192</v>
      </c>
      <c r="J19" s="27">
        <v>1</v>
      </c>
      <c r="K19">
        <v>1</v>
      </c>
      <c r="L19">
        <v>2055</v>
      </c>
      <c r="M19">
        <v>2055</v>
      </c>
      <c r="N19">
        <v>2055</v>
      </c>
      <c r="O19">
        <v>2055</v>
      </c>
      <c r="P19" s="23">
        <v>0.9375</v>
      </c>
    </row>
    <row r="20" spans="1:16" x14ac:dyDescent="0.25">
      <c r="A20" t="s">
        <v>24</v>
      </c>
      <c r="B20" s="22">
        <v>693468179</v>
      </c>
      <c r="C20">
        <v>2182</v>
      </c>
      <c r="D20">
        <v>318</v>
      </c>
      <c r="E20" s="23">
        <v>0.87280000000000002</v>
      </c>
      <c r="F20" s="23">
        <v>0.12720000000000001</v>
      </c>
      <c r="G20">
        <v>49</v>
      </c>
      <c r="H20">
        <v>1</v>
      </c>
      <c r="I20">
        <v>2182</v>
      </c>
      <c r="J20" s="27">
        <v>1</v>
      </c>
      <c r="K20">
        <v>1</v>
      </c>
      <c r="L20">
        <v>2052</v>
      </c>
      <c r="M20">
        <v>2052</v>
      </c>
      <c r="N20">
        <v>2052</v>
      </c>
      <c r="O20">
        <v>2052</v>
      </c>
      <c r="P20" s="23">
        <v>0.94042199999999998</v>
      </c>
    </row>
    <row r="21" spans="1:16" x14ac:dyDescent="0.25">
      <c r="A21" t="s">
        <v>24</v>
      </c>
      <c r="B21" s="22">
        <v>1887750942</v>
      </c>
      <c r="C21">
        <v>2117</v>
      </c>
      <c r="D21">
        <v>383</v>
      </c>
      <c r="E21" s="23">
        <v>0.8468</v>
      </c>
      <c r="F21" s="23">
        <v>0.1532</v>
      </c>
      <c r="G21">
        <v>51</v>
      </c>
      <c r="H21">
        <v>1</v>
      </c>
      <c r="I21">
        <v>2117</v>
      </c>
      <c r="J21" s="27">
        <v>1</v>
      </c>
      <c r="K21">
        <v>2</v>
      </c>
      <c r="L21">
        <v>971.5</v>
      </c>
      <c r="M21">
        <v>1939</v>
      </c>
      <c r="N21">
        <v>4</v>
      </c>
      <c r="O21">
        <v>1943</v>
      </c>
      <c r="P21" s="23">
        <v>0.91780799999999996</v>
      </c>
    </row>
    <row r="22" spans="1:16" x14ac:dyDescent="0.25">
      <c r="A22" t="s">
        <v>24</v>
      </c>
      <c r="B22" s="22">
        <v>182950859</v>
      </c>
      <c r="C22">
        <v>2202</v>
      </c>
      <c r="D22">
        <v>298</v>
      </c>
      <c r="E22" s="23">
        <v>0.88080000000000003</v>
      </c>
      <c r="F22" s="23">
        <v>0.1192</v>
      </c>
      <c r="G22">
        <v>53</v>
      </c>
      <c r="H22">
        <v>1</v>
      </c>
      <c r="I22">
        <v>2202</v>
      </c>
      <c r="J22" s="27">
        <v>1</v>
      </c>
      <c r="K22">
        <v>2</v>
      </c>
      <c r="L22">
        <v>1038.5</v>
      </c>
      <c r="M22">
        <v>2057</v>
      </c>
      <c r="N22">
        <v>20</v>
      </c>
      <c r="O22">
        <v>2077</v>
      </c>
      <c r="P22" s="23">
        <v>0.94323299999999999</v>
      </c>
    </row>
    <row r="23" spans="1:16" x14ac:dyDescent="0.25">
      <c r="A23" t="s">
        <v>24</v>
      </c>
      <c r="B23" s="22">
        <v>2095638755</v>
      </c>
      <c r="C23">
        <v>2186</v>
      </c>
      <c r="D23">
        <v>314</v>
      </c>
      <c r="E23" s="23">
        <v>0.87439999999999996</v>
      </c>
      <c r="F23" s="23">
        <v>0.12559999999999999</v>
      </c>
      <c r="G23">
        <v>52</v>
      </c>
      <c r="H23">
        <v>1</v>
      </c>
      <c r="I23">
        <v>2186</v>
      </c>
      <c r="J23" s="27">
        <v>1</v>
      </c>
      <c r="K23">
        <v>1</v>
      </c>
      <c r="L23">
        <v>2043</v>
      </c>
      <c r="M23">
        <v>2043</v>
      </c>
      <c r="N23">
        <v>2043</v>
      </c>
      <c r="O23">
        <v>2043</v>
      </c>
      <c r="P23" s="23">
        <v>0.93458399999999997</v>
      </c>
    </row>
    <row r="24" spans="1:16" x14ac:dyDescent="0.25">
      <c r="A24" t="s">
        <v>24</v>
      </c>
      <c r="B24" s="22">
        <v>1476621684</v>
      </c>
      <c r="C24">
        <v>2171</v>
      </c>
      <c r="D24">
        <v>329</v>
      </c>
      <c r="E24" s="23">
        <v>0.86839999999999995</v>
      </c>
      <c r="F24" s="23">
        <v>0.13159999999999999</v>
      </c>
      <c r="G24">
        <v>52</v>
      </c>
      <c r="H24">
        <v>1</v>
      </c>
      <c r="I24">
        <v>2171</v>
      </c>
      <c r="J24" s="27">
        <v>1</v>
      </c>
      <c r="K24">
        <v>1</v>
      </c>
      <c r="L24">
        <v>2029</v>
      </c>
      <c r="M24">
        <v>2029</v>
      </c>
      <c r="N24">
        <v>2029</v>
      </c>
      <c r="O24">
        <v>2029</v>
      </c>
      <c r="P24" s="23">
        <v>0.93459199999999998</v>
      </c>
    </row>
    <row r="25" spans="1:16" x14ac:dyDescent="0.25">
      <c r="A25" t="s">
        <v>24</v>
      </c>
      <c r="B25" s="22">
        <v>1356877917</v>
      </c>
      <c r="C25">
        <v>2203</v>
      </c>
      <c r="D25">
        <v>297</v>
      </c>
      <c r="E25" s="23">
        <v>0.88119999999999998</v>
      </c>
      <c r="F25" s="23">
        <v>0.1188</v>
      </c>
      <c r="G25">
        <v>52</v>
      </c>
      <c r="H25">
        <v>1</v>
      </c>
      <c r="I25">
        <v>2203</v>
      </c>
      <c r="J25" s="27">
        <v>1</v>
      </c>
      <c r="K25">
        <v>1</v>
      </c>
      <c r="L25">
        <v>2074</v>
      </c>
      <c r="M25">
        <v>2074</v>
      </c>
      <c r="N25">
        <v>2074</v>
      </c>
      <c r="O25">
        <v>2074</v>
      </c>
      <c r="P25" s="23">
        <v>0.94144300000000003</v>
      </c>
    </row>
    <row r="26" spans="1:16" x14ac:dyDescent="0.25">
      <c r="A26" t="s">
        <v>24</v>
      </c>
      <c r="B26" s="22">
        <v>2141604970</v>
      </c>
      <c r="C26">
        <v>2168</v>
      </c>
      <c r="D26">
        <v>332</v>
      </c>
      <c r="E26" s="23">
        <v>0.86719999999999997</v>
      </c>
      <c r="F26" s="23">
        <v>0.1328</v>
      </c>
      <c r="G26">
        <v>50</v>
      </c>
      <c r="H26">
        <v>1</v>
      </c>
      <c r="I26">
        <v>2168</v>
      </c>
      <c r="J26" s="27">
        <v>1</v>
      </c>
      <c r="K26">
        <v>1</v>
      </c>
      <c r="L26">
        <v>2030</v>
      </c>
      <c r="M26">
        <v>2030</v>
      </c>
      <c r="N26">
        <v>2030</v>
      </c>
      <c r="O26">
        <v>2030</v>
      </c>
      <c r="P26" s="23">
        <v>0.93634700000000004</v>
      </c>
    </row>
    <row r="27" spans="1:16" x14ac:dyDescent="0.25">
      <c r="A27" t="s">
        <v>24</v>
      </c>
      <c r="B27" s="22">
        <v>1698538868</v>
      </c>
      <c r="C27">
        <v>2231</v>
      </c>
      <c r="D27">
        <v>269</v>
      </c>
      <c r="E27" s="23">
        <v>0.89239999999999997</v>
      </c>
      <c r="F27" s="23">
        <v>0.1076</v>
      </c>
      <c r="G27">
        <v>50</v>
      </c>
      <c r="H27">
        <v>1</v>
      </c>
      <c r="I27">
        <v>2231</v>
      </c>
      <c r="J27" s="27">
        <v>1</v>
      </c>
      <c r="K27">
        <v>1</v>
      </c>
      <c r="L27">
        <v>2105</v>
      </c>
      <c r="M27">
        <v>2105</v>
      </c>
      <c r="N27">
        <v>2105</v>
      </c>
      <c r="O27">
        <v>2105</v>
      </c>
      <c r="P27" s="23">
        <v>0.943523</v>
      </c>
    </row>
    <row r="28" spans="1:16" x14ac:dyDescent="0.25">
      <c r="A28" t="s">
        <v>24</v>
      </c>
      <c r="B28" s="22">
        <v>449186490</v>
      </c>
      <c r="C28">
        <v>2189</v>
      </c>
      <c r="D28">
        <v>311</v>
      </c>
      <c r="E28" s="23">
        <v>0.87560000000000004</v>
      </c>
      <c r="F28" s="23">
        <v>0.1244</v>
      </c>
      <c r="G28">
        <v>49</v>
      </c>
      <c r="H28">
        <v>1</v>
      </c>
      <c r="I28">
        <v>2189</v>
      </c>
      <c r="J28" s="27">
        <v>1</v>
      </c>
      <c r="K28">
        <v>1</v>
      </c>
      <c r="L28">
        <v>2059</v>
      </c>
      <c r="M28">
        <v>2059</v>
      </c>
      <c r="N28">
        <v>2059</v>
      </c>
      <c r="O28">
        <v>2059</v>
      </c>
      <c r="P28" s="23">
        <v>0.940612</v>
      </c>
    </row>
    <row r="29" spans="1:16" x14ac:dyDescent="0.25">
      <c r="A29" t="s">
        <v>24</v>
      </c>
      <c r="B29" s="22">
        <v>1071240077</v>
      </c>
      <c r="C29">
        <v>2158</v>
      </c>
      <c r="D29">
        <v>342</v>
      </c>
      <c r="E29" s="23">
        <v>0.86319999999999997</v>
      </c>
      <c r="F29" s="23">
        <v>0.1368</v>
      </c>
      <c r="G29">
        <v>51</v>
      </c>
      <c r="H29">
        <v>1</v>
      </c>
      <c r="I29">
        <v>2158</v>
      </c>
      <c r="J29" s="27">
        <v>1</v>
      </c>
      <c r="K29">
        <v>2</v>
      </c>
      <c r="L29">
        <v>1002.5</v>
      </c>
      <c r="M29">
        <v>2004</v>
      </c>
      <c r="N29">
        <v>1</v>
      </c>
      <c r="O29">
        <v>2005</v>
      </c>
      <c r="P29" s="23">
        <v>0.92910099999999995</v>
      </c>
    </row>
    <row r="30" spans="1:16" x14ac:dyDescent="0.25">
      <c r="A30" t="s">
        <v>24</v>
      </c>
      <c r="B30" s="22">
        <v>2104473396</v>
      </c>
      <c r="C30">
        <v>2190</v>
      </c>
      <c r="D30">
        <v>310</v>
      </c>
      <c r="E30" s="23">
        <v>0.876</v>
      </c>
      <c r="F30" s="23">
        <v>0.124</v>
      </c>
      <c r="G30">
        <v>49</v>
      </c>
      <c r="H30">
        <v>1</v>
      </c>
      <c r="I30">
        <v>2190</v>
      </c>
      <c r="J30" s="27">
        <v>1</v>
      </c>
      <c r="K30">
        <v>1</v>
      </c>
      <c r="L30">
        <v>2066</v>
      </c>
      <c r="M30">
        <v>2066</v>
      </c>
      <c r="N30">
        <v>2066</v>
      </c>
      <c r="O30">
        <v>2066</v>
      </c>
      <c r="P30" s="23">
        <v>0.94337899999999997</v>
      </c>
    </row>
    <row r="31" spans="1:16" x14ac:dyDescent="0.25">
      <c r="A31" t="s">
        <v>24</v>
      </c>
      <c r="B31" s="22">
        <v>449227583</v>
      </c>
      <c r="C31">
        <v>2233</v>
      </c>
      <c r="D31">
        <v>267</v>
      </c>
      <c r="E31" s="23">
        <v>0.89319999999999999</v>
      </c>
      <c r="F31" s="23">
        <v>0.10680000000000001</v>
      </c>
      <c r="G31">
        <v>50</v>
      </c>
      <c r="H31">
        <v>1</v>
      </c>
      <c r="I31">
        <v>2233</v>
      </c>
      <c r="J31" s="27">
        <v>1</v>
      </c>
      <c r="K31">
        <v>1</v>
      </c>
      <c r="L31">
        <v>2121</v>
      </c>
      <c r="M31">
        <v>2121</v>
      </c>
      <c r="N31">
        <v>2121</v>
      </c>
      <c r="O31">
        <v>2121</v>
      </c>
      <c r="P31" s="23">
        <v>0.94984299999999999</v>
      </c>
    </row>
    <row r="32" spans="1:16" x14ac:dyDescent="0.25">
      <c r="A32" t="s">
        <v>24</v>
      </c>
      <c r="B32" s="22">
        <v>286370621</v>
      </c>
      <c r="C32">
        <v>2190</v>
      </c>
      <c r="D32">
        <v>310</v>
      </c>
      <c r="E32" s="23">
        <v>0.876</v>
      </c>
      <c r="F32" s="23">
        <v>0.124</v>
      </c>
      <c r="G32">
        <v>50</v>
      </c>
      <c r="H32">
        <v>1</v>
      </c>
      <c r="I32">
        <v>2190</v>
      </c>
      <c r="J32" s="27">
        <v>1</v>
      </c>
      <c r="K32">
        <v>1</v>
      </c>
      <c r="L32">
        <v>2068</v>
      </c>
      <c r="M32">
        <v>2068</v>
      </c>
      <c r="N32">
        <v>2068</v>
      </c>
      <c r="O32">
        <v>2068</v>
      </c>
      <c r="P32" s="23">
        <v>0.94429200000000002</v>
      </c>
    </row>
    <row r="33" spans="1:16" x14ac:dyDescent="0.25">
      <c r="A33" t="s">
        <v>24</v>
      </c>
      <c r="B33" s="22">
        <v>1537565477</v>
      </c>
      <c r="C33">
        <v>2219</v>
      </c>
      <c r="D33">
        <v>281</v>
      </c>
      <c r="E33" s="23">
        <v>0.88759999999999994</v>
      </c>
      <c r="F33" s="23">
        <v>0.1124</v>
      </c>
      <c r="G33">
        <v>50</v>
      </c>
      <c r="H33">
        <v>1</v>
      </c>
      <c r="I33">
        <v>2219</v>
      </c>
      <c r="J33" s="27">
        <v>1</v>
      </c>
      <c r="K33">
        <v>1</v>
      </c>
      <c r="L33">
        <v>2091</v>
      </c>
      <c r="M33">
        <v>2091</v>
      </c>
      <c r="N33">
        <v>2091</v>
      </c>
      <c r="O33">
        <v>2091</v>
      </c>
      <c r="P33" s="23">
        <v>0.94231600000000004</v>
      </c>
    </row>
    <row r="34" spans="1:16" x14ac:dyDescent="0.25">
      <c r="A34" t="s">
        <v>24</v>
      </c>
      <c r="B34" s="22">
        <v>1709384838</v>
      </c>
      <c r="C34">
        <v>2216</v>
      </c>
      <c r="D34">
        <v>284</v>
      </c>
      <c r="E34" s="23">
        <v>0.88639999999999997</v>
      </c>
      <c r="F34" s="23">
        <v>0.11360000000000001</v>
      </c>
      <c r="G34">
        <v>50</v>
      </c>
      <c r="H34">
        <v>1</v>
      </c>
      <c r="I34">
        <v>2216</v>
      </c>
      <c r="J34" s="27">
        <v>1</v>
      </c>
      <c r="K34">
        <v>1</v>
      </c>
      <c r="L34">
        <v>2093</v>
      </c>
      <c r="M34">
        <v>2093</v>
      </c>
      <c r="N34">
        <v>2093</v>
      </c>
      <c r="O34">
        <v>2093</v>
      </c>
      <c r="P34" s="23">
        <v>0.94449499999999997</v>
      </c>
    </row>
    <row r="35" spans="1:16" x14ac:dyDescent="0.25">
      <c r="A35" t="s">
        <v>24</v>
      </c>
      <c r="B35" s="22">
        <v>1701305722</v>
      </c>
      <c r="C35">
        <v>2170</v>
      </c>
      <c r="D35">
        <v>330</v>
      </c>
      <c r="E35" s="23">
        <v>0.86799999999999999</v>
      </c>
      <c r="F35" s="23">
        <v>0.13200000000000001</v>
      </c>
      <c r="G35">
        <v>50</v>
      </c>
      <c r="H35">
        <v>1</v>
      </c>
      <c r="I35">
        <v>2170</v>
      </c>
      <c r="J35" s="27">
        <v>1</v>
      </c>
      <c r="K35">
        <v>1</v>
      </c>
      <c r="L35">
        <v>2035</v>
      </c>
      <c r="M35">
        <v>2035</v>
      </c>
      <c r="N35">
        <v>2035</v>
      </c>
      <c r="O35">
        <v>2035</v>
      </c>
      <c r="P35" s="23">
        <v>0.93778799999999995</v>
      </c>
    </row>
    <row r="36" spans="1:16" x14ac:dyDescent="0.25">
      <c r="A36" t="s">
        <v>24</v>
      </c>
      <c r="B36" s="22">
        <v>558374651</v>
      </c>
      <c r="C36">
        <v>2175</v>
      </c>
      <c r="D36">
        <v>325</v>
      </c>
      <c r="E36" s="23">
        <v>0.87</v>
      </c>
      <c r="F36" s="23">
        <v>0.13</v>
      </c>
      <c r="G36">
        <v>50</v>
      </c>
      <c r="H36">
        <v>1</v>
      </c>
      <c r="I36">
        <v>2175</v>
      </c>
      <c r="J36" s="27">
        <v>1</v>
      </c>
      <c r="K36">
        <v>1</v>
      </c>
      <c r="L36">
        <v>2052</v>
      </c>
      <c r="M36">
        <v>2052</v>
      </c>
      <c r="N36">
        <v>2052</v>
      </c>
      <c r="O36">
        <v>2052</v>
      </c>
      <c r="P36" s="23">
        <v>0.94344799999999995</v>
      </c>
    </row>
    <row r="37" spans="1:16" x14ac:dyDescent="0.25">
      <c r="A37" t="s">
        <v>24</v>
      </c>
      <c r="B37" s="22">
        <v>1455961528</v>
      </c>
      <c r="C37">
        <v>2211</v>
      </c>
      <c r="D37">
        <v>289</v>
      </c>
      <c r="E37" s="23">
        <v>0.88439999999999996</v>
      </c>
      <c r="F37" s="23">
        <v>0.11559999999999999</v>
      </c>
      <c r="G37">
        <v>50</v>
      </c>
      <c r="H37">
        <v>1</v>
      </c>
      <c r="I37">
        <v>2211</v>
      </c>
      <c r="J37" s="27">
        <v>1</v>
      </c>
      <c r="K37">
        <v>1</v>
      </c>
      <c r="L37">
        <v>2071</v>
      </c>
      <c r="M37">
        <v>2071</v>
      </c>
      <c r="N37">
        <v>2071</v>
      </c>
      <c r="O37">
        <v>2071</v>
      </c>
      <c r="P37" s="23">
        <v>0.93667999999999996</v>
      </c>
    </row>
    <row r="38" spans="1:16" x14ac:dyDescent="0.25">
      <c r="A38" t="s">
        <v>24</v>
      </c>
      <c r="B38" s="22">
        <v>1144360043</v>
      </c>
      <c r="C38">
        <v>2223</v>
      </c>
      <c r="D38">
        <v>277</v>
      </c>
      <c r="E38" s="23">
        <v>0.88919999999999999</v>
      </c>
      <c r="F38" s="23">
        <v>0.1108</v>
      </c>
      <c r="G38">
        <v>50</v>
      </c>
      <c r="H38">
        <v>1</v>
      </c>
      <c r="I38">
        <v>2223</v>
      </c>
      <c r="J38" s="27">
        <v>1</v>
      </c>
      <c r="K38">
        <v>1</v>
      </c>
      <c r="L38">
        <v>2113</v>
      </c>
      <c r="M38">
        <v>2113</v>
      </c>
      <c r="N38">
        <v>2113</v>
      </c>
      <c r="O38">
        <v>2113</v>
      </c>
      <c r="P38" s="23">
        <v>0.95051699999999995</v>
      </c>
    </row>
    <row r="39" spans="1:16" x14ac:dyDescent="0.25">
      <c r="A39" t="s">
        <v>24</v>
      </c>
      <c r="B39" s="22">
        <v>1136415555</v>
      </c>
      <c r="C39">
        <v>2119</v>
      </c>
      <c r="D39">
        <v>381</v>
      </c>
      <c r="E39" s="23">
        <v>0.84760000000000002</v>
      </c>
      <c r="F39" s="23">
        <v>0.15240000000000001</v>
      </c>
      <c r="G39">
        <v>50</v>
      </c>
      <c r="H39">
        <v>1</v>
      </c>
      <c r="I39">
        <v>2119</v>
      </c>
      <c r="J39" s="27">
        <v>1</v>
      </c>
      <c r="K39">
        <v>1</v>
      </c>
      <c r="L39">
        <v>1977</v>
      </c>
      <c r="M39">
        <v>1977</v>
      </c>
      <c r="N39">
        <v>1977</v>
      </c>
      <c r="O39">
        <v>1977</v>
      </c>
      <c r="P39" s="23">
        <v>0.93298700000000001</v>
      </c>
    </row>
    <row r="40" spans="1:16" x14ac:dyDescent="0.25">
      <c r="A40" t="s">
        <v>24</v>
      </c>
      <c r="B40" s="22">
        <v>289808181</v>
      </c>
      <c r="C40">
        <v>2167</v>
      </c>
      <c r="D40">
        <v>333</v>
      </c>
      <c r="E40" s="23">
        <v>0.86680000000000001</v>
      </c>
      <c r="F40" s="23">
        <v>0.13320000000000001</v>
      </c>
      <c r="G40">
        <v>51</v>
      </c>
      <c r="H40">
        <v>1</v>
      </c>
      <c r="I40">
        <v>2167</v>
      </c>
      <c r="J40" s="27">
        <v>1</v>
      </c>
      <c r="K40">
        <v>2</v>
      </c>
      <c r="L40">
        <v>1003</v>
      </c>
      <c r="M40">
        <v>2001</v>
      </c>
      <c r="N40">
        <v>5</v>
      </c>
      <c r="O40">
        <v>2006</v>
      </c>
      <c r="P40" s="23">
        <v>0.92570399999999997</v>
      </c>
    </row>
    <row r="41" spans="1:16" x14ac:dyDescent="0.25">
      <c r="A41" t="s">
        <v>24</v>
      </c>
      <c r="B41" s="22">
        <v>704937110</v>
      </c>
      <c r="C41">
        <v>2194</v>
      </c>
      <c r="D41">
        <v>306</v>
      </c>
      <c r="E41" s="23">
        <v>0.87760000000000005</v>
      </c>
      <c r="F41" s="23">
        <v>0.12239999999999999</v>
      </c>
      <c r="G41">
        <v>52</v>
      </c>
      <c r="H41">
        <v>1</v>
      </c>
      <c r="I41">
        <v>2194</v>
      </c>
      <c r="J41" s="27">
        <v>1</v>
      </c>
      <c r="K41">
        <v>1</v>
      </c>
      <c r="L41">
        <v>2071</v>
      </c>
      <c r="M41">
        <v>2071</v>
      </c>
      <c r="N41">
        <v>2071</v>
      </c>
      <c r="O41">
        <v>2071</v>
      </c>
      <c r="P41" s="23">
        <v>0.94393800000000005</v>
      </c>
    </row>
    <row r="42" spans="1:16" x14ac:dyDescent="0.25">
      <c r="A42" t="s">
        <v>24</v>
      </c>
      <c r="B42" s="22">
        <v>706521561</v>
      </c>
      <c r="C42">
        <v>2186</v>
      </c>
      <c r="D42">
        <v>314</v>
      </c>
      <c r="E42" s="23">
        <v>0.87439999999999996</v>
      </c>
      <c r="F42" s="23">
        <v>0.12559999999999999</v>
      </c>
      <c r="G42">
        <v>53</v>
      </c>
      <c r="H42">
        <v>1</v>
      </c>
      <c r="I42">
        <v>2186</v>
      </c>
      <c r="J42" s="27">
        <v>1</v>
      </c>
      <c r="K42">
        <v>1</v>
      </c>
      <c r="L42">
        <v>2045</v>
      </c>
      <c r="M42">
        <v>2045</v>
      </c>
      <c r="N42">
        <v>2045</v>
      </c>
      <c r="O42">
        <v>2045</v>
      </c>
      <c r="P42" s="23">
        <v>0.93549899999999997</v>
      </c>
    </row>
    <row r="43" spans="1:16" x14ac:dyDescent="0.25">
      <c r="A43" t="s">
        <v>24</v>
      </c>
      <c r="B43" s="22">
        <v>434645791</v>
      </c>
      <c r="C43">
        <v>2181</v>
      </c>
      <c r="D43">
        <v>319</v>
      </c>
      <c r="E43" s="23">
        <v>0.87239999999999995</v>
      </c>
      <c r="F43" s="23">
        <v>0.12759999999999999</v>
      </c>
      <c r="G43">
        <v>52</v>
      </c>
      <c r="H43">
        <v>1</v>
      </c>
      <c r="I43">
        <v>2181</v>
      </c>
      <c r="J43" s="27">
        <v>1</v>
      </c>
      <c r="K43">
        <v>1</v>
      </c>
      <c r="L43">
        <v>2040</v>
      </c>
      <c r="M43">
        <v>2040</v>
      </c>
      <c r="N43">
        <v>2040</v>
      </c>
      <c r="O43">
        <v>2040</v>
      </c>
      <c r="P43" s="23">
        <v>0.93535100000000004</v>
      </c>
    </row>
    <row r="44" spans="1:16" x14ac:dyDescent="0.25">
      <c r="A44" t="s">
        <v>24</v>
      </c>
      <c r="B44" s="22">
        <v>1504398238</v>
      </c>
      <c r="C44">
        <v>2204</v>
      </c>
      <c r="D44">
        <v>296</v>
      </c>
      <c r="E44" s="23">
        <v>0.88160000000000005</v>
      </c>
      <c r="F44" s="23">
        <v>0.11840000000000001</v>
      </c>
      <c r="G44">
        <v>49</v>
      </c>
      <c r="H44">
        <v>1</v>
      </c>
      <c r="I44">
        <v>2204</v>
      </c>
      <c r="J44" s="27">
        <v>1</v>
      </c>
      <c r="K44">
        <v>1</v>
      </c>
      <c r="L44">
        <v>2082</v>
      </c>
      <c r="M44">
        <v>2082</v>
      </c>
      <c r="N44">
        <v>2082</v>
      </c>
      <c r="O44">
        <v>2082</v>
      </c>
      <c r="P44" s="23">
        <v>0.94464599999999999</v>
      </c>
    </row>
    <row r="45" spans="1:16" x14ac:dyDescent="0.25">
      <c r="A45" t="s">
        <v>24</v>
      </c>
      <c r="B45" s="22">
        <v>648303687</v>
      </c>
      <c r="C45">
        <v>2142</v>
      </c>
      <c r="D45">
        <v>358</v>
      </c>
      <c r="E45" s="23">
        <v>0.85680000000000001</v>
      </c>
      <c r="F45" s="23">
        <v>0.14319999999999999</v>
      </c>
      <c r="G45">
        <v>49</v>
      </c>
      <c r="H45">
        <v>1</v>
      </c>
      <c r="I45">
        <v>2142</v>
      </c>
      <c r="J45" s="27">
        <v>1</v>
      </c>
      <c r="K45">
        <v>3</v>
      </c>
      <c r="L45">
        <v>659.66666699999996</v>
      </c>
      <c r="M45">
        <v>1920</v>
      </c>
      <c r="N45">
        <v>7</v>
      </c>
      <c r="O45">
        <v>1979</v>
      </c>
      <c r="P45" s="23">
        <v>0.92390300000000003</v>
      </c>
    </row>
    <row r="46" spans="1:16" x14ac:dyDescent="0.25">
      <c r="A46" t="s">
        <v>24</v>
      </c>
      <c r="B46" s="22">
        <v>946188442</v>
      </c>
      <c r="C46">
        <v>2224</v>
      </c>
      <c r="D46">
        <v>276</v>
      </c>
      <c r="E46" s="23">
        <v>0.88959999999999995</v>
      </c>
      <c r="F46" s="23">
        <v>0.1104</v>
      </c>
      <c r="G46">
        <v>52</v>
      </c>
      <c r="H46">
        <v>1</v>
      </c>
      <c r="I46">
        <v>2224</v>
      </c>
      <c r="J46" s="27">
        <v>1</v>
      </c>
      <c r="K46">
        <v>1</v>
      </c>
      <c r="L46">
        <v>2093</v>
      </c>
      <c r="M46">
        <v>2093</v>
      </c>
      <c r="N46">
        <v>2093</v>
      </c>
      <c r="O46">
        <v>2093</v>
      </c>
      <c r="P46" s="23">
        <v>0.94109699999999996</v>
      </c>
    </row>
    <row r="47" spans="1:16" x14ac:dyDescent="0.25">
      <c r="A47" t="s">
        <v>24</v>
      </c>
      <c r="B47" s="22">
        <v>288163813</v>
      </c>
      <c r="C47">
        <v>2206</v>
      </c>
      <c r="D47">
        <v>294</v>
      </c>
      <c r="E47" s="23">
        <v>0.88239999999999996</v>
      </c>
      <c r="F47" s="23">
        <v>0.1176</v>
      </c>
      <c r="G47">
        <v>51</v>
      </c>
      <c r="H47">
        <v>1</v>
      </c>
      <c r="I47">
        <v>2206</v>
      </c>
      <c r="J47" s="27">
        <v>1</v>
      </c>
      <c r="K47">
        <v>2</v>
      </c>
      <c r="L47">
        <v>1034</v>
      </c>
      <c r="M47">
        <v>2067</v>
      </c>
      <c r="N47">
        <v>1</v>
      </c>
      <c r="O47">
        <v>2068</v>
      </c>
      <c r="P47" s="23">
        <v>0.93744300000000003</v>
      </c>
    </row>
    <row r="48" spans="1:16" x14ac:dyDescent="0.25">
      <c r="A48" t="s">
        <v>24</v>
      </c>
      <c r="B48" s="22">
        <v>1637055937</v>
      </c>
      <c r="C48">
        <v>2194</v>
      </c>
      <c r="D48">
        <v>306</v>
      </c>
      <c r="E48" s="23">
        <v>0.87760000000000005</v>
      </c>
      <c r="F48" s="23">
        <v>0.12239999999999999</v>
      </c>
      <c r="G48">
        <v>50</v>
      </c>
      <c r="H48">
        <v>1</v>
      </c>
      <c r="I48">
        <v>2194</v>
      </c>
      <c r="J48" s="27">
        <v>1</v>
      </c>
      <c r="K48">
        <v>1</v>
      </c>
      <c r="L48">
        <v>2077</v>
      </c>
      <c r="M48">
        <v>2077</v>
      </c>
      <c r="N48">
        <v>2077</v>
      </c>
      <c r="O48">
        <v>2077</v>
      </c>
      <c r="P48" s="23">
        <v>0.94667299999999999</v>
      </c>
    </row>
    <row r="49" spans="1:16" x14ac:dyDescent="0.25">
      <c r="A49" t="s">
        <v>24</v>
      </c>
      <c r="B49" s="22">
        <v>685127334</v>
      </c>
      <c r="C49">
        <v>2178</v>
      </c>
      <c r="D49">
        <v>322</v>
      </c>
      <c r="E49" s="23">
        <v>0.87119999999999997</v>
      </c>
      <c r="F49" s="23">
        <v>0.1288</v>
      </c>
      <c r="G49">
        <v>50</v>
      </c>
      <c r="H49">
        <v>1</v>
      </c>
      <c r="I49">
        <v>2178</v>
      </c>
      <c r="J49" s="27">
        <v>1</v>
      </c>
      <c r="K49">
        <v>1</v>
      </c>
      <c r="L49">
        <v>2048</v>
      </c>
      <c r="M49">
        <v>2048</v>
      </c>
      <c r="N49">
        <v>2048</v>
      </c>
      <c r="O49">
        <v>2048</v>
      </c>
      <c r="P49" s="23">
        <v>0.94031200000000004</v>
      </c>
    </row>
    <row r="50" spans="1:16" x14ac:dyDescent="0.25">
      <c r="A50" t="s">
        <v>24</v>
      </c>
      <c r="B50" s="22">
        <v>1916466149</v>
      </c>
      <c r="C50">
        <v>2152</v>
      </c>
      <c r="D50">
        <v>348</v>
      </c>
      <c r="E50" s="23">
        <v>0.86080000000000001</v>
      </c>
      <c r="F50" s="23">
        <v>0.13919999999999999</v>
      </c>
      <c r="G50">
        <v>49</v>
      </c>
      <c r="H50">
        <v>1</v>
      </c>
      <c r="I50">
        <v>2152</v>
      </c>
      <c r="J50" s="27">
        <v>1</v>
      </c>
      <c r="K50">
        <v>2</v>
      </c>
      <c r="L50">
        <v>995.5</v>
      </c>
      <c r="M50">
        <v>1990</v>
      </c>
      <c r="N50">
        <v>1</v>
      </c>
      <c r="O50">
        <v>1991</v>
      </c>
      <c r="P50" s="23">
        <v>0.92518599999999995</v>
      </c>
    </row>
    <row r="51" spans="1:16" x14ac:dyDescent="0.25">
      <c r="A51" t="s">
        <v>24</v>
      </c>
      <c r="B51" s="22">
        <v>294155040</v>
      </c>
      <c r="C51">
        <v>2179</v>
      </c>
      <c r="D51">
        <v>321</v>
      </c>
      <c r="E51" s="23">
        <v>0.87160000000000004</v>
      </c>
      <c r="F51" s="23">
        <v>0.12839999999999999</v>
      </c>
      <c r="G51">
        <v>51</v>
      </c>
      <c r="H51">
        <v>1</v>
      </c>
      <c r="I51">
        <v>2179</v>
      </c>
      <c r="J51" s="27">
        <v>1</v>
      </c>
      <c r="K51">
        <v>1</v>
      </c>
      <c r="L51">
        <v>2052</v>
      </c>
      <c r="M51">
        <v>2052</v>
      </c>
      <c r="N51">
        <v>2052</v>
      </c>
      <c r="O51">
        <v>2052</v>
      </c>
      <c r="P51" s="23">
        <v>0.941716</v>
      </c>
    </row>
    <row r="52" spans="1:16" x14ac:dyDescent="0.25">
      <c r="A52" t="s">
        <v>26</v>
      </c>
      <c r="B52"/>
      <c r="C52">
        <f>SUBTOTAL(101,CA4_wall50_it3_neigh3[floors])</f>
        <v>2188.98</v>
      </c>
      <c r="D52">
        <f>SUBTOTAL(101,CA4_wall50_it3_neigh3[walls])</f>
        <v>311.02</v>
      </c>
      <c r="E52" s="24">
        <f>SUBTOTAL(101,CA4_wall50_it3_neigh3[floor_percent])</f>
        <v>0.87559199999999993</v>
      </c>
      <c r="F52" s="24">
        <f>SUBTOTAL(101,CA4_wall50_it3_neigh3[wall_percent])</f>
        <v>0.12440800000000006</v>
      </c>
      <c r="G52">
        <f>SUBTOTAL(101,CA4_wall50_it3_neigh3[longest_shortest_path])</f>
        <v>50.26</v>
      </c>
      <c r="H52">
        <f>SUBTOTAL(101,CA4_wall50_it3_neigh3[component_count])</f>
        <v>1.02</v>
      </c>
      <c r="I52">
        <f>SUBTOTAL(101,CA4_wall50_it3_neigh3[max_component_size])</f>
        <v>2188.9</v>
      </c>
      <c r="J52" s="25">
        <f>SUBTOTAL(101,CA4_wall50_it3_neigh3[connectivity_ratio])</f>
        <v>0.99996364000000004</v>
      </c>
      <c r="K52">
        <f>SUBTOTAL(101,CA4_wall50_it3_neigh3[room_count])</f>
        <v>1.18</v>
      </c>
      <c r="L52">
        <f>SUBTOTAL(101,CA4_wall50_it3_neigh3[avg_room_size])</f>
        <v>1889.0033333399999</v>
      </c>
      <c r="M52">
        <f>SUBTOTAL(101,CA4_wall50_it3_neigh3[max_room_size])</f>
        <v>2054.04</v>
      </c>
      <c r="N52">
        <f>SUBTOTAL(101,CA4_wall50_it3_neigh3[min_room_size])</f>
        <v>1736.12</v>
      </c>
      <c r="O52">
        <f>SUBTOTAL(101,CA4_wall50_it3_neigh3[room_tiles])</f>
        <v>2055.88</v>
      </c>
      <c r="P52" s="24">
        <f>SUBTOTAL(101,CA4_wall50_it3_neigh3[room_ratio])</f>
        <v>0.93910653999999993</v>
      </c>
    </row>
    <row r="53" spans="1:16" x14ac:dyDescent="0.25">
      <c r="A53" s="26" t="s">
        <v>37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7626-A838-4255-ABB9-2F8078462AFF}">
  <dimension ref="A1:P53"/>
  <sheetViews>
    <sheetView topLeftCell="A28" workbookViewId="0">
      <selection activeCell="J28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1449092236</v>
      </c>
      <c r="C2">
        <v>1987</v>
      </c>
      <c r="D2">
        <v>513</v>
      </c>
      <c r="E2" s="23">
        <v>0.79479999999999995</v>
      </c>
      <c r="F2" s="23">
        <v>0.20519999999999999</v>
      </c>
      <c r="G2">
        <v>53</v>
      </c>
      <c r="H2">
        <v>1</v>
      </c>
      <c r="I2">
        <v>1987</v>
      </c>
      <c r="J2" s="27">
        <v>1</v>
      </c>
      <c r="K2">
        <v>3</v>
      </c>
      <c r="L2">
        <v>590.66666699999996</v>
      </c>
      <c r="M2">
        <v>1763</v>
      </c>
      <c r="N2">
        <v>1</v>
      </c>
      <c r="O2">
        <v>1772</v>
      </c>
      <c r="P2" s="23">
        <v>0.89179699999999995</v>
      </c>
    </row>
    <row r="3" spans="1:16" x14ac:dyDescent="0.25">
      <c r="A3" t="s">
        <v>24</v>
      </c>
      <c r="B3" s="22">
        <v>375871212</v>
      </c>
      <c r="C3">
        <v>1997</v>
      </c>
      <c r="D3">
        <v>503</v>
      </c>
      <c r="E3" s="23">
        <v>0.79879999999999995</v>
      </c>
      <c r="F3" s="23">
        <v>0.20119999999999999</v>
      </c>
      <c r="G3">
        <v>51</v>
      </c>
      <c r="H3">
        <v>1</v>
      </c>
      <c r="I3">
        <v>1997</v>
      </c>
      <c r="J3" s="27">
        <v>1</v>
      </c>
      <c r="K3">
        <v>2</v>
      </c>
      <c r="L3">
        <v>897.5</v>
      </c>
      <c r="M3">
        <v>1794</v>
      </c>
      <c r="N3">
        <v>1</v>
      </c>
      <c r="O3">
        <v>1795</v>
      </c>
      <c r="P3" s="23">
        <v>0.89884799999999998</v>
      </c>
    </row>
    <row r="4" spans="1:16" x14ac:dyDescent="0.25">
      <c r="A4" t="s">
        <v>24</v>
      </c>
      <c r="B4" s="22">
        <v>880718266</v>
      </c>
      <c r="C4">
        <v>2013</v>
      </c>
      <c r="D4">
        <v>487</v>
      </c>
      <c r="E4" s="23">
        <v>0.80520000000000003</v>
      </c>
      <c r="F4" s="23">
        <v>0.1948</v>
      </c>
      <c r="G4">
        <v>50</v>
      </c>
      <c r="H4">
        <v>1</v>
      </c>
      <c r="I4">
        <v>2013</v>
      </c>
      <c r="J4" s="27">
        <v>1</v>
      </c>
      <c r="K4">
        <v>2</v>
      </c>
      <c r="L4">
        <v>913</v>
      </c>
      <c r="M4">
        <v>1816</v>
      </c>
      <c r="N4">
        <v>10</v>
      </c>
      <c r="O4">
        <v>1826</v>
      </c>
      <c r="P4" s="23">
        <v>0.90710400000000002</v>
      </c>
    </row>
    <row r="5" spans="1:16" x14ac:dyDescent="0.25">
      <c r="A5" t="s">
        <v>24</v>
      </c>
      <c r="B5" s="22">
        <v>1465804049</v>
      </c>
      <c r="C5">
        <v>1998</v>
      </c>
      <c r="D5">
        <v>502</v>
      </c>
      <c r="E5" s="23">
        <v>0.79920000000000002</v>
      </c>
      <c r="F5" s="23">
        <v>0.20080000000000001</v>
      </c>
      <c r="G5">
        <v>51</v>
      </c>
      <c r="H5">
        <v>1</v>
      </c>
      <c r="I5">
        <v>1998</v>
      </c>
      <c r="J5" s="27">
        <v>1</v>
      </c>
      <c r="K5">
        <v>1</v>
      </c>
      <c r="L5">
        <v>1785</v>
      </c>
      <c r="M5">
        <v>1785</v>
      </c>
      <c r="N5">
        <v>1785</v>
      </c>
      <c r="O5">
        <v>1785</v>
      </c>
      <c r="P5" s="23">
        <v>0.89339299999999999</v>
      </c>
    </row>
    <row r="6" spans="1:16" x14ac:dyDescent="0.25">
      <c r="A6" t="s">
        <v>24</v>
      </c>
      <c r="B6" s="22">
        <v>381977920</v>
      </c>
      <c r="C6">
        <v>1987</v>
      </c>
      <c r="D6">
        <v>513</v>
      </c>
      <c r="E6" s="23">
        <v>0.79479999999999995</v>
      </c>
      <c r="F6" s="23">
        <v>0.20519999999999999</v>
      </c>
      <c r="G6">
        <v>51</v>
      </c>
      <c r="H6">
        <v>1</v>
      </c>
      <c r="I6">
        <v>1987</v>
      </c>
      <c r="J6" s="27">
        <v>1</v>
      </c>
      <c r="K6">
        <v>2</v>
      </c>
      <c r="L6">
        <v>881</v>
      </c>
      <c r="M6">
        <v>1759</v>
      </c>
      <c r="N6">
        <v>3</v>
      </c>
      <c r="O6">
        <v>1762</v>
      </c>
      <c r="P6" s="23">
        <v>0.886764</v>
      </c>
    </row>
    <row r="7" spans="1:16" x14ac:dyDescent="0.25">
      <c r="A7" t="s">
        <v>24</v>
      </c>
      <c r="B7" s="22">
        <v>937410943</v>
      </c>
      <c r="C7">
        <v>1954</v>
      </c>
      <c r="D7">
        <v>546</v>
      </c>
      <c r="E7" s="23">
        <v>0.78159999999999996</v>
      </c>
      <c r="F7" s="23">
        <v>0.21840000000000001</v>
      </c>
      <c r="G7">
        <v>53</v>
      </c>
      <c r="H7">
        <v>1</v>
      </c>
      <c r="I7">
        <v>1954</v>
      </c>
      <c r="J7" s="27">
        <v>1</v>
      </c>
      <c r="K7">
        <v>1</v>
      </c>
      <c r="L7">
        <v>1733</v>
      </c>
      <c r="M7">
        <v>1733</v>
      </c>
      <c r="N7">
        <v>1733</v>
      </c>
      <c r="O7">
        <v>1733</v>
      </c>
      <c r="P7" s="23">
        <v>0.88689899999999999</v>
      </c>
    </row>
    <row r="8" spans="1:16" x14ac:dyDescent="0.25">
      <c r="A8" t="s">
        <v>24</v>
      </c>
      <c r="B8" s="22">
        <v>296205681</v>
      </c>
      <c r="C8">
        <v>2018</v>
      </c>
      <c r="D8">
        <v>482</v>
      </c>
      <c r="E8" s="23">
        <v>0.80720000000000003</v>
      </c>
      <c r="F8" s="23">
        <v>0.1928</v>
      </c>
      <c r="G8">
        <v>51</v>
      </c>
      <c r="H8">
        <v>1</v>
      </c>
      <c r="I8">
        <v>2018</v>
      </c>
      <c r="J8" s="27">
        <v>1</v>
      </c>
      <c r="K8">
        <v>1</v>
      </c>
      <c r="L8">
        <v>1825</v>
      </c>
      <c r="M8">
        <v>1825</v>
      </c>
      <c r="N8">
        <v>1825</v>
      </c>
      <c r="O8">
        <v>1825</v>
      </c>
      <c r="P8" s="23">
        <v>0.90436099999999997</v>
      </c>
    </row>
    <row r="9" spans="1:16" x14ac:dyDescent="0.25">
      <c r="A9" t="s">
        <v>24</v>
      </c>
      <c r="B9" s="22">
        <v>110499543</v>
      </c>
      <c r="C9">
        <v>1984</v>
      </c>
      <c r="D9">
        <v>516</v>
      </c>
      <c r="E9" s="23">
        <v>0.79359999999999997</v>
      </c>
      <c r="F9" s="23">
        <v>0.2064</v>
      </c>
      <c r="G9">
        <v>53</v>
      </c>
      <c r="H9">
        <v>1</v>
      </c>
      <c r="I9">
        <v>1984</v>
      </c>
      <c r="J9" s="27">
        <v>1</v>
      </c>
      <c r="K9">
        <v>2</v>
      </c>
      <c r="L9">
        <v>887.5</v>
      </c>
      <c r="M9">
        <v>1773</v>
      </c>
      <c r="N9">
        <v>2</v>
      </c>
      <c r="O9">
        <v>1775</v>
      </c>
      <c r="P9" s="23">
        <v>0.89465700000000004</v>
      </c>
    </row>
    <row r="10" spans="1:16" x14ac:dyDescent="0.25">
      <c r="A10" t="s">
        <v>24</v>
      </c>
      <c r="B10" s="22">
        <v>145457823</v>
      </c>
      <c r="C10">
        <v>1950</v>
      </c>
      <c r="D10">
        <v>550</v>
      </c>
      <c r="E10" s="23">
        <v>0.78</v>
      </c>
      <c r="F10" s="23">
        <v>0.22</v>
      </c>
      <c r="G10">
        <v>52</v>
      </c>
      <c r="H10">
        <v>1</v>
      </c>
      <c r="I10">
        <v>1950</v>
      </c>
      <c r="J10" s="27">
        <v>1</v>
      </c>
      <c r="K10">
        <v>1</v>
      </c>
      <c r="L10">
        <v>1709</v>
      </c>
      <c r="M10">
        <v>1709</v>
      </c>
      <c r="N10">
        <v>1709</v>
      </c>
      <c r="O10">
        <v>1709</v>
      </c>
      <c r="P10" s="23">
        <v>0.87641000000000002</v>
      </c>
    </row>
    <row r="11" spans="1:16" x14ac:dyDescent="0.25">
      <c r="A11" t="s">
        <v>24</v>
      </c>
      <c r="B11" s="22">
        <v>755688655</v>
      </c>
      <c r="C11">
        <v>1977</v>
      </c>
      <c r="D11">
        <v>523</v>
      </c>
      <c r="E11" s="23">
        <v>0.79079999999999995</v>
      </c>
      <c r="F11" s="23">
        <v>0.2092</v>
      </c>
      <c r="G11">
        <v>54</v>
      </c>
      <c r="H11">
        <v>1</v>
      </c>
      <c r="I11">
        <v>1977</v>
      </c>
      <c r="J11" s="27">
        <v>1</v>
      </c>
      <c r="K11">
        <v>1</v>
      </c>
      <c r="L11">
        <v>1748</v>
      </c>
      <c r="M11">
        <v>1748</v>
      </c>
      <c r="N11">
        <v>1748</v>
      </c>
      <c r="O11">
        <v>1748</v>
      </c>
      <c r="P11" s="23">
        <v>0.88416799999999995</v>
      </c>
    </row>
    <row r="12" spans="1:16" x14ac:dyDescent="0.25">
      <c r="A12" t="s">
        <v>24</v>
      </c>
      <c r="B12" s="22">
        <v>1518685522</v>
      </c>
      <c r="C12">
        <v>2027</v>
      </c>
      <c r="D12">
        <v>473</v>
      </c>
      <c r="E12" s="23">
        <v>0.81079999999999997</v>
      </c>
      <c r="F12" s="23">
        <v>0.18920000000000001</v>
      </c>
      <c r="G12">
        <v>52</v>
      </c>
      <c r="H12">
        <v>1</v>
      </c>
      <c r="I12">
        <v>2027</v>
      </c>
      <c r="J12" s="27">
        <v>1</v>
      </c>
      <c r="K12">
        <v>1</v>
      </c>
      <c r="L12">
        <v>1835</v>
      </c>
      <c r="M12">
        <v>1835</v>
      </c>
      <c r="N12">
        <v>1835</v>
      </c>
      <c r="O12">
        <v>1835</v>
      </c>
      <c r="P12" s="23">
        <v>0.90527899999999994</v>
      </c>
    </row>
    <row r="13" spans="1:16" x14ac:dyDescent="0.25">
      <c r="A13" t="s">
        <v>24</v>
      </c>
      <c r="B13" s="22">
        <v>1275687679</v>
      </c>
      <c r="C13">
        <v>2001</v>
      </c>
      <c r="D13">
        <v>499</v>
      </c>
      <c r="E13" s="23">
        <v>0.8004</v>
      </c>
      <c r="F13" s="23">
        <v>0.1996</v>
      </c>
      <c r="G13">
        <v>51</v>
      </c>
      <c r="H13">
        <v>1</v>
      </c>
      <c r="I13">
        <v>2001</v>
      </c>
      <c r="J13" s="27">
        <v>1</v>
      </c>
      <c r="K13">
        <v>2</v>
      </c>
      <c r="L13">
        <v>902</v>
      </c>
      <c r="M13">
        <v>1801</v>
      </c>
      <c r="N13">
        <v>3</v>
      </c>
      <c r="O13">
        <v>1804</v>
      </c>
      <c r="P13" s="23">
        <v>0.90154900000000004</v>
      </c>
    </row>
    <row r="14" spans="1:16" x14ac:dyDescent="0.25">
      <c r="A14" t="s">
        <v>24</v>
      </c>
      <c r="B14" s="22">
        <v>162277513</v>
      </c>
      <c r="C14">
        <v>2017</v>
      </c>
      <c r="D14">
        <v>483</v>
      </c>
      <c r="E14" s="23">
        <v>0.80679999999999996</v>
      </c>
      <c r="F14" s="23">
        <v>0.19320000000000001</v>
      </c>
      <c r="G14">
        <v>50</v>
      </c>
      <c r="H14">
        <v>1</v>
      </c>
      <c r="I14">
        <v>2017</v>
      </c>
      <c r="J14" s="27">
        <v>1</v>
      </c>
      <c r="K14">
        <v>1</v>
      </c>
      <c r="L14">
        <v>1801</v>
      </c>
      <c r="M14">
        <v>1801</v>
      </c>
      <c r="N14">
        <v>1801</v>
      </c>
      <c r="O14">
        <v>1801</v>
      </c>
      <c r="P14" s="23">
        <v>0.89290999999999998</v>
      </c>
    </row>
    <row r="15" spans="1:16" x14ac:dyDescent="0.25">
      <c r="A15" t="s">
        <v>24</v>
      </c>
      <c r="B15" s="22">
        <v>48944934</v>
      </c>
      <c r="C15">
        <v>1917</v>
      </c>
      <c r="D15">
        <v>583</v>
      </c>
      <c r="E15" s="23">
        <v>0.76680000000000004</v>
      </c>
      <c r="F15" s="23">
        <v>0.23319999999999999</v>
      </c>
      <c r="G15">
        <v>54</v>
      </c>
      <c r="H15">
        <v>1</v>
      </c>
      <c r="I15">
        <v>1917</v>
      </c>
      <c r="J15" s="27">
        <v>1</v>
      </c>
      <c r="K15">
        <v>1</v>
      </c>
      <c r="L15">
        <v>1656</v>
      </c>
      <c r="M15">
        <v>1656</v>
      </c>
      <c r="N15">
        <v>1656</v>
      </c>
      <c r="O15">
        <v>1656</v>
      </c>
      <c r="P15" s="23">
        <v>0.86385000000000001</v>
      </c>
    </row>
    <row r="16" spans="1:16" x14ac:dyDescent="0.25">
      <c r="A16" t="s">
        <v>24</v>
      </c>
      <c r="B16" s="22">
        <v>1383396135</v>
      </c>
      <c r="C16">
        <v>2000</v>
      </c>
      <c r="D16">
        <v>500</v>
      </c>
      <c r="E16" s="23">
        <v>0.8</v>
      </c>
      <c r="F16" s="23">
        <v>0.2</v>
      </c>
      <c r="G16">
        <v>51</v>
      </c>
      <c r="H16">
        <v>1</v>
      </c>
      <c r="I16">
        <v>2000</v>
      </c>
      <c r="J16" s="27">
        <v>1</v>
      </c>
      <c r="K16">
        <v>1</v>
      </c>
      <c r="L16">
        <v>1796</v>
      </c>
      <c r="M16">
        <v>1796</v>
      </c>
      <c r="N16">
        <v>1796</v>
      </c>
      <c r="O16">
        <v>1796</v>
      </c>
      <c r="P16" s="23">
        <v>0.89800000000000002</v>
      </c>
    </row>
    <row r="17" spans="1:16" x14ac:dyDescent="0.25">
      <c r="A17" t="s">
        <v>24</v>
      </c>
      <c r="B17" s="22">
        <v>2093805330</v>
      </c>
      <c r="C17">
        <v>2057</v>
      </c>
      <c r="D17">
        <v>443</v>
      </c>
      <c r="E17" s="23">
        <v>0.82279999999999998</v>
      </c>
      <c r="F17" s="23">
        <v>0.1772</v>
      </c>
      <c r="G17">
        <v>50</v>
      </c>
      <c r="H17">
        <v>1</v>
      </c>
      <c r="I17">
        <v>2057</v>
      </c>
      <c r="J17" s="27">
        <v>1</v>
      </c>
      <c r="K17">
        <v>1</v>
      </c>
      <c r="L17">
        <v>1886</v>
      </c>
      <c r="M17">
        <v>1886</v>
      </c>
      <c r="N17">
        <v>1886</v>
      </c>
      <c r="O17">
        <v>1886</v>
      </c>
      <c r="P17" s="23">
        <v>0.91686900000000005</v>
      </c>
    </row>
    <row r="18" spans="1:16" x14ac:dyDescent="0.25">
      <c r="A18" t="s">
        <v>24</v>
      </c>
      <c r="B18" s="22">
        <v>1824928718</v>
      </c>
      <c r="C18">
        <v>1942</v>
      </c>
      <c r="D18">
        <v>558</v>
      </c>
      <c r="E18" s="23">
        <v>0.77680000000000005</v>
      </c>
      <c r="F18" s="23">
        <v>0.22320000000000001</v>
      </c>
      <c r="G18">
        <v>51</v>
      </c>
      <c r="H18">
        <v>1</v>
      </c>
      <c r="I18">
        <v>1942</v>
      </c>
      <c r="J18" s="27">
        <v>1</v>
      </c>
      <c r="K18">
        <v>2</v>
      </c>
      <c r="L18">
        <v>849.5</v>
      </c>
      <c r="M18">
        <v>1590</v>
      </c>
      <c r="N18">
        <v>109</v>
      </c>
      <c r="O18">
        <v>1699</v>
      </c>
      <c r="P18" s="23">
        <v>0.87487099999999995</v>
      </c>
    </row>
    <row r="19" spans="1:16" x14ac:dyDescent="0.25">
      <c r="A19" t="s">
        <v>24</v>
      </c>
      <c r="B19" s="22">
        <v>506822953</v>
      </c>
      <c r="C19">
        <v>1973</v>
      </c>
      <c r="D19">
        <v>527</v>
      </c>
      <c r="E19" s="23">
        <v>0.78920000000000001</v>
      </c>
      <c r="F19" s="23">
        <v>0.21079999999999999</v>
      </c>
      <c r="G19">
        <v>50</v>
      </c>
      <c r="H19">
        <v>1</v>
      </c>
      <c r="I19">
        <v>1973</v>
      </c>
      <c r="J19" s="27">
        <v>1</v>
      </c>
      <c r="K19">
        <v>1</v>
      </c>
      <c r="L19">
        <v>1756</v>
      </c>
      <c r="M19">
        <v>1756</v>
      </c>
      <c r="N19">
        <v>1756</v>
      </c>
      <c r="O19">
        <v>1756</v>
      </c>
      <c r="P19" s="23">
        <v>0.890015</v>
      </c>
    </row>
    <row r="20" spans="1:16" x14ac:dyDescent="0.25">
      <c r="A20" t="s">
        <v>24</v>
      </c>
      <c r="B20" s="22">
        <v>1884885332</v>
      </c>
      <c r="C20">
        <v>1970</v>
      </c>
      <c r="D20">
        <v>530</v>
      </c>
      <c r="E20" s="23">
        <v>0.78800000000000003</v>
      </c>
      <c r="F20" s="23">
        <v>0.21199999999999999</v>
      </c>
      <c r="G20">
        <v>52</v>
      </c>
      <c r="H20">
        <v>1</v>
      </c>
      <c r="I20">
        <v>1970</v>
      </c>
      <c r="J20" s="27">
        <v>1</v>
      </c>
      <c r="K20">
        <v>2</v>
      </c>
      <c r="L20">
        <v>871</v>
      </c>
      <c r="M20">
        <v>1739</v>
      </c>
      <c r="N20">
        <v>3</v>
      </c>
      <c r="O20">
        <v>1742</v>
      </c>
      <c r="P20" s="23">
        <v>0.88426400000000005</v>
      </c>
    </row>
    <row r="21" spans="1:16" x14ac:dyDescent="0.25">
      <c r="A21" t="s">
        <v>24</v>
      </c>
      <c r="B21" s="22">
        <v>1397321949</v>
      </c>
      <c r="C21">
        <v>1994</v>
      </c>
      <c r="D21">
        <v>506</v>
      </c>
      <c r="E21" s="23">
        <v>0.79759999999999998</v>
      </c>
      <c r="F21" s="23">
        <v>0.2024</v>
      </c>
      <c r="G21">
        <v>50</v>
      </c>
      <c r="H21">
        <v>1</v>
      </c>
      <c r="I21">
        <v>1994</v>
      </c>
      <c r="J21" s="27">
        <v>1</v>
      </c>
      <c r="K21">
        <v>3</v>
      </c>
      <c r="L21">
        <v>601</v>
      </c>
      <c r="M21">
        <v>1789</v>
      </c>
      <c r="N21">
        <v>4</v>
      </c>
      <c r="O21">
        <v>1803</v>
      </c>
      <c r="P21" s="23">
        <v>0.90421300000000004</v>
      </c>
    </row>
    <row r="22" spans="1:16" x14ac:dyDescent="0.25">
      <c r="A22" t="s">
        <v>24</v>
      </c>
      <c r="B22" s="22">
        <v>1056507377</v>
      </c>
      <c r="C22">
        <v>1983</v>
      </c>
      <c r="D22">
        <v>517</v>
      </c>
      <c r="E22" s="23">
        <v>0.79320000000000002</v>
      </c>
      <c r="F22" s="23">
        <v>0.20680000000000001</v>
      </c>
      <c r="G22">
        <v>53</v>
      </c>
      <c r="H22">
        <v>1</v>
      </c>
      <c r="I22">
        <v>1983</v>
      </c>
      <c r="J22" s="27">
        <v>1</v>
      </c>
      <c r="K22">
        <v>2</v>
      </c>
      <c r="L22">
        <v>885</v>
      </c>
      <c r="M22">
        <v>1766</v>
      </c>
      <c r="N22">
        <v>4</v>
      </c>
      <c r="O22">
        <v>1770</v>
      </c>
      <c r="P22" s="23">
        <v>0.89258700000000002</v>
      </c>
    </row>
    <row r="23" spans="1:16" x14ac:dyDescent="0.25">
      <c r="A23" t="s">
        <v>24</v>
      </c>
      <c r="B23" s="22">
        <v>743253958</v>
      </c>
      <c r="C23">
        <v>1990</v>
      </c>
      <c r="D23">
        <v>510</v>
      </c>
      <c r="E23" s="23">
        <v>0.79600000000000004</v>
      </c>
      <c r="F23" s="23">
        <v>0.20399999999999999</v>
      </c>
      <c r="G23">
        <v>53</v>
      </c>
      <c r="H23">
        <v>1</v>
      </c>
      <c r="I23">
        <v>1990</v>
      </c>
      <c r="J23" s="27">
        <v>1</v>
      </c>
      <c r="K23">
        <v>1</v>
      </c>
      <c r="L23">
        <v>1786</v>
      </c>
      <c r="M23">
        <v>1786</v>
      </c>
      <c r="N23">
        <v>1786</v>
      </c>
      <c r="O23">
        <v>1786</v>
      </c>
      <c r="P23" s="23">
        <v>0.89748700000000003</v>
      </c>
    </row>
    <row r="24" spans="1:16" x14ac:dyDescent="0.25">
      <c r="A24" t="s">
        <v>24</v>
      </c>
      <c r="B24" s="22">
        <v>1448997778</v>
      </c>
      <c r="C24">
        <v>1983</v>
      </c>
      <c r="D24">
        <v>517</v>
      </c>
      <c r="E24" s="23">
        <v>0.79320000000000002</v>
      </c>
      <c r="F24" s="23">
        <v>0.20680000000000001</v>
      </c>
      <c r="G24">
        <v>52</v>
      </c>
      <c r="H24">
        <v>1</v>
      </c>
      <c r="I24">
        <v>1983</v>
      </c>
      <c r="J24" s="27">
        <v>1</v>
      </c>
      <c r="K24">
        <v>1</v>
      </c>
      <c r="L24">
        <v>1742</v>
      </c>
      <c r="M24">
        <v>1742</v>
      </c>
      <c r="N24">
        <v>1742</v>
      </c>
      <c r="O24">
        <v>1742</v>
      </c>
      <c r="P24" s="23">
        <v>0.878467</v>
      </c>
    </row>
    <row r="25" spans="1:16" x14ac:dyDescent="0.25">
      <c r="A25" t="s">
        <v>24</v>
      </c>
      <c r="B25" s="22">
        <v>1873818756</v>
      </c>
      <c r="C25">
        <v>1999</v>
      </c>
      <c r="D25">
        <v>501</v>
      </c>
      <c r="E25" s="23">
        <v>0.79959999999999998</v>
      </c>
      <c r="F25" s="23">
        <v>0.20039999999999999</v>
      </c>
      <c r="G25">
        <v>53</v>
      </c>
      <c r="H25">
        <v>1</v>
      </c>
      <c r="I25">
        <v>1999</v>
      </c>
      <c r="J25" s="27">
        <v>1</v>
      </c>
      <c r="K25">
        <v>2</v>
      </c>
      <c r="L25">
        <v>885</v>
      </c>
      <c r="M25">
        <v>1759</v>
      </c>
      <c r="N25">
        <v>11</v>
      </c>
      <c r="O25">
        <v>1770</v>
      </c>
      <c r="P25" s="23">
        <v>0.88544299999999998</v>
      </c>
    </row>
    <row r="26" spans="1:16" x14ac:dyDescent="0.25">
      <c r="A26" t="s">
        <v>24</v>
      </c>
      <c r="B26" s="22">
        <v>1003480167</v>
      </c>
      <c r="C26">
        <v>2069</v>
      </c>
      <c r="D26">
        <v>431</v>
      </c>
      <c r="E26" s="23">
        <v>0.8276</v>
      </c>
      <c r="F26" s="23">
        <v>0.1724</v>
      </c>
      <c r="G26">
        <v>50</v>
      </c>
      <c r="H26">
        <v>1</v>
      </c>
      <c r="I26">
        <v>2069</v>
      </c>
      <c r="J26" s="27">
        <v>1</v>
      </c>
      <c r="K26">
        <v>1</v>
      </c>
      <c r="L26">
        <v>1898</v>
      </c>
      <c r="M26">
        <v>1898</v>
      </c>
      <c r="N26">
        <v>1898</v>
      </c>
      <c r="O26">
        <v>1898</v>
      </c>
      <c r="P26" s="23">
        <v>0.91735100000000003</v>
      </c>
    </row>
    <row r="27" spans="1:16" x14ac:dyDescent="0.25">
      <c r="A27" t="s">
        <v>24</v>
      </c>
      <c r="B27" s="22">
        <v>497447853</v>
      </c>
      <c r="C27">
        <v>1993</v>
      </c>
      <c r="D27">
        <v>507</v>
      </c>
      <c r="E27" s="23">
        <v>0.79720000000000002</v>
      </c>
      <c r="F27" s="23">
        <v>0.20280000000000001</v>
      </c>
      <c r="G27">
        <v>51</v>
      </c>
      <c r="H27">
        <v>2</v>
      </c>
      <c r="I27">
        <v>1992</v>
      </c>
      <c r="J27" s="27">
        <v>0.999498</v>
      </c>
      <c r="K27">
        <v>1</v>
      </c>
      <c r="L27">
        <v>1794</v>
      </c>
      <c r="M27">
        <v>1794</v>
      </c>
      <c r="N27">
        <v>1794</v>
      </c>
      <c r="O27">
        <v>1794</v>
      </c>
      <c r="P27" s="23">
        <v>0.90015100000000003</v>
      </c>
    </row>
    <row r="28" spans="1:16" x14ac:dyDescent="0.25">
      <c r="A28" t="s">
        <v>24</v>
      </c>
      <c r="B28" s="22">
        <v>502036823</v>
      </c>
      <c r="C28">
        <v>1981</v>
      </c>
      <c r="D28">
        <v>519</v>
      </c>
      <c r="E28" s="23">
        <v>0.79239999999999999</v>
      </c>
      <c r="F28" s="23">
        <v>0.20760000000000001</v>
      </c>
      <c r="G28">
        <v>50</v>
      </c>
      <c r="H28">
        <v>1</v>
      </c>
      <c r="I28">
        <v>1981</v>
      </c>
      <c r="J28" s="27">
        <v>1</v>
      </c>
      <c r="K28">
        <v>2</v>
      </c>
      <c r="L28">
        <v>882</v>
      </c>
      <c r="M28">
        <v>1759</v>
      </c>
      <c r="N28">
        <v>5</v>
      </c>
      <c r="O28">
        <v>1764</v>
      </c>
      <c r="P28" s="23">
        <v>0.890459</v>
      </c>
    </row>
    <row r="29" spans="1:16" x14ac:dyDescent="0.25">
      <c r="A29" t="s">
        <v>24</v>
      </c>
      <c r="B29" s="22">
        <v>735277209</v>
      </c>
      <c r="C29">
        <v>1984</v>
      </c>
      <c r="D29">
        <v>516</v>
      </c>
      <c r="E29" s="23">
        <v>0.79359999999999997</v>
      </c>
      <c r="F29" s="23">
        <v>0.2064</v>
      </c>
      <c r="G29">
        <v>50</v>
      </c>
      <c r="H29">
        <v>1</v>
      </c>
      <c r="I29">
        <v>1984</v>
      </c>
      <c r="J29" s="27">
        <v>1</v>
      </c>
      <c r="K29">
        <v>2</v>
      </c>
      <c r="L29">
        <v>885.5</v>
      </c>
      <c r="M29">
        <v>1767</v>
      </c>
      <c r="N29">
        <v>4</v>
      </c>
      <c r="O29">
        <v>1771</v>
      </c>
      <c r="P29" s="23">
        <v>0.89264100000000002</v>
      </c>
    </row>
    <row r="30" spans="1:16" x14ac:dyDescent="0.25">
      <c r="A30" t="s">
        <v>24</v>
      </c>
      <c r="B30" s="22">
        <v>776872206</v>
      </c>
      <c r="C30">
        <v>1984</v>
      </c>
      <c r="D30">
        <v>516</v>
      </c>
      <c r="E30" s="23">
        <v>0.79359999999999997</v>
      </c>
      <c r="F30" s="23">
        <v>0.2064</v>
      </c>
      <c r="G30">
        <v>52</v>
      </c>
      <c r="H30">
        <v>1</v>
      </c>
      <c r="I30">
        <v>1984</v>
      </c>
      <c r="J30" s="27">
        <v>1</v>
      </c>
      <c r="K30">
        <v>1</v>
      </c>
      <c r="L30">
        <v>1763</v>
      </c>
      <c r="M30">
        <v>1763</v>
      </c>
      <c r="N30">
        <v>1763</v>
      </c>
      <c r="O30">
        <v>1763</v>
      </c>
      <c r="P30" s="23">
        <v>0.88860899999999998</v>
      </c>
    </row>
    <row r="31" spans="1:16" x14ac:dyDescent="0.25">
      <c r="A31" t="s">
        <v>24</v>
      </c>
      <c r="B31" s="22">
        <v>1575542708</v>
      </c>
      <c r="C31">
        <v>1975</v>
      </c>
      <c r="D31">
        <v>525</v>
      </c>
      <c r="E31" s="23">
        <v>0.79</v>
      </c>
      <c r="F31" s="23">
        <v>0.21</v>
      </c>
      <c r="G31">
        <v>52</v>
      </c>
      <c r="H31">
        <v>1</v>
      </c>
      <c r="I31">
        <v>1975</v>
      </c>
      <c r="J31" s="27">
        <v>1</v>
      </c>
      <c r="K31">
        <v>2</v>
      </c>
      <c r="L31">
        <v>873.5</v>
      </c>
      <c r="M31">
        <v>1745</v>
      </c>
      <c r="N31">
        <v>2</v>
      </c>
      <c r="O31">
        <v>1747</v>
      </c>
      <c r="P31" s="23">
        <v>0.88455700000000004</v>
      </c>
    </row>
    <row r="32" spans="1:16" x14ac:dyDescent="0.25">
      <c r="A32" t="s">
        <v>24</v>
      </c>
      <c r="B32" s="22">
        <v>2005647313</v>
      </c>
      <c r="C32">
        <v>2066</v>
      </c>
      <c r="D32">
        <v>434</v>
      </c>
      <c r="E32" s="23">
        <v>0.82640000000000002</v>
      </c>
      <c r="F32" s="23">
        <v>0.1736</v>
      </c>
      <c r="G32">
        <v>52</v>
      </c>
      <c r="H32">
        <v>1</v>
      </c>
      <c r="I32">
        <v>2066</v>
      </c>
      <c r="J32" s="27">
        <v>1</v>
      </c>
      <c r="K32">
        <v>1</v>
      </c>
      <c r="L32">
        <v>1890</v>
      </c>
      <c r="M32">
        <v>1890</v>
      </c>
      <c r="N32">
        <v>1890</v>
      </c>
      <c r="O32">
        <v>1890</v>
      </c>
      <c r="P32" s="23">
        <v>0.91481100000000004</v>
      </c>
    </row>
    <row r="33" spans="1:16" x14ac:dyDescent="0.25">
      <c r="A33" t="s">
        <v>24</v>
      </c>
      <c r="B33" s="22">
        <v>1327201034</v>
      </c>
      <c r="C33">
        <v>1977</v>
      </c>
      <c r="D33">
        <v>523</v>
      </c>
      <c r="E33" s="23">
        <v>0.79079999999999995</v>
      </c>
      <c r="F33" s="23">
        <v>0.2092</v>
      </c>
      <c r="G33">
        <v>51</v>
      </c>
      <c r="H33">
        <v>1</v>
      </c>
      <c r="I33">
        <v>1977</v>
      </c>
      <c r="J33" s="27">
        <v>1</v>
      </c>
      <c r="K33">
        <v>2</v>
      </c>
      <c r="L33">
        <v>886</v>
      </c>
      <c r="M33">
        <v>1764</v>
      </c>
      <c r="N33">
        <v>8</v>
      </c>
      <c r="O33">
        <v>1772</v>
      </c>
      <c r="P33" s="23">
        <v>0.89630799999999999</v>
      </c>
    </row>
    <row r="34" spans="1:16" x14ac:dyDescent="0.25">
      <c r="A34" t="s">
        <v>24</v>
      </c>
      <c r="B34" s="22">
        <v>1991183320</v>
      </c>
      <c r="C34">
        <v>2006</v>
      </c>
      <c r="D34">
        <v>494</v>
      </c>
      <c r="E34" s="23">
        <v>0.8024</v>
      </c>
      <c r="F34" s="23">
        <v>0.1976</v>
      </c>
      <c r="G34">
        <v>51</v>
      </c>
      <c r="H34">
        <v>1</v>
      </c>
      <c r="I34">
        <v>2006</v>
      </c>
      <c r="J34" s="27">
        <v>1</v>
      </c>
      <c r="K34">
        <v>2</v>
      </c>
      <c r="L34">
        <v>897.5</v>
      </c>
      <c r="M34">
        <v>1794</v>
      </c>
      <c r="N34">
        <v>1</v>
      </c>
      <c r="O34">
        <v>1795</v>
      </c>
      <c r="P34" s="23">
        <v>0.89481599999999994</v>
      </c>
    </row>
    <row r="35" spans="1:16" x14ac:dyDescent="0.25">
      <c r="A35" t="s">
        <v>24</v>
      </c>
      <c r="B35" s="22">
        <v>138092108</v>
      </c>
      <c r="C35">
        <v>2035</v>
      </c>
      <c r="D35">
        <v>465</v>
      </c>
      <c r="E35" s="23">
        <v>0.81399999999999995</v>
      </c>
      <c r="F35" s="23">
        <v>0.186</v>
      </c>
      <c r="G35">
        <v>52</v>
      </c>
      <c r="H35">
        <v>1</v>
      </c>
      <c r="I35">
        <v>2035</v>
      </c>
      <c r="J35" s="27">
        <v>1</v>
      </c>
      <c r="K35">
        <v>1</v>
      </c>
      <c r="L35">
        <v>1854</v>
      </c>
      <c r="M35">
        <v>1854</v>
      </c>
      <c r="N35">
        <v>1854</v>
      </c>
      <c r="O35">
        <v>1854</v>
      </c>
      <c r="P35" s="23">
        <v>0.91105700000000001</v>
      </c>
    </row>
    <row r="36" spans="1:16" x14ac:dyDescent="0.25">
      <c r="A36" t="s">
        <v>24</v>
      </c>
      <c r="B36" s="22">
        <v>985334102</v>
      </c>
      <c r="C36">
        <v>2014</v>
      </c>
      <c r="D36">
        <v>486</v>
      </c>
      <c r="E36" s="23">
        <v>0.80559999999999998</v>
      </c>
      <c r="F36" s="23">
        <v>0.19439999999999999</v>
      </c>
      <c r="G36">
        <v>51</v>
      </c>
      <c r="H36">
        <v>1</v>
      </c>
      <c r="I36">
        <v>2014</v>
      </c>
      <c r="J36" s="27">
        <v>1</v>
      </c>
      <c r="K36">
        <v>1</v>
      </c>
      <c r="L36">
        <v>1799</v>
      </c>
      <c r="M36">
        <v>1799</v>
      </c>
      <c r="N36">
        <v>1799</v>
      </c>
      <c r="O36">
        <v>1799</v>
      </c>
      <c r="P36" s="23">
        <v>0.89324700000000001</v>
      </c>
    </row>
    <row r="37" spans="1:16" x14ac:dyDescent="0.25">
      <c r="A37" t="s">
        <v>24</v>
      </c>
      <c r="B37" s="22">
        <v>1945427456</v>
      </c>
      <c r="C37">
        <v>2075</v>
      </c>
      <c r="D37">
        <v>425</v>
      </c>
      <c r="E37" s="23">
        <v>0.83</v>
      </c>
      <c r="F37" s="23">
        <v>0.17</v>
      </c>
      <c r="G37">
        <v>52</v>
      </c>
      <c r="H37">
        <v>1</v>
      </c>
      <c r="I37">
        <v>2075</v>
      </c>
      <c r="J37" s="27">
        <v>1</v>
      </c>
      <c r="K37">
        <v>2</v>
      </c>
      <c r="L37">
        <v>951</v>
      </c>
      <c r="M37">
        <v>1899</v>
      </c>
      <c r="N37">
        <v>3</v>
      </c>
      <c r="O37">
        <v>1902</v>
      </c>
      <c r="P37" s="23">
        <v>0.91662699999999997</v>
      </c>
    </row>
    <row r="38" spans="1:16" x14ac:dyDescent="0.25">
      <c r="A38" t="s">
        <v>24</v>
      </c>
      <c r="B38" s="22">
        <v>1394690482</v>
      </c>
      <c r="C38">
        <v>2000</v>
      </c>
      <c r="D38">
        <v>500</v>
      </c>
      <c r="E38" s="23">
        <v>0.8</v>
      </c>
      <c r="F38" s="23">
        <v>0.2</v>
      </c>
      <c r="G38">
        <v>51</v>
      </c>
      <c r="H38">
        <v>2</v>
      </c>
      <c r="I38">
        <v>1990</v>
      </c>
      <c r="J38" s="27">
        <v>0.995</v>
      </c>
      <c r="K38">
        <v>3</v>
      </c>
      <c r="L38">
        <v>601</v>
      </c>
      <c r="M38">
        <v>1801</v>
      </c>
      <c r="N38">
        <v>1</v>
      </c>
      <c r="O38">
        <v>1803</v>
      </c>
      <c r="P38" s="23">
        <v>0.90149999999999997</v>
      </c>
    </row>
    <row r="39" spans="1:16" x14ac:dyDescent="0.25">
      <c r="A39" t="s">
        <v>24</v>
      </c>
      <c r="B39" s="22">
        <v>109970008</v>
      </c>
      <c r="C39">
        <v>2008</v>
      </c>
      <c r="D39">
        <v>492</v>
      </c>
      <c r="E39" s="23">
        <v>0.80320000000000003</v>
      </c>
      <c r="F39" s="23">
        <v>0.1968</v>
      </c>
      <c r="G39">
        <v>52</v>
      </c>
      <c r="H39">
        <v>1</v>
      </c>
      <c r="I39">
        <v>2008</v>
      </c>
      <c r="J39" s="27">
        <v>1</v>
      </c>
      <c r="K39">
        <v>2</v>
      </c>
      <c r="L39">
        <v>900.5</v>
      </c>
      <c r="M39">
        <v>1800</v>
      </c>
      <c r="N39">
        <v>1</v>
      </c>
      <c r="O39">
        <v>1801</v>
      </c>
      <c r="P39" s="23">
        <v>0.89691200000000004</v>
      </c>
    </row>
    <row r="40" spans="1:16" x14ac:dyDescent="0.25">
      <c r="A40" t="s">
        <v>24</v>
      </c>
      <c r="B40" s="22">
        <v>242341447</v>
      </c>
      <c r="C40">
        <v>2007</v>
      </c>
      <c r="D40">
        <v>493</v>
      </c>
      <c r="E40" s="23">
        <v>0.80279999999999996</v>
      </c>
      <c r="F40" s="23">
        <v>0.19719999999999999</v>
      </c>
      <c r="G40">
        <v>53</v>
      </c>
      <c r="H40">
        <v>1</v>
      </c>
      <c r="I40">
        <v>2007</v>
      </c>
      <c r="J40" s="27">
        <v>1</v>
      </c>
      <c r="K40">
        <v>1</v>
      </c>
      <c r="L40">
        <v>1805</v>
      </c>
      <c r="M40">
        <v>1805</v>
      </c>
      <c r="N40">
        <v>1805</v>
      </c>
      <c r="O40">
        <v>1805</v>
      </c>
      <c r="P40" s="23">
        <v>0.89935200000000004</v>
      </c>
    </row>
    <row r="41" spans="1:16" x14ac:dyDescent="0.25">
      <c r="A41" t="s">
        <v>24</v>
      </c>
      <c r="B41" s="22">
        <v>1251110020</v>
      </c>
      <c r="C41">
        <v>1984</v>
      </c>
      <c r="D41">
        <v>516</v>
      </c>
      <c r="E41" s="23">
        <v>0.79359999999999997</v>
      </c>
      <c r="F41" s="23">
        <v>0.2064</v>
      </c>
      <c r="G41">
        <v>50</v>
      </c>
      <c r="H41">
        <v>1</v>
      </c>
      <c r="I41">
        <v>1984</v>
      </c>
      <c r="J41" s="27">
        <v>1</v>
      </c>
      <c r="K41">
        <v>2</v>
      </c>
      <c r="L41">
        <v>877</v>
      </c>
      <c r="M41">
        <v>1753</v>
      </c>
      <c r="N41">
        <v>1</v>
      </c>
      <c r="O41">
        <v>1754</v>
      </c>
      <c r="P41" s="23">
        <v>0.884073</v>
      </c>
    </row>
    <row r="42" spans="1:16" x14ac:dyDescent="0.25">
      <c r="A42" t="s">
        <v>24</v>
      </c>
      <c r="B42" s="22">
        <v>1799465572</v>
      </c>
      <c r="C42">
        <v>1995</v>
      </c>
      <c r="D42">
        <v>505</v>
      </c>
      <c r="E42" s="23">
        <v>0.79800000000000004</v>
      </c>
      <c r="F42" s="23">
        <v>0.20200000000000001</v>
      </c>
      <c r="G42">
        <v>52</v>
      </c>
      <c r="H42">
        <v>1</v>
      </c>
      <c r="I42">
        <v>1995</v>
      </c>
      <c r="J42" s="27">
        <v>1</v>
      </c>
      <c r="K42">
        <v>2</v>
      </c>
      <c r="L42">
        <v>884</v>
      </c>
      <c r="M42">
        <v>1767</v>
      </c>
      <c r="N42">
        <v>1</v>
      </c>
      <c r="O42">
        <v>1768</v>
      </c>
      <c r="P42" s="23">
        <v>0.886216</v>
      </c>
    </row>
    <row r="43" spans="1:16" x14ac:dyDescent="0.25">
      <c r="A43" t="s">
        <v>24</v>
      </c>
      <c r="B43" s="22">
        <v>1231090975</v>
      </c>
      <c r="C43">
        <v>2073</v>
      </c>
      <c r="D43">
        <v>427</v>
      </c>
      <c r="E43" s="23">
        <v>0.82920000000000005</v>
      </c>
      <c r="F43" s="23">
        <v>0.17080000000000001</v>
      </c>
      <c r="G43">
        <v>50</v>
      </c>
      <c r="H43">
        <v>1</v>
      </c>
      <c r="I43">
        <v>2073</v>
      </c>
      <c r="J43" s="27">
        <v>1</v>
      </c>
      <c r="K43">
        <v>1</v>
      </c>
      <c r="L43">
        <v>1910</v>
      </c>
      <c r="M43">
        <v>1910</v>
      </c>
      <c r="N43">
        <v>1910</v>
      </c>
      <c r="O43">
        <v>1910</v>
      </c>
      <c r="P43" s="23">
        <v>0.92137000000000002</v>
      </c>
    </row>
    <row r="44" spans="1:16" x14ac:dyDescent="0.25">
      <c r="A44" t="s">
        <v>24</v>
      </c>
      <c r="B44" s="22">
        <v>477270070</v>
      </c>
      <c r="C44">
        <v>2000</v>
      </c>
      <c r="D44">
        <v>500</v>
      </c>
      <c r="E44" s="23">
        <v>0.8</v>
      </c>
      <c r="F44" s="23">
        <v>0.2</v>
      </c>
      <c r="G44">
        <v>50</v>
      </c>
      <c r="H44">
        <v>1</v>
      </c>
      <c r="I44">
        <v>2000</v>
      </c>
      <c r="J44" s="27">
        <v>1</v>
      </c>
      <c r="K44">
        <v>1</v>
      </c>
      <c r="L44">
        <v>1814</v>
      </c>
      <c r="M44">
        <v>1814</v>
      </c>
      <c r="N44">
        <v>1814</v>
      </c>
      <c r="O44">
        <v>1814</v>
      </c>
      <c r="P44" s="23">
        <v>0.90700000000000003</v>
      </c>
    </row>
    <row r="45" spans="1:16" x14ac:dyDescent="0.25">
      <c r="A45" t="s">
        <v>24</v>
      </c>
      <c r="B45" s="22">
        <v>1108339086</v>
      </c>
      <c r="C45">
        <v>1942</v>
      </c>
      <c r="D45">
        <v>558</v>
      </c>
      <c r="E45" s="23">
        <v>0.77680000000000005</v>
      </c>
      <c r="F45" s="23">
        <v>0.22320000000000001</v>
      </c>
      <c r="G45">
        <v>53</v>
      </c>
      <c r="H45">
        <v>1</v>
      </c>
      <c r="I45">
        <v>1942</v>
      </c>
      <c r="J45" s="27">
        <v>1</v>
      </c>
      <c r="K45">
        <v>3</v>
      </c>
      <c r="L45">
        <v>566.33333300000004</v>
      </c>
      <c r="M45">
        <v>1666</v>
      </c>
      <c r="N45">
        <v>2</v>
      </c>
      <c r="O45">
        <v>1699</v>
      </c>
      <c r="P45" s="23">
        <v>0.87487099999999995</v>
      </c>
    </row>
    <row r="46" spans="1:16" x14ac:dyDescent="0.25">
      <c r="A46" t="s">
        <v>24</v>
      </c>
      <c r="B46" s="22">
        <v>402240041</v>
      </c>
      <c r="C46">
        <v>1969</v>
      </c>
      <c r="D46">
        <v>531</v>
      </c>
      <c r="E46" s="23">
        <v>0.78759999999999997</v>
      </c>
      <c r="F46" s="23">
        <v>0.21240000000000001</v>
      </c>
      <c r="G46">
        <v>54</v>
      </c>
      <c r="H46">
        <v>1</v>
      </c>
      <c r="I46">
        <v>1969</v>
      </c>
      <c r="J46" s="27">
        <v>1</v>
      </c>
      <c r="K46">
        <v>3</v>
      </c>
      <c r="L46">
        <v>574.33333300000004</v>
      </c>
      <c r="M46">
        <v>1703</v>
      </c>
      <c r="N46">
        <v>5</v>
      </c>
      <c r="O46">
        <v>1723</v>
      </c>
      <c r="P46" s="23">
        <v>0.87506300000000004</v>
      </c>
    </row>
    <row r="47" spans="1:16" x14ac:dyDescent="0.25">
      <c r="A47" t="s">
        <v>24</v>
      </c>
      <c r="B47" s="22">
        <v>816346812</v>
      </c>
      <c r="C47">
        <v>2096</v>
      </c>
      <c r="D47">
        <v>404</v>
      </c>
      <c r="E47" s="23">
        <v>0.83840000000000003</v>
      </c>
      <c r="F47" s="23">
        <v>0.16159999999999999</v>
      </c>
      <c r="G47">
        <v>50</v>
      </c>
      <c r="H47">
        <v>1</v>
      </c>
      <c r="I47">
        <v>2096</v>
      </c>
      <c r="J47" s="27">
        <v>1</v>
      </c>
      <c r="K47">
        <v>2</v>
      </c>
      <c r="L47">
        <v>970</v>
      </c>
      <c r="M47">
        <v>1939</v>
      </c>
      <c r="N47">
        <v>1</v>
      </c>
      <c r="O47">
        <v>1940</v>
      </c>
      <c r="P47" s="23">
        <v>0.92557299999999998</v>
      </c>
    </row>
    <row r="48" spans="1:16" x14ac:dyDescent="0.25">
      <c r="A48" t="s">
        <v>24</v>
      </c>
      <c r="B48" s="22">
        <v>667134962</v>
      </c>
      <c r="C48">
        <v>2002</v>
      </c>
      <c r="D48">
        <v>498</v>
      </c>
      <c r="E48" s="23">
        <v>0.80079999999999996</v>
      </c>
      <c r="F48" s="23">
        <v>0.19919999999999999</v>
      </c>
      <c r="G48">
        <v>52</v>
      </c>
      <c r="H48">
        <v>1</v>
      </c>
      <c r="I48">
        <v>2002</v>
      </c>
      <c r="J48" s="27">
        <v>1</v>
      </c>
      <c r="K48">
        <v>1</v>
      </c>
      <c r="L48">
        <v>1772</v>
      </c>
      <c r="M48">
        <v>1772</v>
      </c>
      <c r="N48">
        <v>1772</v>
      </c>
      <c r="O48">
        <v>1772</v>
      </c>
      <c r="P48" s="23">
        <v>0.88511499999999999</v>
      </c>
    </row>
    <row r="49" spans="1:16" x14ac:dyDescent="0.25">
      <c r="A49" t="s">
        <v>24</v>
      </c>
      <c r="B49" s="22">
        <v>2115712870</v>
      </c>
      <c r="C49">
        <v>2006</v>
      </c>
      <c r="D49">
        <v>494</v>
      </c>
      <c r="E49" s="23">
        <v>0.8024</v>
      </c>
      <c r="F49" s="23">
        <v>0.1976</v>
      </c>
      <c r="G49">
        <v>50</v>
      </c>
      <c r="H49">
        <v>1</v>
      </c>
      <c r="I49">
        <v>2006</v>
      </c>
      <c r="J49" s="27">
        <v>1</v>
      </c>
      <c r="K49">
        <v>1</v>
      </c>
      <c r="L49">
        <v>1802</v>
      </c>
      <c r="M49">
        <v>1802</v>
      </c>
      <c r="N49">
        <v>1802</v>
      </c>
      <c r="O49">
        <v>1802</v>
      </c>
      <c r="P49" s="23">
        <v>0.89830500000000002</v>
      </c>
    </row>
    <row r="50" spans="1:16" x14ac:dyDescent="0.25">
      <c r="A50" t="s">
        <v>24</v>
      </c>
      <c r="B50" s="22">
        <v>1873062482</v>
      </c>
      <c r="C50">
        <v>2029</v>
      </c>
      <c r="D50">
        <v>471</v>
      </c>
      <c r="E50" s="23">
        <v>0.81159999999999999</v>
      </c>
      <c r="F50" s="23">
        <v>0.18840000000000001</v>
      </c>
      <c r="G50">
        <v>50</v>
      </c>
      <c r="H50">
        <v>1</v>
      </c>
      <c r="I50">
        <v>2029</v>
      </c>
      <c r="J50" s="27">
        <v>1</v>
      </c>
      <c r="K50">
        <v>1</v>
      </c>
      <c r="L50">
        <v>1826</v>
      </c>
      <c r="M50">
        <v>1826</v>
      </c>
      <c r="N50">
        <v>1826</v>
      </c>
      <c r="O50">
        <v>1826</v>
      </c>
      <c r="P50" s="23">
        <v>0.89995099999999995</v>
      </c>
    </row>
    <row r="51" spans="1:16" x14ac:dyDescent="0.25">
      <c r="A51" t="s">
        <v>24</v>
      </c>
      <c r="B51" s="22">
        <v>2137252265</v>
      </c>
      <c r="C51">
        <v>1933</v>
      </c>
      <c r="D51">
        <v>567</v>
      </c>
      <c r="E51" s="23">
        <v>0.7732</v>
      </c>
      <c r="F51" s="23">
        <v>0.2268</v>
      </c>
      <c r="G51">
        <v>51</v>
      </c>
      <c r="H51">
        <v>1</v>
      </c>
      <c r="I51">
        <v>1933</v>
      </c>
      <c r="J51" s="27">
        <v>1</v>
      </c>
      <c r="K51">
        <v>2</v>
      </c>
      <c r="L51">
        <v>842</v>
      </c>
      <c r="M51">
        <v>1664</v>
      </c>
      <c r="N51">
        <v>20</v>
      </c>
      <c r="O51">
        <v>1684</v>
      </c>
      <c r="P51" s="23">
        <v>0.87118499999999999</v>
      </c>
    </row>
    <row r="52" spans="1:16" x14ac:dyDescent="0.25">
      <c r="A52" t="s">
        <v>26</v>
      </c>
      <c r="B52"/>
      <c r="C52">
        <f>SUBTOTAL(101,CA4_wall50_it2_neigh3[floors])</f>
        <v>1998.42</v>
      </c>
      <c r="D52">
        <f>SUBTOTAL(101,CA4_wall50_it2_neigh3[walls])</f>
        <v>501.58</v>
      </c>
      <c r="E52" s="24">
        <f>SUBTOTAL(101,CA4_wall50_it2_neigh3[floor_percent])</f>
        <v>0.79936800000000008</v>
      </c>
      <c r="F52" s="24">
        <f>SUBTOTAL(101,CA4_wall50_it2_neigh3[wall_percent])</f>
        <v>0.20063200000000003</v>
      </c>
      <c r="G52">
        <f>SUBTOTAL(101,CA4_wall50_it2_neigh3[longest_shortest_path])</f>
        <v>51.46</v>
      </c>
      <c r="H52">
        <f>SUBTOTAL(101,CA4_wall50_it2_neigh3[component_count])</f>
        <v>1.04</v>
      </c>
      <c r="I52">
        <f>SUBTOTAL(101,CA4_wall50_it2_neigh3[max_component_size])</f>
        <v>1998.2</v>
      </c>
      <c r="J52" s="25">
        <f>SUBTOTAL(101,CA4_wall50_it2_neigh3[connectivity_ratio])</f>
        <v>0.99988995999999997</v>
      </c>
      <c r="K52">
        <f>SUBTOTAL(101,CA4_wall50_it2_neigh3[room_count])</f>
        <v>1.6</v>
      </c>
      <c r="L52">
        <f>SUBTOTAL(101,CA4_wall50_it2_neigh3[avg_room_size])</f>
        <v>1314.77666666</v>
      </c>
      <c r="M52">
        <f>SUBTOTAL(101,CA4_wall50_it2_neigh3[max_room_size])</f>
        <v>1783.1</v>
      </c>
      <c r="N52">
        <f>SUBTOTAL(101,CA4_wall50_it2_neigh3[min_room_size])</f>
        <v>903.82</v>
      </c>
      <c r="O52">
        <f>SUBTOTAL(101,CA4_wall50_it2_neigh3[room_tiles])</f>
        <v>1788.52</v>
      </c>
      <c r="P52" s="24">
        <f>SUBTOTAL(101,CA4_wall50_it2_neigh3[room_ratio])</f>
        <v>0.89474649999999978</v>
      </c>
    </row>
    <row r="53" spans="1:16" x14ac:dyDescent="0.25">
      <c r="A53" s="26" t="s">
        <v>38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2218-A4F1-4CF9-A352-392DA127CEAF}">
  <dimension ref="A1:P53"/>
  <sheetViews>
    <sheetView topLeftCell="A34" workbookViewId="0">
      <selection activeCell="J34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439546457</v>
      </c>
      <c r="C2">
        <v>413</v>
      </c>
      <c r="D2">
        <v>2087</v>
      </c>
      <c r="E2" s="23">
        <v>0.16520000000000001</v>
      </c>
      <c r="F2" s="23">
        <v>0.83479999999999999</v>
      </c>
      <c r="G2">
        <v>21</v>
      </c>
      <c r="H2">
        <v>41</v>
      </c>
      <c r="I2">
        <v>39</v>
      </c>
      <c r="J2" s="27">
        <v>9.4431000000000001E-2</v>
      </c>
      <c r="K2">
        <v>7</v>
      </c>
      <c r="L2">
        <v>5</v>
      </c>
      <c r="M2">
        <v>8</v>
      </c>
      <c r="N2">
        <v>1</v>
      </c>
      <c r="O2">
        <v>35</v>
      </c>
      <c r="P2" s="23">
        <v>8.4746000000000002E-2</v>
      </c>
    </row>
    <row r="3" spans="1:16" x14ac:dyDescent="0.25">
      <c r="A3" t="s">
        <v>24</v>
      </c>
      <c r="B3" s="22">
        <v>1437239514</v>
      </c>
      <c r="C3">
        <v>496</v>
      </c>
      <c r="D3">
        <v>2004</v>
      </c>
      <c r="E3" s="23">
        <v>0.19839999999999999</v>
      </c>
      <c r="F3" s="23">
        <v>0.80159999999999998</v>
      </c>
      <c r="G3">
        <v>40</v>
      </c>
      <c r="H3">
        <v>40</v>
      </c>
      <c r="I3">
        <v>123</v>
      </c>
      <c r="J3" s="27">
        <v>0.24798400000000001</v>
      </c>
      <c r="K3">
        <v>15</v>
      </c>
      <c r="L3">
        <v>6.0666669999999998</v>
      </c>
      <c r="M3">
        <v>13</v>
      </c>
      <c r="N3">
        <v>1</v>
      </c>
      <c r="O3">
        <v>91</v>
      </c>
      <c r="P3" s="23">
        <v>0.18346799999999999</v>
      </c>
    </row>
    <row r="4" spans="1:16" x14ac:dyDescent="0.25">
      <c r="A4" t="s">
        <v>24</v>
      </c>
      <c r="B4" s="22">
        <v>569929592</v>
      </c>
      <c r="C4">
        <v>451</v>
      </c>
      <c r="D4">
        <v>2049</v>
      </c>
      <c r="E4" s="23">
        <v>0.1804</v>
      </c>
      <c r="F4" s="23">
        <v>0.8196</v>
      </c>
      <c r="G4">
        <v>44</v>
      </c>
      <c r="H4">
        <v>38</v>
      </c>
      <c r="I4">
        <v>133</v>
      </c>
      <c r="J4" s="27">
        <v>0.2949</v>
      </c>
      <c r="K4">
        <v>17</v>
      </c>
      <c r="L4">
        <v>3.5882350000000001</v>
      </c>
      <c r="M4">
        <v>15</v>
      </c>
      <c r="N4">
        <v>1</v>
      </c>
      <c r="O4">
        <v>61</v>
      </c>
      <c r="P4" s="23">
        <v>0.13525499999999999</v>
      </c>
    </row>
    <row r="5" spans="1:16" x14ac:dyDescent="0.25">
      <c r="A5" t="s">
        <v>24</v>
      </c>
      <c r="B5" s="22">
        <v>457713542</v>
      </c>
      <c r="C5">
        <v>408</v>
      </c>
      <c r="D5">
        <v>2092</v>
      </c>
      <c r="E5" s="23">
        <v>0.16320000000000001</v>
      </c>
      <c r="F5" s="23">
        <v>0.83679999999999999</v>
      </c>
      <c r="G5">
        <v>29</v>
      </c>
      <c r="H5">
        <v>41</v>
      </c>
      <c r="I5">
        <v>79</v>
      </c>
      <c r="J5" s="27">
        <v>0.19362699999999999</v>
      </c>
      <c r="K5">
        <v>11</v>
      </c>
      <c r="L5">
        <v>4.2727269999999997</v>
      </c>
      <c r="M5">
        <v>19</v>
      </c>
      <c r="N5">
        <v>1</v>
      </c>
      <c r="O5">
        <v>47</v>
      </c>
      <c r="P5" s="23">
        <v>0.11519600000000001</v>
      </c>
    </row>
    <row r="6" spans="1:16" x14ac:dyDescent="0.25">
      <c r="A6" t="s">
        <v>24</v>
      </c>
      <c r="B6" s="22">
        <v>143727220</v>
      </c>
      <c r="C6">
        <v>400</v>
      </c>
      <c r="D6">
        <v>2100</v>
      </c>
      <c r="E6" s="23">
        <v>0.16</v>
      </c>
      <c r="F6" s="23">
        <v>0.84</v>
      </c>
      <c r="G6">
        <v>18</v>
      </c>
      <c r="H6">
        <v>52</v>
      </c>
      <c r="I6">
        <v>64</v>
      </c>
      <c r="J6" s="27">
        <v>0.16</v>
      </c>
      <c r="K6">
        <v>7</v>
      </c>
      <c r="L6">
        <v>4.4285709999999998</v>
      </c>
      <c r="M6">
        <v>15</v>
      </c>
      <c r="N6">
        <v>1</v>
      </c>
      <c r="O6">
        <v>31</v>
      </c>
      <c r="P6" s="23">
        <v>7.7499999999999999E-2</v>
      </c>
    </row>
    <row r="7" spans="1:16" x14ac:dyDescent="0.25">
      <c r="A7" t="s">
        <v>24</v>
      </c>
      <c r="B7" s="22">
        <v>1976032749</v>
      </c>
      <c r="C7">
        <v>466</v>
      </c>
      <c r="D7">
        <v>2034</v>
      </c>
      <c r="E7" s="23">
        <v>0.18640000000000001</v>
      </c>
      <c r="F7" s="23">
        <v>0.81359999999999999</v>
      </c>
      <c r="G7">
        <v>37</v>
      </c>
      <c r="H7">
        <v>46</v>
      </c>
      <c r="I7">
        <v>77</v>
      </c>
      <c r="J7" s="27">
        <v>0.16523599999999999</v>
      </c>
      <c r="K7">
        <v>9</v>
      </c>
      <c r="L7">
        <v>5.3333329999999997</v>
      </c>
      <c r="M7">
        <v>23</v>
      </c>
      <c r="N7">
        <v>1</v>
      </c>
      <c r="O7">
        <v>48</v>
      </c>
      <c r="P7" s="23">
        <v>0.103004</v>
      </c>
    </row>
    <row r="8" spans="1:16" x14ac:dyDescent="0.25">
      <c r="A8" t="s">
        <v>24</v>
      </c>
      <c r="B8" s="22">
        <v>1802769877</v>
      </c>
      <c r="C8">
        <v>392</v>
      </c>
      <c r="D8">
        <v>2108</v>
      </c>
      <c r="E8" s="23">
        <v>0.15679999999999999</v>
      </c>
      <c r="F8" s="23">
        <v>0.84319999999999995</v>
      </c>
      <c r="G8">
        <v>31</v>
      </c>
      <c r="H8">
        <v>39</v>
      </c>
      <c r="I8">
        <v>80</v>
      </c>
      <c r="J8" s="27">
        <v>0.20408200000000001</v>
      </c>
      <c r="K8">
        <v>11</v>
      </c>
      <c r="L8">
        <v>3.0909089999999999</v>
      </c>
      <c r="M8">
        <v>10</v>
      </c>
      <c r="N8">
        <v>1</v>
      </c>
      <c r="O8">
        <v>34</v>
      </c>
      <c r="P8" s="23">
        <v>8.6735000000000007E-2</v>
      </c>
    </row>
    <row r="9" spans="1:16" x14ac:dyDescent="0.25">
      <c r="A9" t="s">
        <v>24</v>
      </c>
      <c r="B9" s="22">
        <v>1053515793</v>
      </c>
      <c r="C9">
        <v>433</v>
      </c>
      <c r="D9">
        <v>2067</v>
      </c>
      <c r="E9" s="23">
        <v>0.17319999999999999</v>
      </c>
      <c r="F9" s="23">
        <v>0.82679999999999998</v>
      </c>
      <c r="G9">
        <v>25</v>
      </c>
      <c r="H9">
        <v>47</v>
      </c>
      <c r="I9">
        <v>80</v>
      </c>
      <c r="J9" s="27">
        <v>0.18475800000000001</v>
      </c>
      <c r="K9">
        <v>11</v>
      </c>
      <c r="L9">
        <v>3.7272729999999998</v>
      </c>
      <c r="M9">
        <v>7</v>
      </c>
      <c r="N9">
        <v>1</v>
      </c>
      <c r="O9">
        <v>41</v>
      </c>
      <c r="P9" s="23">
        <v>9.4687999999999994E-2</v>
      </c>
    </row>
    <row r="10" spans="1:16" x14ac:dyDescent="0.25">
      <c r="A10" t="s">
        <v>24</v>
      </c>
      <c r="B10" s="22">
        <v>698529913</v>
      </c>
      <c r="C10">
        <v>484</v>
      </c>
      <c r="D10">
        <v>2016</v>
      </c>
      <c r="E10" s="23">
        <v>0.19359999999999999</v>
      </c>
      <c r="F10" s="23">
        <v>0.80640000000000001</v>
      </c>
      <c r="G10">
        <v>34</v>
      </c>
      <c r="H10">
        <v>37</v>
      </c>
      <c r="I10">
        <v>114</v>
      </c>
      <c r="J10" s="27">
        <v>0.235537</v>
      </c>
      <c r="K10">
        <v>17</v>
      </c>
      <c r="L10">
        <v>5.0588240000000004</v>
      </c>
      <c r="M10">
        <v>14</v>
      </c>
      <c r="N10">
        <v>1</v>
      </c>
      <c r="O10">
        <v>86</v>
      </c>
      <c r="P10" s="23">
        <v>0.17768600000000001</v>
      </c>
    </row>
    <row r="11" spans="1:16" x14ac:dyDescent="0.25">
      <c r="A11" t="s">
        <v>24</v>
      </c>
      <c r="B11" s="22">
        <v>503139982</v>
      </c>
      <c r="C11">
        <v>414</v>
      </c>
      <c r="D11">
        <v>2086</v>
      </c>
      <c r="E11" s="23">
        <v>0.1656</v>
      </c>
      <c r="F11" s="23">
        <v>0.83440000000000003</v>
      </c>
      <c r="G11">
        <v>29</v>
      </c>
      <c r="H11">
        <v>51</v>
      </c>
      <c r="I11">
        <v>71</v>
      </c>
      <c r="J11" s="27">
        <v>0.17149800000000001</v>
      </c>
      <c r="K11">
        <v>11</v>
      </c>
      <c r="L11">
        <v>3.1818179999999998</v>
      </c>
      <c r="M11">
        <v>6</v>
      </c>
      <c r="N11">
        <v>1</v>
      </c>
      <c r="O11">
        <v>35</v>
      </c>
      <c r="P11" s="23">
        <v>8.4541000000000005E-2</v>
      </c>
    </row>
    <row r="12" spans="1:16" x14ac:dyDescent="0.25">
      <c r="A12" t="s">
        <v>24</v>
      </c>
      <c r="B12" s="22">
        <v>1239800480</v>
      </c>
      <c r="C12">
        <v>410</v>
      </c>
      <c r="D12">
        <v>2090</v>
      </c>
      <c r="E12" s="23">
        <v>0.16400000000000001</v>
      </c>
      <c r="F12" s="23">
        <v>0.83599999999999997</v>
      </c>
      <c r="G12">
        <v>18</v>
      </c>
      <c r="H12">
        <v>41</v>
      </c>
      <c r="I12">
        <v>49</v>
      </c>
      <c r="J12" s="27">
        <v>0.11951199999999999</v>
      </c>
      <c r="K12">
        <v>12</v>
      </c>
      <c r="L12">
        <v>5.8333329999999997</v>
      </c>
      <c r="M12">
        <v>15</v>
      </c>
      <c r="N12">
        <v>1</v>
      </c>
      <c r="O12">
        <v>70</v>
      </c>
      <c r="P12" s="23">
        <v>0.17073199999999999</v>
      </c>
    </row>
    <row r="13" spans="1:16" x14ac:dyDescent="0.25">
      <c r="A13" t="s">
        <v>24</v>
      </c>
      <c r="B13" s="22">
        <v>1297095261</v>
      </c>
      <c r="C13">
        <v>424</v>
      </c>
      <c r="D13">
        <v>2076</v>
      </c>
      <c r="E13" s="23">
        <v>0.1696</v>
      </c>
      <c r="F13" s="23">
        <v>0.83040000000000003</v>
      </c>
      <c r="G13">
        <v>21</v>
      </c>
      <c r="H13">
        <v>46</v>
      </c>
      <c r="I13">
        <v>58</v>
      </c>
      <c r="J13" s="27">
        <v>0.136792</v>
      </c>
      <c r="K13">
        <v>11</v>
      </c>
      <c r="L13">
        <v>6.4545450000000004</v>
      </c>
      <c r="M13">
        <v>19</v>
      </c>
      <c r="N13">
        <v>1</v>
      </c>
      <c r="O13">
        <v>71</v>
      </c>
      <c r="P13" s="23">
        <v>0.16745299999999999</v>
      </c>
    </row>
    <row r="14" spans="1:16" x14ac:dyDescent="0.25">
      <c r="A14" t="s">
        <v>24</v>
      </c>
      <c r="B14" s="22">
        <v>1137100682</v>
      </c>
      <c r="C14">
        <v>445</v>
      </c>
      <c r="D14">
        <v>2055</v>
      </c>
      <c r="E14" s="23">
        <v>0.17799999999999999</v>
      </c>
      <c r="F14" s="23">
        <v>0.82199999999999995</v>
      </c>
      <c r="G14">
        <v>28</v>
      </c>
      <c r="H14">
        <v>43</v>
      </c>
      <c r="I14">
        <v>63</v>
      </c>
      <c r="J14" s="27">
        <v>0.141573</v>
      </c>
      <c r="K14">
        <v>10</v>
      </c>
      <c r="L14">
        <v>5.6</v>
      </c>
      <c r="M14">
        <v>16</v>
      </c>
      <c r="N14">
        <v>1</v>
      </c>
      <c r="O14">
        <v>56</v>
      </c>
      <c r="P14" s="23">
        <v>0.12584300000000001</v>
      </c>
    </row>
    <row r="15" spans="1:16" x14ac:dyDescent="0.25">
      <c r="A15" t="s">
        <v>24</v>
      </c>
      <c r="B15" s="22">
        <v>1700177328</v>
      </c>
      <c r="C15">
        <v>408</v>
      </c>
      <c r="D15">
        <v>2092</v>
      </c>
      <c r="E15" s="23">
        <v>0.16320000000000001</v>
      </c>
      <c r="F15" s="23">
        <v>0.83679999999999999</v>
      </c>
      <c r="G15">
        <v>32</v>
      </c>
      <c r="H15">
        <v>42</v>
      </c>
      <c r="I15">
        <v>64</v>
      </c>
      <c r="J15" s="27">
        <v>0.156863</v>
      </c>
      <c r="K15">
        <v>12</v>
      </c>
      <c r="L15">
        <v>3.5</v>
      </c>
      <c r="M15">
        <v>9</v>
      </c>
      <c r="N15">
        <v>1</v>
      </c>
      <c r="O15">
        <v>42</v>
      </c>
      <c r="P15" s="23">
        <v>0.102941</v>
      </c>
    </row>
    <row r="16" spans="1:16" x14ac:dyDescent="0.25">
      <c r="A16" t="s">
        <v>24</v>
      </c>
      <c r="B16" s="22">
        <v>39685842</v>
      </c>
      <c r="C16">
        <v>418</v>
      </c>
      <c r="D16">
        <v>2082</v>
      </c>
      <c r="E16" s="23">
        <v>0.16719999999999999</v>
      </c>
      <c r="F16" s="23">
        <v>0.83279999999999998</v>
      </c>
      <c r="G16">
        <v>28</v>
      </c>
      <c r="H16">
        <v>53</v>
      </c>
      <c r="I16">
        <v>100</v>
      </c>
      <c r="J16" s="27">
        <v>0.239234</v>
      </c>
      <c r="K16">
        <v>12</v>
      </c>
      <c r="L16">
        <v>4.8333329999999997</v>
      </c>
      <c r="M16">
        <v>9</v>
      </c>
      <c r="N16">
        <v>1</v>
      </c>
      <c r="O16">
        <v>58</v>
      </c>
      <c r="P16" s="23">
        <v>0.13875599999999999</v>
      </c>
    </row>
    <row r="17" spans="1:16" x14ac:dyDescent="0.25">
      <c r="A17" t="s">
        <v>24</v>
      </c>
      <c r="B17" s="22">
        <v>1585779754</v>
      </c>
      <c r="C17">
        <v>393</v>
      </c>
      <c r="D17">
        <v>2107</v>
      </c>
      <c r="E17" s="23">
        <v>0.15720000000000001</v>
      </c>
      <c r="F17" s="23">
        <v>0.84279999999999999</v>
      </c>
      <c r="G17">
        <v>20</v>
      </c>
      <c r="H17">
        <v>49</v>
      </c>
      <c r="I17">
        <v>53</v>
      </c>
      <c r="J17" s="27">
        <v>0.13486000000000001</v>
      </c>
      <c r="K17">
        <v>6</v>
      </c>
      <c r="L17">
        <v>3.8333330000000001</v>
      </c>
      <c r="M17">
        <v>8</v>
      </c>
      <c r="N17">
        <v>1</v>
      </c>
      <c r="O17">
        <v>23</v>
      </c>
      <c r="P17" s="23">
        <v>5.8524E-2</v>
      </c>
    </row>
    <row r="18" spans="1:16" x14ac:dyDescent="0.25">
      <c r="A18" t="s">
        <v>24</v>
      </c>
      <c r="B18" s="22">
        <v>1994858236</v>
      </c>
      <c r="C18">
        <v>414</v>
      </c>
      <c r="D18">
        <v>2086</v>
      </c>
      <c r="E18" s="23">
        <v>0.1656</v>
      </c>
      <c r="F18" s="23">
        <v>0.83440000000000003</v>
      </c>
      <c r="G18">
        <v>25</v>
      </c>
      <c r="H18">
        <v>46</v>
      </c>
      <c r="I18">
        <v>52</v>
      </c>
      <c r="J18" s="27">
        <v>0.12560399999999999</v>
      </c>
      <c r="K18">
        <v>11</v>
      </c>
      <c r="L18">
        <v>2.6363639999999999</v>
      </c>
      <c r="M18">
        <v>6</v>
      </c>
      <c r="N18">
        <v>1</v>
      </c>
      <c r="O18">
        <v>29</v>
      </c>
      <c r="P18" s="23">
        <v>7.0047999999999999E-2</v>
      </c>
    </row>
    <row r="19" spans="1:16" x14ac:dyDescent="0.25">
      <c r="A19" t="s">
        <v>24</v>
      </c>
      <c r="B19" s="22">
        <v>200726224</v>
      </c>
      <c r="C19">
        <v>525</v>
      </c>
      <c r="D19">
        <v>1975</v>
      </c>
      <c r="E19" s="23">
        <v>0.21</v>
      </c>
      <c r="F19" s="23">
        <v>0.79</v>
      </c>
      <c r="G19">
        <v>44</v>
      </c>
      <c r="H19">
        <v>31</v>
      </c>
      <c r="I19">
        <v>149</v>
      </c>
      <c r="J19" s="27">
        <v>0.28381000000000001</v>
      </c>
      <c r="K19">
        <v>15</v>
      </c>
      <c r="L19">
        <v>7</v>
      </c>
      <c r="M19">
        <v>16</v>
      </c>
      <c r="N19">
        <v>1</v>
      </c>
      <c r="O19">
        <v>105</v>
      </c>
      <c r="P19" s="23">
        <v>0.2</v>
      </c>
    </row>
    <row r="20" spans="1:16" x14ac:dyDescent="0.25">
      <c r="A20" t="s">
        <v>24</v>
      </c>
      <c r="B20" s="22">
        <v>1957960592</v>
      </c>
      <c r="C20">
        <v>375</v>
      </c>
      <c r="D20">
        <v>2125</v>
      </c>
      <c r="E20" s="23">
        <v>0.15</v>
      </c>
      <c r="F20" s="23">
        <v>0.85</v>
      </c>
      <c r="G20">
        <v>22</v>
      </c>
      <c r="H20">
        <v>45</v>
      </c>
      <c r="I20">
        <v>74</v>
      </c>
      <c r="J20" s="27">
        <v>0.19733300000000001</v>
      </c>
      <c r="K20">
        <v>8</v>
      </c>
      <c r="L20">
        <v>3.75</v>
      </c>
      <c r="M20">
        <v>7</v>
      </c>
      <c r="N20">
        <v>1</v>
      </c>
      <c r="O20">
        <v>30</v>
      </c>
      <c r="P20" s="23">
        <v>0.08</v>
      </c>
    </row>
    <row r="21" spans="1:16" x14ac:dyDescent="0.25">
      <c r="A21" t="s">
        <v>24</v>
      </c>
      <c r="B21" s="22">
        <v>1497677897</v>
      </c>
      <c r="C21">
        <v>418</v>
      </c>
      <c r="D21">
        <v>2082</v>
      </c>
      <c r="E21" s="23">
        <v>0.16719999999999999</v>
      </c>
      <c r="F21" s="23">
        <v>0.83279999999999998</v>
      </c>
      <c r="G21">
        <v>23</v>
      </c>
      <c r="H21">
        <v>43</v>
      </c>
      <c r="I21">
        <v>66</v>
      </c>
      <c r="J21" s="27">
        <v>0.15789500000000001</v>
      </c>
      <c r="K21">
        <v>8</v>
      </c>
      <c r="L21">
        <v>6.375</v>
      </c>
      <c r="M21">
        <v>12</v>
      </c>
      <c r="N21">
        <v>1</v>
      </c>
      <c r="O21">
        <v>51</v>
      </c>
      <c r="P21" s="23">
        <v>0.12200999999999999</v>
      </c>
    </row>
    <row r="22" spans="1:16" x14ac:dyDescent="0.25">
      <c r="A22" t="s">
        <v>24</v>
      </c>
      <c r="B22" s="22">
        <v>49377867</v>
      </c>
      <c r="C22">
        <v>451</v>
      </c>
      <c r="D22">
        <v>2049</v>
      </c>
      <c r="E22" s="23">
        <v>0.1804</v>
      </c>
      <c r="F22" s="23">
        <v>0.8196</v>
      </c>
      <c r="G22">
        <v>33</v>
      </c>
      <c r="H22">
        <v>35</v>
      </c>
      <c r="I22">
        <v>110</v>
      </c>
      <c r="J22" s="27">
        <v>0.24390200000000001</v>
      </c>
      <c r="K22">
        <v>13</v>
      </c>
      <c r="L22">
        <v>5.6923079999999997</v>
      </c>
      <c r="M22">
        <v>15</v>
      </c>
      <c r="N22">
        <v>1</v>
      </c>
      <c r="O22">
        <v>74</v>
      </c>
      <c r="P22" s="23">
        <v>0.16408</v>
      </c>
    </row>
    <row r="23" spans="1:16" x14ac:dyDescent="0.25">
      <c r="A23" t="s">
        <v>24</v>
      </c>
      <c r="B23" s="22">
        <v>134346264</v>
      </c>
      <c r="C23">
        <v>411</v>
      </c>
      <c r="D23">
        <v>2089</v>
      </c>
      <c r="E23" s="23">
        <v>0.16439999999999999</v>
      </c>
      <c r="F23" s="23">
        <v>0.83560000000000001</v>
      </c>
      <c r="G23">
        <v>32</v>
      </c>
      <c r="H23">
        <v>40</v>
      </c>
      <c r="I23">
        <v>63</v>
      </c>
      <c r="J23" s="27">
        <v>0.153285</v>
      </c>
      <c r="K23">
        <v>12</v>
      </c>
      <c r="L23">
        <v>4.75</v>
      </c>
      <c r="M23">
        <v>12</v>
      </c>
      <c r="N23">
        <v>1</v>
      </c>
      <c r="O23">
        <v>57</v>
      </c>
      <c r="P23" s="23">
        <v>0.138686</v>
      </c>
    </row>
    <row r="24" spans="1:16" x14ac:dyDescent="0.25">
      <c r="A24" t="s">
        <v>24</v>
      </c>
      <c r="B24" s="22">
        <v>154566604</v>
      </c>
      <c r="C24">
        <v>486</v>
      </c>
      <c r="D24">
        <v>2014</v>
      </c>
      <c r="E24" s="23">
        <v>0.19439999999999999</v>
      </c>
      <c r="F24" s="23">
        <v>0.80559999999999998</v>
      </c>
      <c r="G24">
        <v>32</v>
      </c>
      <c r="H24">
        <v>42</v>
      </c>
      <c r="I24">
        <v>62</v>
      </c>
      <c r="J24" s="27">
        <v>0.12757199999999999</v>
      </c>
      <c r="K24">
        <v>14</v>
      </c>
      <c r="L24">
        <v>5.7857139999999996</v>
      </c>
      <c r="M24">
        <v>22</v>
      </c>
      <c r="N24">
        <v>1</v>
      </c>
      <c r="O24">
        <v>81</v>
      </c>
      <c r="P24" s="23">
        <v>0.16666700000000001</v>
      </c>
    </row>
    <row r="25" spans="1:16" x14ac:dyDescent="0.25">
      <c r="A25" t="s">
        <v>24</v>
      </c>
      <c r="B25" s="22">
        <v>553404112</v>
      </c>
      <c r="C25">
        <v>491</v>
      </c>
      <c r="D25">
        <v>2009</v>
      </c>
      <c r="E25" s="23">
        <v>0.19639999999999999</v>
      </c>
      <c r="F25" s="23">
        <v>0.80359999999999998</v>
      </c>
      <c r="G25">
        <v>31</v>
      </c>
      <c r="H25">
        <v>42</v>
      </c>
      <c r="I25">
        <v>132</v>
      </c>
      <c r="J25" s="27">
        <v>0.26883899999999999</v>
      </c>
      <c r="K25">
        <v>13</v>
      </c>
      <c r="L25">
        <v>6</v>
      </c>
      <c r="M25">
        <v>29</v>
      </c>
      <c r="N25">
        <v>1</v>
      </c>
      <c r="O25">
        <v>78</v>
      </c>
      <c r="P25" s="23">
        <v>0.158859</v>
      </c>
    </row>
    <row r="26" spans="1:16" x14ac:dyDescent="0.25">
      <c r="A26" t="s">
        <v>24</v>
      </c>
      <c r="B26" s="22">
        <v>1268374990</v>
      </c>
      <c r="C26">
        <v>439</v>
      </c>
      <c r="D26">
        <v>2061</v>
      </c>
      <c r="E26" s="23">
        <v>0.17560000000000001</v>
      </c>
      <c r="F26" s="23">
        <v>0.82440000000000002</v>
      </c>
      <c r="G26">
        <v>28</v>
      </c>
      <c r="H26">
        <v>37</v>
      </c>
      <c r="I26">
        <v>81</v>
      </c>
      <c r="J26" s="27">
        <v>0.18451000000000001</v>
      </c>
      <c r="K26">
        <v>14</v>
      </c>
      <c r="L26">
        <v>4.9285709999999998</v>
      </c>
      <c r="M26">
        <v>20</v>
      </c>
      <c r="N26">
        <v>1</v>
      </c>
      <c r="O26">
        <v>69</v>
      </c>
      <c r="P26" s="23">
        <v>0.15717500000000001</v>
      </c>
    </row>
    <row r="27" spans="1:16" x14ac:dyDescent="0.25">
      <c r="A27" t="s">
        <v>24</v>
      </c>
      <c r="B27" s="22">
        <v>1831934778</v>
      </c>
      <c r="C27">
        <v>445</v>
      </c>
      <c r="D27">
        <v>2055</v>
      </c>
      <c r="E27" s="23">
        <v>0.17799999999999999</v>
      </c>
      <c r="F27" s="23">
        <v>0.82199999999999995</v>
      </c>
      <c r="G27">
        <v>50</v>
      </c>
      <c r="H27">
        <v>34</v>
      </c>
      <c r="I27">
        <v>160</v>
      </c>
      <c r="J27" s="27">
        <v>0.35955100000000001</v>
      </c>
      <c r="K27">
        <v>9</v>
      </c>
      <c r="L27">
        <v>5.4444439999999998</v>
      </c>
      <c r="M27">
        <v>9</v>
      </c>
      <c r="N27">
        <v>2</v>
      </c>
      <c r="O27">
        <v>49</v>
      </c>
      <c r="P27" s="23">
        <v>0.110112</v>
      </c>
    </row>
    <row r="28" spans="1:16" x14ac:dyDescent="0.25">
      <c r="A28" t="s">
        <v>24</v>
      </c>
      <c r="B28" s="22">
        <v>741931805</v>
      </c>
      <c r="C28">
        <v>416</v>
      </c>
      <c r="D28">
        <v>2084</v>
      </c>
      <c r="E28" s="23">
        <v>0.16639999999999999</v>
      </c>
      <c r="F28" s="23">
        <v>0.83360000000000001</v>
      </c>
      <c r="G28">
        <v>41</v>
      </c>
      <c r="H28">
        <v>45</v>
      </c>
      <c r="I28">
        <v>80</v>
      </c>
      <c r="J28" s="27">
        <v>0.19230800000000001</v>
      </c>
      <c r="K28">
        <v>10</v>
      </c>
      <c r="L28">
        <v>3.2</v>
      </c>
      <c r="M28">
        <v>11</v>
      </c>
      <c r="N28">
        <v>1</v>
      </c>
      <c r="O28">
        <v>32</v>
      </c>
      <c r="P28" s="23">
        <v>7.6923000000000005E-2</v>
      </c>
    </row>
    <row r="29" spans="1:16" x14ac:dyDescent="0.25">
      <c r="A29" t="s">
        <v>24</v>
      </c>
      <c r="B29" s="22">
        <v>626392238</v>
      </c>
      <c r="C29">
        <v>419</v>
      </c>
      <c r="D29">
        <v>2081</v>
      </c>
      <c r="E29" s="23">
        <v>0.1676</v>
      </c>
      <c r="F29" s="23">
        <v>0.83240000000000003</v>
      </c>
      <c r="G29">
        <v>33</v>
      </c>
      <c r="H29">
        <v>36</v>
      </c>
      <c r="I29">
        <v>87</v>
      </c>
      <c r="J29" s="27">
        <v>0.20763699999999999</v>
      </c>
      <c r="K29">
        <v>10</v>
      </c>
      <c r="L29">
        <v>5.5</v>
      </c>
      <c r="M29">
        <v>13</v>
      </c>
      <c r="N29">
        <v>1</v>
      </c>
      <c r="O29">
        <v>55</v>
      </c>
      <c r="P29" s="23">
        <v>0.13126499999999999</v>
      </c>
    </row>
    <row r="30" spans="1:16" x14ac:dyDescent="0.25">
      <c r="A30" t="s">
        <v>24</v>
      </c>
      <c r="B30" s="22">
        <v>454606086</v>
      </c>
      <c r="C30">
        <v>460</v>
      </c>
      <c r="D30">
        <v>2040</v>
      </c>
      <c r="E30" s="23">
        <v>0.184</v>
      </c>
      <c r="F30" s="23">
        <v>0.81599999999999995</v>
      </c>
      <c r="G30">
        <v>33</v>
      </c>
      <c r="H30">
        <v>36</v>
      </c>
      <c r="I30">
        <v>95</v>
      </c>
      <c r="J30" s="27">
        <v>0.20652200000000001</v>
      </c>
      <c r="K30">
        <v>11</v>
      </c>
      <c r="L30">
        <v>4.9090910000000001</v>
      </c>
      <c r="M30">
        <v>24</v>
      </c>
      <c r="N30">
        <v>1</v>
      </c>
      <c r="O30">
        <v>54</v>
      </c>
      <c r="P30" s="23">
        <v>0.117391</v>
      </c>
    </row>
    <row r="31" spans="1:16" x14ac:dyDescent="0.25">
      <c r="A31" t="s">
        <v>24</v>
      </c>
      <c r="B31" s="22">
        <v>131397627</v>
      </c>
      <c r="C31">
        <v>407</v>
      </c>
      <c r="D31">
        <v>2093</v>
      </c>
      <c r="E31" s="23">
        <v>0.1628</v>
      </c>
      <c r="F31" s="23">
        <v>0.83720000000000006</v>
      </c>
      <c r="G31">
        <v>30</v>
      </c>
      <c r="H31">
        <v>48</v>
      </c>
      <c r="I31">
        <v>76</v>
      </c>
      <c r="J31" s="27">
        <v>0.18673200000000001</v>
      </c>
      <c r="K31">
        <v>11</v>
      </c>
      <c r="L31">
        <v>4.4545450000000004</v>
      </c>
      <c r="M31">
        <v>23</v>
      </c>
      <c r="N31">
        <v>1</v>
      </c>
      <c r="O31">
        <v>49</v>
      </c>
      <c r="P31" s="23">
        <v>0.120393</v>
      </c>
    </row>
    <row r="32" spans="1:16" x14ac:dyDescent="0.25">
      <c r="A32" t="s">
        <v>24</v>
      </c>
      <c r="B32" s="22">
        <v>244427427</v>
      </c>
      <c r="C32">
        <v>447</v>
      </c>
      <c r="D32">
        <v>2053</v>
      </c>
      <c r="E32" s="23">
        <v>0.17879999999999999</v>
      </c>
      <c r="F32" s="23">
        <v>0.82120000000000004</v>
      </c>
      <c r="G32">
        <v>19</v>
      </c>
      <c r="H32">
        <v>45</v>
      </c>
      <c r="I32">
        <v>58</v>
      </c>
      <c r="J32" s="27">
        <v>0.12975400000000001</v>
      </c>
      <c r="K32">
        <v>12</v>
      </c>
      <c r="L32">
        <v>3.5</v>
      </c>
      <c r="M32">
        <v>7</v>
      </c>
      <c r="N32">
        <v>1</v>
      </c>
      <c r="O32">
        <v>42</v>
      </c>
      <c r="P32" s="23">
        <v>9.3960000000000002E-2</v>
      </c>
    </row>
    <row r="33" spans="1:16" x14ac:dyDescent="0.25">
      <c r="A33" t="s">
        <v>24</v>
      </c>
      <c r="B33" s="22">
        <v>796029530</v>
      </c>
      <c r="C33">
        <v>480</v>
      </c>
      <c r="D33">
        <v>2020</v>
      </c>
      <c r="E33" s="23">
        <v>0.192</v>
      </c>
      <c r="F33" s="23">
        <v>0.80800000000000005</v>
      </c>
      <c r="G33">
        <v>44</v>
      </c>
      <c r="H33">
        <v>37</v>
      </c>
      <c r="I33">
        <v>149</v>
      </c>
      <c r="J33" s="27">
        <v>0.310417</v>
      </c>
      <c r="K33">
        <v>14</v>
      </c>
      <c r="L33">
        <v>5.2142860000000004</v>
      </c>
      <c r="M33">
        <v>18</v>
      </c>
      <c r="N33">
        <v>1</v>
      </c>
      <c r="O33">
        <v>73</v>
      </c>
      <c r="P33" s="23">
        <v>0.152083</v>
      </c>
    </row>
    <row r="34" spans="1:16" x14ac:dyDescent="0.25">
      <c r="A34" t="s">
        <v>24</v>
      </c>
      <c r="B34" s="22">
        <v>921150537</v>
      </c>
      <c r="C34">
        <v>380</v>
      </c>
      <c r="D34">
        <v>2120</v>
      </c>
      <c r="E34" s="23">
        <v>0.152</v>
      </c>
      <c r="F34" s="23">
        <v>0.84799999999999998</v>
      </c>
      <c r="G34">
        <v>23</v>
      </c>
      <c r="H34">
        <v>40</v>
      </c>
      <c r="I34">
        <v>60</v>
      </c>
      <c r="J34" s="27">
        <v>0.15789500000000001</v>
      </c>
      <c r="K34">
        <v>7</v>
      </c>
      <c r="L34">
        <v>4.4285709999999998</v>
      </c>
      <c r="M34">
        <v>11</v>
      </c>
      <c r="N34">
        <v>1</v>
      </c>
      <c r="O34">
        <v>31</v>
      </c>
      <c r="P34" s="23">
        <v>8.1578999999999999E-2</v>
      </c>
    </row>
    <row r="35" spans="1:16" x14ac:dyDescent="0.25">
      <c r="A35" t="s">
        <v>24</v>
      </c>
      <c r="B35" s="22">
        <v>884980257</v>
      </c>
      <c r="C35">
        <v>423</v>
      </c>
      <c r="D35">
        <v>2077</v>
      </c>
      <c r="E35" s="23">
        <v>0.16919999999999999</v>
      </c>
      <c r="F35" s="23">
        <v>0.83079999999999998</v>
      </c>
      <c r="G35">
        <v>20</v>
      </c>
      <c r="H35">
        <v>41</v>
      </c>
      <c r="I35">
        <v>59</v>
      </c>
      <c r="J35" s="27">
        <v>0.13947999999999999</v>
      </c>
      <c r="K35">
        <v>13</v>
      </c>
      <c r="L35">
        <v>4.538462</v>
      </c>
      <c r="M35">
        <v>12</v>
      </c>
      <c r="N35">
        <v>1</v>
      </c>
      <c r="O35">
        <v>59</v>
      </c>
      <c r="P35" s="23">
        <v>0.13947999999999999</v>
      </c>
    </row>
    <row r="36" spans="1:16" x14ac:dyDescent="0.25">
      <c r="A36" t="s">
        <v>24</v>
      </c>
      <c r="B36" s="22">
        <v>1505053819</v>
      </c>
      <c r="C36">
        <v>412</v>
      </c>
      <c r="D36">
        <v>2088</v>
      </c>
      <c r="E36" s="23">
        <v>0.1648</v>
      </c>
      <c r="F36" s="23">
        <v>0.83520000000000005</v>
      </c>
      <c r="G36">
        <v>28</v>
      </c>
      <c r="H36">
        <v>42</v>
      </c>
      <c r="I36">
        <v>62</v>
      </c>
      <c r="J36" s="27">
        <v>0.15048500000000001</v>
      </c>
      <c r="K36">
        <v>13</v>
      </c>
      <c r="L36">
        <v>4.3846150000000002</v>
      </c>
      <c r="M36">
        <v>12</v>
      </c>
      <c r="N36">
        <v>1</v>
      </c>
      <c r="O36">
        <v>57</v>
      </c>
      <c r="P36" s="23">
        <v>0.13835</v>
      </c>
    </row>
    <row r="37" spans="1:16" x14ac:dyDescent="0.25">
      <c r="A37" t="s">
        <v>24</v>
      </c>
      <c r="B37" s="22">
        <v>979046566</v>
      </c>
      <c r="C37">
        <v>453</v>
      </c>
      <c r="D37">
        <v>2047</v>
      </c>
      <c r="E37" s="23">
        <v>0.1812</v>
      </c>
      <c r="F37" s="23">
        <v>0.81879999999999997</v>
      </c>
      <c r="G37">
        <v>34</v>
      </c>
      <c r="H37">
        <v>37</v>
      </c>
      <c r="I37">
        <v>111</v>
      </c>
      <c r="J37" s="27">
        <v>0.245033</v>
      </c>
      <c r="K37">
        <v>12</v>
      </c>
      <c r="L37">
        <v>7</v>
      </c>
      <c r="M37">
        <v>24</v>
      </c>
      <c r="N37">
        <v>1</v>
      </c>
      <c r="O37">
        <v>84</v>
      </c>
      <c r="P37" s="23">
        <v>0.18543000000000001</v>
      </c>
    </row>
    <row r="38" spans="1:16" x14ac:dyDescent="0.25">
      <c r="A38" t="s">
        <v>24</v>
      </c>
      <c r="B38" s="22">
        <v>1400893287</v>
      </c>
      <c r="C38">
        <v>508</v>
      </c>
      <c r="D38">
        <v>1992</v>
      </c>
      <c r="E38" s="23">
        <v>0.20319999999999999</v>
      </c>
      <c r="F38" s="23">
        <v>0.79679999999999995</v>
      </c>
      <c r="G38">
        <v>42</v>
      </c>
      <c r="H38">
        <v>27</v>
      </c>
      <c r="I38">
        <v>178</v>
      </c>
      <c r="J38" s="27">
        <v>0.35039399999999998</v>
      </c>
      <c r="K38">
        <v>16</v>
      </c>
      <c r="L38">
        <v>4.8125</v>
      </c>
      <c r="M38">
        <v>14</v>
      </c>
      <c r="N38">
        <v>1</v>
      </c>
      <c r="O38">
        <v>77</v>
      </c>
      <c r="P38" s="23">
        <v>0.15157499999999999</v>
      </c>
    </row>
    <row r="39" spans="1:16" x14ac:dyDescent="0.25">
      <c r="A39" t="s">
        <v>24</v>
      </c>
      <c r="B39" s="22">
        <v>2078138962</v>
      </c>
      <c r="C39">
        <v>474</v>
      </c>
      <c r="D39">
        <v>2026</v>
      </c>
      <c r="E39" s="23">
        <v>0.18959999999999999</v>
      </c>
      <c r="F39" s="23">
        <v>0.81040000000000001</v>
      </c>
      <c r="G39">
        <v>26</v>
      </c>
      <c r="H39">
        <v>36</v>
      </c>
      <c r="I39">
        <v>81</v>
      </c>
      <c r="J39" s="27">
        <v>0.17088600000000001</v>
      </c>
      <c r="K39">
        <v>17</v>
      </c>
      <c r="L39">
        <v>3.8235290000000002</v>
      </c>
      <c r="M39">
        <v>9</v>
      </c>
      <c r="N39">
        <v>1</v>
      </c>
      <c r="O39">
        <v>65</v>
      </c>
      <c r="P39" s="23">
        <v>0.137131</v>
      </c>
    </row>
    <row r="40" spans="1:16" x14ac:dyDescent="0.25">
      <c r="A40" t="s">
        <v>24</v>
      </c>
      <c r="B40" s="22">
        <v>35062278</v>
      </c>
      <c r="C40">
        <v>461</v>
      </c>
      <c r="D40">
        <v>2039</v>
      </c>
      <c r="E40" s="23">
        <v>0.18440000000000001</v>
      </c>
      <c r="F40" s="23">
        <v>0.81559999999999999</v>
      </c>
      <c r="G40">
        <v>50</v>
      </c>
      <c r="H40">
        <v>35</v>
      </c>
      <c r="I40">
        <v>194</v>
      </c>
      <c r="J40" s="27">
        <v>0.42082399999999998</v>
      </c>
      <c r="K40">
        <v>14</v>
      </c>
      <c r="L40">
        <v>3.9285709999999998</v>
      </c>
      <c r="M40">
        <v>11</v>
      </c>
      <c r="N40">
        <v>1</v>
      </c>
      <c r="O40">
        <v>55</v>
      </c>
      <c r="P40" s="23">
        <v>0.119306</v>
      </c>
    </row>
    <row r="41" spans="1:16" x14ac:dyDescent="0.25">
      <c r="A41" t="s">
        <v>24</v>
      </c>
      <c r="B41" s="22">
        <v>931249904</v>
      </c>
      <c r="C41">
        <v>483</v>
      </c>
      <c r="D41">
        <v>2017</v>
      </c>
      <c r="E41" s="23">
        <v>0.19320000000000001</v>
      </c>
      <c r="F41" s="23">
        <v>0.80679999999999996</v>
      </c>
      <c r="G41">
        <v>36</v>
      </c>
      <c r="H41">
        <v>38</v>
      </c>
      <c r="I41">
        <v>95</v>
      </c>
      <c r="J41" s="27">
        <v>0.196687</v>
      </c>
      <c r="K41">
        <v>14</v>
      </c>
      <c r="L41">
        <v>4.8571429999999998</v>
      </c>
      <c r="M41">
        <v>15</v>
      </c>
      <c r="N41">
        <v>1</v>
      </c>
      <c r="O41">
        <v>68</v>
      </c>
      <c r="P41" s="23">
        <v>0.140787</v>
      </c>
    </row>
    <row r="42" spans="1:16" x14ac:dyDescent="0.25">
      <c r="A42" t="s">
        <v>24</v>
      </c>
      <c r="B42" s="22">
        <v>1845684551</v>
      </c>
      <c r="C42">
        <v>505</v>
      </c>
      <c r="D42">
        <v>1995</v>
      </c>
      <c r="E42" s="23">
        <v>0.20200000000000001</v>
      </c>
      <c r="F42" s="23">
        <v>0.79800000000000004</v>
      </c>
      <c r="G42">
        <v>26</v>
      </c>
      <c r="H42">
        <v>32</v>
      </c>
      <c r="I42">
        <v>95</v>
      </c>
      <c r="J42" s="27">
        <v>0.18811900000000001</v>
      </c>
      <c r="K42">
        <v>16</v>
      </c>
      <c r="L42">
        <v>7.0625</v>
      </c>
      <c r="M42">
        <v>41</v>
      </c>
      <c r="N42">
        <v>1</v>
      </c>
      <c r="O42">
        <v>113</v>
      </c>
      <c r="P42" s="23">
        <v>0.22376199999999999</v>
      </c>
    </row>
    <row r="43" spans="1:16" x14ac:dyDescent="0.25">
      <c r="A43" t="s">
        <v>24</v>
      </c>
      <c r="B43" s="22">
        <v>1098704592</v>
      </c>
      <c r="C43">
        <v>456</v>
      </c>
      <c r="D43">
        <v>2044</v>
      </c>
      <c r="E43" s="23">
        <v>0.18240000000000001</v>
      </c>
      <c r="F43" s="23">
        <v>0.81759999999999999</v>
      </c>
      <c r="G43">
        <v>19</v>
      </c>
      <c r="H43">
        <v>48</v>
      </c>
      <c r="I43">
        <v>52</v>
      </c>
      <c r="J43" s="27">
        <v>0.114035</v>
      </c>
      <c r="K43">
        <v>15</v>
      </c>
      <c r="L43">
        <v>4.9333330000000002</v>
      </c>
      <c r="M43">
        <v>11</v>
      </c>
      <c r="N43">
        <v>1</v>
      </c>
      <c r="O43">
        <v>74</v>
      </c>
      <c r="P43" s="23">
        <v>0.16228100000000001</v>
      </c>
    </row>
    <row r="44" spans="1:16" x14ac:dyDescent="0.25">
      <c r="A44" t="s">
        <v>24</v>
      </c>
      <c r="B44" s="22">
        <v>1550577738</v>
      </c>
      <c r="C44">
        <v>473</v>
      </c>
      <c r="D44">
        <v>2027</v>
      </c>
      <c r="E44" s="23">
        <v>0.18920000000000001</v>
      </c>
      <c r="F44" s="23">
        <v>0.81079999999999997</v>
      </c>
      <c r="G44">
        <v>43</v>
      </c>
      <c r="H44">
        <v>37</v>
      </c>
      <c r="I44">
        <v>195</v>
      </c>
      <c r="J44" s="27">
        <v>0.41226200000000002</v>
      </c>
      <c r="K44">
        <v>9</v>
      </c>
      <c r="L44">
        <v>7.5555560000000002</v>
      </c>
      <c r="M44">
        <v>21</v>
      </c>
      <c r="N44">
        <v>1</v>
      </c>
      <c r="O44">
        <v>68</v>
      </c>
      <c r="P44" s="23">
        <v>0.143763</v>
      </c>
    </row>
    <row r="45" spans="1:16" x14ac:dyDescent="0.25">
      <c r="A45" t="s">
        <v>24</v>
      </c>
      <c r="B45" s="22">
        <v>1579113813</v>
      </c>
      <c r="C45">
        <v>493</v>
      </c>
      <c r="D45">
        <v>2007</v>
      </c>
      <c r="E45" s="23">
        <v>0.19719999999999999</v>
      </c>
      <c r="F45" s="23">
        <v>0.80279999999999996</v>
      </c>
      <c r="G45">
        <v>27</v>
      </c>
      <c r="H45">
        <v>37</v>
      </c>
      <c r="I45">
        <v>68</v>
      </c>
      <c r="J45" s="27">
        <v>0.137931</v>
      </c>
      <c r="K45">
        <v>14</v>
      </c>
      <c r="L45">
        <v>6.3571429999999998</v>
      </c>
      <c r="M45">
        <v>16</v>
      </c>
      <c r="N45">
        <v>1</v>
      </c>
      <c r="O45">
        <v>89</v>
      </c>
      <c r="P45" s="23">
        <v>0.18052699999999999</v>
      </c>
    </row>
    <row r="46" spans="1:16" x14ac:dyDescent="0.25">
      <c r="A46" t="s">
        <v>24</v>
      </c>
      <c r="B46" s="22">
        <v>1659957853</v>
      </c>
      <c r="C46">
        <v>416</v>
      </c>
      <c r="D46">
        <v>2084</v>
      </c>
      <c r="E46" s="23">
        <v>0.16639999999999999</v>
      </c>
      <c r="F46" s="23">
        <v>0.83360000000000001</v>
      </c>
      <c r="G46">
        <v>35</v>
      </c>
      <c r="H46">
        <v>30</v>
      </c>
      <c r="I46">
        <v>118</v>
      </c>
      <c r="J46" s="27">
        <v>0.28365400000000002</v>
      </c>
      <c r="K46">
        <v>10</v>
      </c>
      <c r="L46">
        <v>3.5</v>
      </c>
      <c r="M46">
        <v>8</v>
      </c>
      <c r="N46">
        <v>1</v>
      </c>
      <c r="O46">
        <v>35</v>
      </c>
      <c r="P46" s="23">
        <v>8.4135000000000001E-2</v>
      </c>
    </row>
    <row r="47" spans="1:16" x14ac:dyDescent="0.25">
      <c r="A47" t="s">
        <v>24</v>
      </c>
      <c r="B47" s="22">
        <v>393617966</v>
      </c>
      <c r="C47">
        <v>452</v>
      </c>
      <c r="D47">
        <v>2048</v>
      </c>
      <c r="E47" s="23">
        <v>0.18079999999999999</v>
      </c>
      <c r="F47" s="23">
        <v>0.81920000000000004</v>
      </c>
      <c r="G47">
        <v>31</v>
      </c>
      <c r="H47">
        <v>43</v>
      </c>
      <c r="I47">
        <v>79</v>
      </c>
      <c r="J47" s="27">
        <v>0.17477899999999999</v>
      </c>
      <c r="K47">
        <v>10</v>
      </c>
      <c r="L47">
        <v>5.6</v>
      </c>
      <c r="M47">
        <v>14</v>
      </c>
      <c r="N47">
        <v>1</v>
      </c>
      <c r="O47">
        <v>56</v>
      </c>
      <c r="P47" s="23">
        <v>0.123894</v>
      </c>
    </row>
    <row r="48" spans="1:16" x14ac:dyDescent="0.25">
      <c r="A48" t="s">
        <v>24</v>
      </c>
      <c r="B48" s="22">
        <v>954869403</v>
      </c>
      <c r="C48">
        <v>487</v>
      </c>
      <c r="D48">
        <v>2013</v>
      </c>
      <c r="E48" s="23">
        <v>0.1948</v>
      </c>
      <c r="F48" s="23">
        <v>0.80520000000000003</v>
      </c>
      <c r="G48">
        <v>27</v>
      </c>
      <c r="H48">
        <v>39</v>
      </c>
      <c r="I48">
        <v>71</v>
      </c>
      <c r="J48" s="27">
        <v>0.145791</v>
      </c>
      <c r="K48">
        <v>16</v>
      </c>
      <c r="L48">
        <v>5.6875</v>
      </c>
      <c r="M48">
        <v>18</v>
      </c>
      <c r="N48">
        <v>1</v>
      </c>
      <c r="O48">
        <v>91</v>
      </c>
      <c r="P48" s="23">
        <v>0.186858</v>
      </c>
    </row>
    <row r="49" spans="1:16" x14ac:dyDescent="0.25">
      <c r="A49" t="s">
        <v>24</v>
      </c>
      <c r="B49" s="22">
        <v>179195451</v>
      </c>
      <c r="C49">
        <v>436</v>
      </c>
      <c r="D49">
        <v>2064</v>
      </c>
      <c r="E49" s="23">
        <v>0.1744</v>
      </c>
      <c r="F49" s="23">
        <v>0.8256</v>
      </c>
      <c r="G49">
        <v>29</v>
      </c>
      <c r="H49">
        <v>37</v>
      </c>
      <c r="I49">
        <v>74</v>
      </c>
      <c r="J49" s="27">
        <v>0.16972499999999999</v>
      </c>
      <c r="K49">
        <v>12</v>
      </c>
      <c r="L49">
        <v>3.8333330000000001</v>
      </c>
      <c r="M49">
        <v>11</v>
      </c>
      <c r="N49">
        <v>1</v>
      </c>
      <c r="O49">
        <v>46</v>
      </c>
      <c r="P49" s="23">
        <v>0.105505</v>
      </c>
    </row>
    <row r="50" spans="1:16" x14ac:dyDescent="0.25">
      <c r="A50" t="s">
        <v>24</v>
      </c>
      <c r="B50" s="22">
        <v>2121803356</v>
      </c>
      <c r="C50">
        <v>489</v>
      </c>
      <c r="D50">
        <v>2011</v>
      </c>
      <c r="E50" s="23">
        <v>0.1956</v>
      </c>
      <c r="F50" s="23">
        <v>0.8044</v>
      </c>
      <c r="G50">
        <v>38</v>
      </c>
      <c r="H50">
        <v>33</v>
      </c>
      <c r="I50">
        <v>128</v>
      </c>
      <c r="J50" s="27">
        <v>0.26175900000000002</v>
      </c>
      <c r="K50">
        <v>13</v>
      </c>
      <c r="L50">
        <v>6.9230770000000001</v>
      </c>
      <c r="M50">
        <v>19</v>
      </c>
      <c r="N50">
        <v>1</v>
      </c>
      <c r="O50">
        <v>90</v>
      </c>
      <c r="P50" s="23">
        <v>0.18404899999999999</v>
      </c>
    </row>
    <row r="51" spans="1:16" x14ac:dyDescent="0.25">
      <c r="A51" t="s">
        <v>24</v>
      </c>
      <c r="B51" s="22">
        <v>1398385385</v>
      </c>
      <c r="C51">
        <v>442</v>
      </c>
      <c r="D51">
        <v>2058</v>
      </c>
      <c r="E51" s="23">
        <v>0.17680000000000001</v>
      </c>
      <c r="F51" s="23">
        <v>0.82320000000000004</v>
      </c>
      <c r="G51">
        <v>23</v>
      </c>
      <c r="H51">
        <v>50</v>
      </c>
      <c r="I51">
        <v>79</v>
      </c>
      <c r="J51" s="27">
        <v>0.178733</v>
      </c>
      <c r="K51">
        <v>14</v>
      </c>
      <c r="L51">
        <v>5.5</v>
      </c>
      <c r="M51">
        <v>14</v>
      </c>
      <c r="N51">
        <v>1</v>
      </c>
      <c r="O51">
        <v>77</v>
      </c>
      <c r="P51" s="23">
        <v>0.174208</v>
      </c>
    </row>
    <row r="52" spans="1:16" x14ac:dyDescent="0.25">
      <c r="A52" t="s">
        <v>26</v>
      </c>
      <c r="B52"/>
      <c r="C52">
        <f>SUBTOTAL(101,CA4_wall50_it2_neigh2[floors])</f>
        <v>443.64</v>
      </c>
      <c r="D52">
        <f>SUBTOTAL(101,CA4_wall50_it2_neigh2[walls])</f>
        <v>2056.36</v>
      </c>
      <c r="E52" s="24">
        <f>SUBTOTAL(101,CA4_wall50_it2_neigh2[floor_percent])</f>
        <v>0.17745600000000003</v>
      </c>
      <c r="F52" s="24">
        <f>SUBTOTAL(101,CA4_wall50_it2_neigh2[wall_percent])</f>
        <v>0.82254400000000005</v>
      </c>
      <c r="G52">
        <f>SUBTOTAL(101,CA4_wall50_it2_neigh2[longest_shortest_path])</f>
        <v>30.64</v>
      </c>
      <c r="H52">
        <f>SUBTOTAL(101,CA4_wall50_it2_neigh2[component_count])</f>
        <v>40.6</v>
      </c>
      <c r="I52">
        <f>SUBTOTAL(101,CA4_wall50_it2_neigh2[max_component_size])</f>
        <v>90.8</v>
      </c>
      <c r="J52" s="25">
        <f>SUBTOTAL(101,CA4_wall50_it2_neigh2[connectivity_ratio])</f>
        <v>0.20230059999999994</v>
      </c>
      <c r="K52">
        <f>SUBTOTAL(101,CA4_wall50_it2_neigh2[room_count])</f>
        <v>11.98</v>
      </c>
      <c r="L52">
        <f>SUBTOTAL(101,CA4_wall50_it2_neigh2[avg_room_size])</f>
        <v>4.9533811400000003</v>
      </c>
      <c r="M52">
        <f>SUBTOTAL(101,CA4_wall50_it2_neigh2[max_room_size])</f>
        <v>14.62</v>
      </c>
      <c r="N52">
        <f>SUBTOTAL(101,CA4_wall50_it2_neigh2[min_room_size])</f>
        <v>1.02</v>
      </c>
      <c r="O52">
        <f>SUBTOTAL(101,CA4_wall50_it2_neigh2[room_tiles])</f>
        <v>59.84</v>
      </c>
      <c r="P52" s="24">
        <f>SUBTOTAL(101,CA4_wall50_it2_neigh2[room_ratio])</f>
        <v>0.1325868</v>
      </c>
    </row>
    <row r="53" spans="1:16" x14ac:dyDescent="0.25">
      <c r="A53" s="26" t="s">
        <v>39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5A43-5CAF-4C39-9BC8-F32687085BBA}">
  <dimension ref="A1:P53"/>
  <sheetViews>
    <sheetView topLeftCell="A25" workbookViewId="0">
      <selection activeCell="J25" sqref="J1:J1048576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7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s="27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34376702</v>
      </c>
      <c r="C2">
        <v>1693</v>
      </c>
      <c r="D2">
        <v>807</v>
      </c>
      <c r="E2" s="23">
        <v>0.67720000000000002</v>
      </c>
      <c r="F2" s="23">
        <v>0.32279999999999998</v>
      </c>
      <c r="G2">
        <v>53</v>
      </c>
      <c r="H2">
        <v>1</v>
      </c>
      <c r="I2">
        <v>1693</v>
      </c>
      <c r="J2" s="27">
        <v>1</v>
      </c>
      <c r="K2">
        <v>8</v>
      </c>
      <c r="L2">
        <v>164.875</v>
      </c>
      <c r="M2">
        <v>1231</v>
      </c>
      <c r="N2">
        <v>1</v>
      </c>
      <c r="O2">
        <v>1319</v>
      </c>
      <c r="P2" s="23">
        <v>0.77908999999999995</v>
      </c>
    </row>
    <row r="3" spans="1:16" x14ac:dyDescent="0.25">
      <c r="A3" t="s">
        <v>24</v>
      </c>
      <c r="B3" s="22">
        <v>1670780860</v>
      </c>
      <c r="C3">
        <v>1691</v>
      </c>
      <c r="D3">
        <v>809</v>
      </c>
      <c r="E3" s="23">
        <v>0.6764</v>
      </c>
      <c r="F3" s="23">
        <v>0.3236</v>
      </c>
      <c r="G3">
        <v>56</v>
      </c>
      <c r="H3">
        <v>2</v>
      </c>
      <c r="I3">
        <v>1689</v>
      </c>
      <c r="J3" s="27">
        <v>0.99881699999999995</v>
      </c>
      <c r="K3">
        <v>5</v>
      </c>
      <c r="L3">
        <v>271</v>
      </c>
      <c r="M3">
        <v>1340</v>
      </c>
      <c r="N3">
        <v>2</v>
      </c>
      <c r="O3">
        <v>1355</v>
      </c>
      <c r="P3" s="23">
        <v>0.80130100000000004</v>
      </c>
    </row>
    <row r="4" spans="1:16" x14ac:dyDescent="0.25">
      <c r="A4" t="s">
        <v>24</v>
      </c>
      <c r="B4" s="22">
        <v>1373302367</v>
      </c>
      <c r="C4">
        <v>1652</v>
      </c>
      <c r="D4">
        <v>848</v>
      </c>
      <c r="E4" s="23">
        <v>0.66080000000000005</v>
      </c>
      <c r="F4" s="23">
        <v>0.3392</v>
      </c>
      <c r="G4">
        <v>54</v>
      </c>
      <c r="H4">
        <v>2</v>
      </c>
      <c r="I4">
        <v>1650</v>
      </c>
      <c r="J4" s="27">
        <v>0.99878900000000004</v>
      </c>
      <c r="K4">
        <v>5</v>
      </c>
      <c r="L4">
        <v>251.8</v>
      </c>
      <c r="M4">
        <v>1030</v>
      </c>
      <c r="N4">
        <v>2</v>
      </c>
      <c r="O4">
        <v>1259</v>
      </c>
      <c r="P4" s="23">
        <v>0.76210699999999998</v>
      </c>
    </row>
    <row r="5" spans="1:16" x14ac:dyDescent="0.25">
      <c r="A5" t="s">
        <v>24</v>
      </c>
      <c r="B5" s="22">
        <v>317416799</v>
      </c>
      <c r="C5">
        <v>1706</v>
      </c>
      <c r="D5">
        <v>794</v>
      </c>
      <c r="E5" s="23">
        <v>0.68240000000000001</v>
      </c>
      <c r="F5" s="23">
        <v>0.31759999999999999</v>
      </c>
      <c r="G5">
        <v>56</v>
      </c>
      <c r="H5">
        <v>1</v>
      </c>
      <c r="I5">
        <v>1706</v>
      </c>
      <c r="J5" s="27">
        <v>1</v>
      </c>
      <c r="K5">
        <v>3</v>
      </c>
      <c r="L5">
        <v>444.33333299999998</v>
      </c>
      <c r="M5">
        <v>1330</v>
      </c>
      <c r="N5">
        <v>1</v>
      </c>
      <c r="O5">
        <v>1333</v>
      </c>
      <c r="P5" s="23">
        <v>0.78136000000000005</v>
      </c>
    </row>
    <row r="6" spans="1:16" x14ac:dyDescent="0.25">
      <c r="A6" t="s">
        <v>24</v>
      </c>
      <c r="B6" s="22">
        <v>2052451469</v>
      </c>
      <c r="C6">
        <v>1716</v>
      </c>
      <c r="D6">
        <v>784</v>
      </c>
      <c r="E6" s="23">
        <v>0.68640000000000001</v>
      </c>
      <c r="F6" s="23">
        <v>0.31359999999999999</v>
      </c>
      <c r="G6">
        <v>53</v>
      </c>
      <c r="H6">
        <v>1</v>
      </c>
      <c r="I6">
        <v>1716</v>
      </c>
      <c r="J6" s="27">
        <v>1</v>
      </c>
      <c r="K6">
        <v>9</v>
      </c>
      <c r="L6">
        <v>150.444444</v>
      </c>
      <c r="M6">
        <v>1255</v>
      </c>
      <c r="N6">
        <v>1</v>
      </c>
      <c r="O6">
        <v>1354</v>
      </c>
      <c r="P6" s="23">
        <v>0.78904399999999997</v>
      </c>
    </row>
    <row r="7" spans="1:16" x14ac:dyDescent="0.25">
      <c r="A7" t="s">
        <v>24</v>
      </c>
      <c r="B7" s="22">
        <v>470089280</v>
      </c>
      <c r="C7">
        <v>1744</v>
      </c>
      <c r="D7">
        <v>756</v>
      </c>
      <c r="E7" s="23">
        <v>0.6976</v>
      </c>
      <c r="F7" s="23">
        <v>0.3024</v>
      </c>
      <c r="G7">
        <v>53</v>
      </c>
      <c r="H7">
        <v>2</v>
      </c>
      <c r="I7">
        <v>1743</v>
      </c>
      <c r="J7" s="27">
        <v>0.99942699999999995</v>
      </c>
      <c r="K7">
        <v>4</v>
      </c>
      <c r="L7">
        <v>352</v>
      </c>
      <c r="M7">
        <v>1323</v>
      </c>
      <c r="N7">
        <v>22</v>
      </c>
      <c r="O7">
        <v>1408</v>
      </c>
      <c r="P7" s="23">
        <v>0.80733900000000003</v>
      </c>
    </row>
    <row r="8" spans="1:16" x14ac:dyDescent="0.25">
      <c r="A8" t="s">
        <v>24</v>
      </c>
      <c r="B8" s="22">
        <v>1522123960</v>
      </c>
      <c r="C8">
        <v>1700</v>
      </c>
      <c r="D8">
        <v>800</v>
      </c>
      <c r="E8" s="23">
        <v>0.68</v>
      </c>
      <c r="F8" s="23">
        <v>0.32</v>
      </c>
      <c r="G8">
        <v>55</v>
      </c>
      <c r="H8">
        <v>2</v>
      </c>
      <c r="I8">
        <v>1698</v>
      </c>
      <c r="J8" s="27">
        <v>0.99882400000000005</v>
      </c>
      <c r="K8">
        <v>5</v>
      </c>
      <c r="L8">
        <v>271.39999999999998</v>
      </c>
      <c r="M8">
        <v>1287</v>
      </c>
      <c r="N8">
        <v>1</v>
      </c>
      <c r="O8">
        <v>1357</v>
      </c>
      <c r="P8" s="23">
        <v>0.79823500000000003</v>
      </c>
    </row>
    <row r="9" spans="1:16" x14ac:dyDescent="0.25">
      <c r="A9" t="s">
        <v>24</v>
      </c>
      <c r="B9" s="22">
        <v>35307267</v>
      </c>
      <c r="C9">
        <v>1648</v>
      </c>
      <c r="D9">
        <v>852</v>
      </c>
      <c r="E9" s="23">
        <v>0.65920000000000001</v>
      </c>
      <c r="F9" s="23">
        <v>0.34079999999999999</v>
      </c>
      <c r="G9">
        <v>59</v>
      </c>
      <c r="H9">
        <v>2</v>
      </c>
      <c r="I9">
        <v>1647</v>
      </c>
      <c r="J9" s="27">
        <v>0.99939299999999998</v>
      </c>
      <c r="K9">
        <v>11</v>
      </c>
      <c r="L9">
        <v>114.272727</v>
      </c>
      <c r="M9">
        <v>1204</v>
      </c>
      <c r="N9">
        <v>1</v>
      </c>
      <c r="O9">
        <v>1257</v>
      </c>
      <c r="P9" s="23">
        <v>0.76274299999999995</v>
      </c>
    </row>
    <row r="10" spans="1:16" x14ac:dyDescent="0.25">
      <c r="A10" t="s">
        <v>24</v>
      </c>
      <c r="B10" s="22">
        <v>1634677246</v>
      </c>
      <c r="C10">
        <v>1732</v>
      </c>
      <c r="D10">
        <v>768</v>
      </c>
      <c r="E10" s="23">
        <v>0.69279999999999997</v>
      </c>
      <c r="F10" s="23">
        <v>0.30719999999999997</v>
      </c>
      <c r="G10">
        <v>53</v>
      </c>
      <c r="H10">
        <v>2</v>
      </c>
      <c r="I10">
        <v>1727</v>
      </c>
      <c r="J10" s="27">
        <v>0.99711300000000003</v>
      </c>
      <c r="K10">
        <v>6</v>
      </c>
      <c r="L10">
        <v>228.83333300000001</v>
      </c>
      <c r="M10">
        <v>1345</v>
      </c>
      <c r="N10">
        <v>1</v>
      </c>
      <c r="O10">
        <v>1373</v>
      </c>
      <c r="P10" s="23">
        <v>0.79272500000000001</v>
      </c>
    </row>
    <row r="11" spans="1:16" x14ac:dyDescent="0.25">
      <c r="A11" t="s">
        <v>24</v>
      </c>
      <c r="B11" s="22">
        <v>1640001643</v>
      </c>
      <c r="C11">
        <v>1670</v>
      </c>
      <c r="D11">
        <v>830</v>
      </c>
      <c r="E11" s="23">
        <v>0.66800000000000004</v>
      </c>
      <c r="F11" s="23">
        <v>0.33200000000000002</v>
      </c>
      <c r="G11">
        <v>56</v>
      </c>
      <c r="H11">
        <v>1</v>
      </c>
      <c r="I11">
        <v>1670</v>
      </c>
      <c r="J11" s="27">
        <v>1</v>
      </c>
      <c r="K11">
        <v>7</v>
      </c>
      <c r="L11">
        <v>181.42857100000001</v>
      </c>
      <c r="M11">
        <v>1190</v>
      </c>
      <c r="N11">
        <v>2</v>
      </c>
      <c r="O11">
        <v>1270</v>
      </c>
      <c r="P11" s="23">
        <v>0.76047900000000002</v>
      </c>
    </row>
    <row r="12" spans="1:16" x14ac:dyDescent="0.25">
      <c r="A12" t="s">
        <v>24</v>
      </c>
      <c r="B12" s="22">
        <v>1576815117</v>
      </c>
      <c r="C12">
        <v>1707</v>
      </c>
      <c r="D12">
        <v>793</v>
      </c>
      <c r="E12" s="23">
        <v>0.68279999999999996</v>
      </c>
      <c r="F12" s="23">
        <v>0.31719999999999998</v>
      </c>
      <c r="G12">
        <v>54</v>
      </c>
      <c r="H12">
        <v>2</v>
      </c>
      <c r="I12">
        <v>1706</v>
      </c>
      <c r="J12" s="27">
        <v>0.99941400000000002</v>
      </c>
      <c r="K12">
        <v>8</v>
      </c>
      <c r="L12">
        <v>167.5</v>
      </c>
      <c r="M12">
        <v>1247</v>
      </c>
      <c r="N12">
        <v>2</v>
      </c>
      <c r="O12">
        <v>1340</v>
      </c>
      <c r="P12" s="23">
        <v>0.78500300000000001</v>
      </c>
    </row>
    <row r="13" spans="1:16" x14ac:dyDescent="0.25">
      <c r="A13" t="s">
        <v>24</v>
      </c>
      <c r="B13" s="22">
        <v>1754727327</v>
      </c>
      <c r="C13">
        <v>1681</v>
      </c>
      <c r="D13">
        <v>819</v>
      </c>
      <c r="E13" s="23">
        <v>0.6724</v>
      </c>
      <c r="F13" s="23">
        <v>0.3276</v>
      </c>
      <c r="G13">
        <v>54</v>
      </c>
      <c r="H13">
        <v>1</v>
      </c>
      <c r="I13">
        <v>1681</v>
      </c>
      <c r="J13" s="27">
        <v>1</v>
      </c>
      <c r="K13">
        <v>7</v>
      </c>
      <c r="L13">
        <v>184.85714300000001</v>
      </c>
      <c r="M13">
        <v>1225</v>
      </c>
      <c r="N13">
        <v>1</v>
      </c>
      <c r="O13">
        <v>1294</v>
      </c>
      <c r="P13" s="23">
        <v>0.76978000000000002</v>
      </c>
    </row>
    <row r="14" spans="1:16" x14ac:dyDescent="0.25">
      <c r="A14" t="s">
        <v>24</v>
      </c>
      <c r="B14" s="22">
        <v>1356335049</v>
      </c>
      <c r="C14">
        <v>1672</v>
      </c>
      <c r="D14">
        <v>828</v>
      </c>
      <c r="E14" s="23">
        <v>0.66879999999999995</v>
      </c>
      <c r="F14" s="23">
        <v>0.33119999999999999</v>
      </c>
      <c r="G14">
        <v>52</v>
      </c>
      <c r="H14">
        <v>1</v>
      </c>
      <c r="I14">
        <v>1672</v>
      </c>
      <c r="J14" s="27">
        <v>1</v>
      </c>
      <c r="K14">
        <v>3</v>
      </c>
      <c r="L14">
        <v>433.33333299999998</v>
      </c>
      <c r="M14">
        <v>1285</v>
      </c>
      <c r="N14">
        <v>1</v>
      </c>
      <c r="O14">
        <v>1300</v>
      </c>
      <c r="P14" s="23">
        <v>0.77751199999999998</v>
      </c>
    </row>
    <row r="15" spans="1:16" x14ac:dyDescent="0.25">
      <c r="A15" t="s">
        <v>24</v>
      </c>
      <c r="B15" s="22">
        <v>1035956846</v>
      </c>
      <c r="C15">
        <v>1623</v>
      </c>
      <c r="D15">
        <v>877</v>
      </c>
      <c r="E15" s="23">
        <v>0.6492</v>
      </c>
      <c r="F15" s="23">
        <v>0.3508</v>
      </c>
      <c r="G15">
        <v>52</v>
      </c>
      <c r="H15">
        <v>1</v>
      </c>
      <c r="I15">
        <v>1623</v>
      </c>
      <c r="J15" s="27">
        <v>1</v>
      </c>
      <c r="K15">
        <v>8</v>
      </c>
      <c r="L15">
        <v>149</v>
      </c>
      <c r="M15">
        <v>1145</v>
      </c>
      <c r="N15">
        <v>1</v>
      </c>
      <c r="O15">
        <v>1192</v>
      </c>
      <c r="P15" s="23">
        <v>0.73444200000000004</v>
      </c>
    </row>
    <row r="16" spans="1:16" x14ac:dyDescent="0.25">
      <c r="A16" t="s">
        <v>24</v>
      </c>
      <c r="B16" s="22">
        <v>1416438202</v>
      </c>
      <c r="C16">
        <v>1657</v>
      </c>
      <c r="D16">
        <v>843</v>
      </c>
      <c r="E16" s="23">
        <v>0.66279999999999994</v>
      </c>
      <c r="F16" s="23">
        <v>0.3372</v>
      </c>
      <c r="G16">
        <v>58</v>
      </c>
      <c r="H16">
        <v>1</v>
      </c>
      <c r="I16">
        <v>1657</v>
      </c>
      <c r="J16" s="27">
        <v>1</v>
      </c>
      <c r="K16">
        <v>10</v>
      </c>
      <c r="L16">
        <v>126.3</v>
      </c>
      <c r="M16">
        <v>1152</v>
      </c>
      <c r="N16">
        <v>1</v>
      </c>
      <c r="O16">
        <v>1263</v>
      </c>
      <c r="P16" s="23">
        <v>0.76222100000000004</v>
      </c>
    </row>
    <row r="17" spans="1:16" x14ac:dyDescent="0.25">
      <c r="A17" t="s">
        <v>24</v>
      </c>
      <c r="B17" s="22">
        <v>1157557060</v>
      </c>
      <c r="C17">
        <v>1756</v>
      </c>
      <c r="D17">
        <v>744</v>
      </c>
      <c r="E17" s="23">
        <v>0.70240000000000002</v>
      </c>
      <c r="F17" s="23">
        <v>0.29759999999999998</v>
      </c>
      <c r="G17">
        <v>54</v>
      </c>
      <c r="H17">
        <v>2</v>
      </c>
      <c r="I17">
        <v>1755</v>
      </c>
      <c r="J17" s="27">
        <v>0.99943099999999996</v>
      </c>
      <c r="K17">
        <v>5</v>
      </c>
      <c r="L17">
        <v>277.8</v>
      </c>
      <c r="M17">
        <v>1059</v>
      </c>
      <c r="N17">
        <v>1</v>
      </c>
      <c r="O17">
        <v>1389</v>
      </c>
      <c r="P17" s="23">
        <v>0.79100199999999998</v>
      </c>
    </row>
    <row r="18" spans="1:16" x14ac:dyDescent="0.25">
      <c r="A18" t="s">
        <v>24</v>
      </c>
      <c r="B18" s="22">
        <v>1528350099</v>
      </c>
      <c r="C18">
        <v>1731</v>
      </c>
      <c r="D18">
        <v>769</v>
      </c>
      <c r="E18" s="23">
        <v>0.69240000000000002</v>
      </c>
      <c r="F18" s="23">
        <v>0.30759999999999998</v>
      </c>
      <c r="G18">
        <v>51</v>
      </c>
      <c r="H18">
        <v>2</v>
      </c>
      <c r="I18">
        <v>1730</v>
      </c>
      <c r="J18" s="27">
        <v>0.99942200000000003</v>
      </c>
      <c r="K18">
        <v>4</v>
      </c>
      <c r="L18">
        <v>349.25</v>
      </c>
      <c r="M18">
        <v>1369</v>
      </c>
      <c r="N18">
        <v>1</v>
      </c>
      <c r="O18">
        <v>1397</v>
      </c>
      <c r="P18" s="23">
        <v>0.80704799999999999</v>
      </c>
    </row>
    <row r="19" spans="1:16" x14ac:dyDescent="0.25">
      <c r="A19" t="s">
        <v>24</v>
      </c>
      <c r="B19" s="22">
        <v>546002284</v>
      </c>
      <c r="C19">
        <v>1692</v>
      </c>
      <c r="D19">
        <v>808</v>
      </c>
      <c r="E19" s="23">
        <v>0.67679999999999996</v>
      </c>
      <c r="F19" s="23">
        <v>0.32319999999999999</v>
      </c>
      <c r="G19">
        <v>53</v>
      </c>
      <c r="H19">
        <v>1</v>
      </c>
      <c r="I19">
        <v>1692</v>
      </c>
      <c r="J19" s="27">
        <v>1</v>
      </c>
      <c r="K19">
        <v>3</v>
      </c>
      <c r="L19">
        <v>441.66666700000002</v>
      </c>
      <c r="M19">
        <v>1308</v>
      </c>
      <c r="N19">
        <v>1</v>
      </c>
      <c r="O19">
        <v>1325</v>
      </c>
      <c r="P19" s="23">
        <v>0.78309700000000004</v>
      </c>
    </row>
    <row r="20" spans="1:16" x14ac:dyDescent="0.25">
      <c r="A20" t="s">
        <v>24</v>
      </c>
      <c r="B20" s="22">
        <v>1943307140</v>
      </c>
      <c r="C20">
        <v>1729</v>
      </c>
      <c r="D20">
        <v>771</v>
      </c>
      <c r="E20" s="23">
        <v>0.69159999999999999</v>
      </c>
      <c r="F20" s="23">
        <v>0.30840000000000001</v>
      </c>
      <c r="G20">
        <v>56</v>
      </c>
      <c r="H20">
        <v>2</v>
      </c>
      <c r="I20">
        <v>1727</v>
      </c>
      <c r="J20" s="27">
        <v>0.99884300000000004</v>
      </c>
      <c r="K20">
        <v>3</v>
      </c>
      <c r="L20">
        <v>462.66666700000002</v>
      </c>
      <c r="M20">
        <v>1317</v>
      </c>
      <c r="N20">
        <v>9</v>
      </c>
      <c r="O20">
        <v>1388</v>
      </c>
      <c r="P20" s="23">
        <v>0.80277600000000005</v>
      </c>
    </row>
    <row r="21" spans="1:16" x14ac:dyDescent="0.25">
      <c r="A21" t="s">
        <v>24</v>
      </c>
      <c r="B21" s="22">
        <v>971866874</v>
      </c>
      <c r="C21">
        <v>1609</v>
      </c>
      <c r="D21">
        <v>891</v>
      </c>
      <c r="E21" s="23">
        <v>0.64359999999999995</v>
      </c>
      <c r="F21" s="23">
        <v>0.35639999999999999</v>
      </c>
      <c r="G21">
        <v>54</v>
      </c>
      <c r="H21">
        <v>2</v>
      </c>
      <c r="I21">
        <v>1608</v>
      </c>
      <c r="J21" s="27">
        <v>0.99937799999999999</v>
      </c>
      <c r="K21">
        <v>12</v>
      </c>
      <c r="L21">
        <v>98</v>
      </c>
      <c r="M21">
        <v>392</v>
      </c>
      <c r="N21">
        <v>1</v>
      </c>
      <c r="O21">
        <v>1176</v>
      </c>
      <c r="P21" s="23">
        <v>0.73088900000000001</v>
      </c>
    </row>
    <row r="22" spans="1:16" x14ac:dyDescent="0.25">
      <c r="A22" t="s">
        <v>24</v>
      </c>
      <c r="B22" s="22">
        <v>1092312574</v>
      </c>
      <c r="C22">
        <v>1738</v>
      </c>
      <c r="D22">
        <v>762</v>
      </c>
      <c r="E22" s="23">
        <v>0.69520000000000004</v>
      </c>
      <c r="F22" s="23">
        <v>0.30480000000000002</v>
      </c>
      <c r="G22">
        <v>54</v>
      </c>
      <c r="H22">
        <v>2</v>
      </c>
      <c r="I22">
        <v>1737</v>
      </c>
      <c r="J22" s="27">
        <v>0.99942500000000001</v>
      </c>
      <c r="K22">
        <v>7</v>
      </c>
      <c r="L22">
        <v>199.42857100000001</v>
      </c>
      <c r="M22">
        <v>1317</v>
      </c>
      <c r="N22">
        <v>1</v>
      </c>
      <c r="O22">
        <v>1396</v>
      </c>
      <c r="P22" s="23">
        <v>0.80322199999999999</v>
      </c>
    </row>
    <row r="23" spans="1:16" x14ac:dyDescent="0.25">
      <c r="A23" t="s">
        <v>24</v>
      </c>
      <c r="B23" s="22">
        <v>375305324</v>
      </c>
      <c r="C23">
        <v>1678</v>
      </c>
      <c r="D23">
        <v>822</v>
      </c>
      <c r="E23" s="23">
        <v>0.67120000000000002</v>
      </c>
      <c r="F23" s="23">
        <v>0.32879999999999998</v>
      </c>
      <c r="G23">
        <v>54</v>
      </c>
      <c r="H23">
        <v>1</v>
      </c>
      <c r="I23">
        <v>1678</v>
      </c>
      <c r="J23" s="27">
        <v>1</v>
      </c>
      <c r="K23">
        <v>5</v>
      </c>
      <c r="L23">
        <v>261.39999999999998</v>
      </c>
      <c r="M23">
        <v>1273</v>
      </c>
      <c r="N23">
        <v>1</v>
      </c>
      <c r="O23">
        <v>1307</v>
      </c>
      <c r="P23" s="23">
        <v>0.77890300000000001</v>
      </c>
    </row>
    <row r="24" spans="1:16" x14ac:dyDescent="0.25">
      <c r="A24" t="s">
        <v>24</v>
      </c>
      <c r="B24" s="22">
        <v>377557916</v>
      </c>
      <c r="C24">
        <v>1733</v>
      </c>
      <c r="D24">
        <v>767</v>
      </c>
      <c r="E24" s="23">
        <v>0.69320000000000004</v>
      </c>
      <c r="F24" s="23">
        <v>0.30680000000000002</v>
      </c>
      <c r="G24">
        <v>52</v>
      </c>
      <c r="H24">
        <v>2</v>
      </c>
      <c r="I24">
        <v>1731</v>
      </c>
      <c r="J24" s="27">
        <v>0.99884600000000001</v>
      </c>
      <c r="K24">
        <v>3</v>
      </c>
      <c r="L24">
        <v>459.33333299999998</v>
      </c>
      <c r="M24">
        <v>1348</v>
      </c>
      <c r="N24">
        <v>3</v>
      </c>
      <c r="O24">
        <v>1378</v>
      </c>
      <c r="P24" s="23">
        <v>0.795153</v>
      </c>
    </row>
    <row r="25" spans="1:16" x14ac:dyDescent="0.25">
      <c r="A25" t="s">
        <v>24</v>
      </c>
      <c r="B25" s="22">
        <v>1165347447</v>
      </c>
      <c r="C25">
        <v>1730</v>
      </c>
      <c r="D25">
        <v>770</v>
      </c>
      <c r="E25" s="23">
        <v>0.69199999999999995</v>
      </c>
      <c r="F25" s="23">
        <v>0.308</v>
      </c>
      <c r="G25">
        <v>56</v>
      </c>
      <c r="H25">
        <v>1</v>
      </c>
      <c r="I25">
        <v>1730</v>
      </c>
      <c r="J25" s="27">
        <v>1</v>
      </c>
      <c r="K25">
        <v>4</v>
      </c>
      <c r="L25">
        <v>345.75</v>
      </c>
      <c r="M25">
        <v>1298</v>
      </c>
      <c r="N25">
        <v>9</v>
      </c>
      <c r="O25">
        <v>1383</v>
      </c>
      <c r="P25" s="23">
        <v>0.79942199999999997</v>
      </c>
    </row>
    <row r="26" spans="1:16" x14ac:dyDescent="0.25">
      <c r="A26" t="s">
        <v>24</v>
      </c>
      <c r="B26" s="22">
        <v>1335317625</v>
      </c>
      <c r="C26">
        <v>1687</v>
      </c>
      <c r="D26">
        <v>813</v>
      </c>
      <c r="E26" s="23">
        <v>0.67479999999999996</v>
      </c>
      <c r="F26" s="23">
        <v>0.32519999999999999</v>
      </c>
      <c r="G26">
        <v>53</v>
      </c>
      <c r="H26">
        <v>1</v>
      </c>
      <c r="I26">
        <v>1687</v>
      </c>
      <c r="J26" s="27">
        <v>1</v>
      </c>
      <c r="K26">
        <v>6</v>
      </c>
      <c r="L26">
        <v>218.16666699999999</v>
      </c>
      <c r="M26">
        <v>1263</v>
      </c>
      <c r="N26">
        <v>1</v>
      </c>
      <c r="O26">
        <v>1309</v>
      </c>
      <c r="P26" s="23">
        <v>0.77593400000000001</v>
      </c>
    </row>
    <row r="27" spans="1:16" x14ac:dyDescent="0.25">
      <c r="A27" t="s">
        <v>24</v>
      </c>
      <c r="B27" s="22">
        <v>723384443</v>
      </c>
      <c r="C27">
        <v>1680</v>
      </c>
      <c r="D27">
        <v>820</v>
      </c>
      <c r="E27" s="23">
        <v>0.67200000000000004</v>
      </c>
      <c r="F27" s="23">
        <v>0.32800000000000001</v>
      </c>
      <c r="G27">
        <v>58</v>
      </c>
      <c r="H27">
        <v>2</v>
      </c>
      <c r="I27">
        <v>1679</v>
      </c>
      <c r="J27" s="27">
        <v>0.99940499999999999</v>
      </c>
      <c r="K27">
        <v>7</v>
      </c>
      <c r="L27">
        <v>184.71428599999999</v>
      </c>
      <c r="M27">
        <v>1265</v>
      </c>
      <c r="N27">
        <v>1</v>
      </c>
      <c r="O27">
        <v>1293</v>
      </c>
      <c r="P27" s="23">
        <v>0.76964299999999997</v>
      </c>
    </row>
    <row r="28" spans="1:16" x14ac:dyDescent="0.25">
      <c r="A28" t="s">
        <v>24</v>
      </c>
      <c r="B28" s="22">
        <v>437503272</v>
      </c>
      <c r="C28">
        <v>1643</v>
      </c>
      <c r="D28">
        <v>857</v>
      </c>
      <c r="E28" s="23">
        <v>0.65720000000000001</v>
      </c>
      <c r="F28" s="23">
        <v>0.34279999999999999</v>
      </c>
      <c r="G28">
        <v>53</v>
      </c>
      <c r="H28">
        <v>1</v>
      </c>
      <c r="I28">
        <v>1643</v>
      </c>
      <c r="J28" s="27">
        <v>1</v>
      </c>
      <c r="K28">
        <v>11</v>
      </c>
      <c r="L28">
        <v>110.090909</v>
      </c>
      <c r="M28">
        <v>555</v>
      </c>
      <c r="N28">
        <v>5</v>
      </c>
      <c r="O28">
        <v>1211</v>
      </c>
      <c r="P28" s="23">
        <v>0.737066</v>
      </c>
    </row>
    <row r="29" spans="1:16" x14ac:dyDescent="0.25">
      <c r="A29" t="s">
        <v>24</v>
      </c>
      <c r="B29" s="22">
        <v>45902559</v>
      </c>
      <c r="C29">
        <v>1698</v>
      </c>
      <c r="D29">
        <v>802</v>
      </c>
      <c r="E29" s="23">
        <v>0.67920000000000003</v>
      </c>
      <c r="F29" s="23">
        <v>0.32079999999999997</v>
      </c>
      <c r="G29">
        <v>52</v>
      </c>
      <c r="H29">
        <v>1</v>
      </c>
      <c r="I29">
        <v>1698</v>
      </c>
      <c r="J29" s="27">
        <v>1</v>
      </c>
      <c r="K29">
        <v>5</v>
      </c>
      <c r="L29">
        <v>267.60000000000002</v>
      </c>
      <c r="M29">
        <v>1326</v>
      </c>
      <c r="N29">
        <v>1</v>
      </c>
      <c r="O29">
        <v>1338</v>
      </c>
      <c r="P29" s="23">
        <v>0.78798599999999996</v>
      </c>
    </row>
    <row r="30" spans="1:16" x14ac:dyDescent="0.25">
      <c r="A30" t="s">
        <v>24</v>
      </c>
      <c r="B30" s="22">
        <v>1729288179</v>
      </c>
      <c r="C30">
        <v>1709</v>
      </c>
      <c r="D30">
        <v>791</v>
      </c>
      <c r="E30" s="23">
        <v>0.68359999999999999</v>
      </c>
      <c r="F30" s="23">
        <v>0.31640000000000001</v>
      </c>
      <c r="G30">
        <v>54</v>
      </c>
      <c r="H30">
        <v>2</v>
      </c>
      <c r="I30">
        <v>1708</v>
      </c>
      <c r="J30" s="27">
        <v>0.99941500000000005</v>
      </c>
      <c r="K30">
        <v>7</v>
      </c>
      <c r="L30">
        <v>192.57142899999999</v>
      </c>
      <c r="M30">
        <v>1181</v>
      </c>
      <c r="N30">
        <v>1</v>
      </c>
      <c r="O30">
        <v>1348</v>
      </c>
      <c r="P30" s="23">
        <v>0.78876500000000005</v>
      </c>
    </row>
    <row r="31" spans="1:16" x14ac:dyDescent="0.25">
      <c r="A31" t="s">
        <v>24</v>
      </c>
      <c r="B31" s="22">
        <v>1372260369</v>
      </c>
      <c r="C31">
        <v>1662</v>
      </c>
      <c r="D31">
        <v>838</v>
      </c>
      <c r="E31" s="23">
        <v>0.66479999999999995</v>
      </c>
      <c r="F31" s="23">
        <v>0.3352</v>
      </c>
      <c r="G31">
        <v>53</v>
      </c>
      <c r="H31">
        <v>3</v>
      </c>
      <c r="I31">
        <v>1659</v>
      </c>
      <c r="J31" s="27">
        <v>0.99819500000000005</v>
      </c>
      <c r="K31">
        <v>3</v>
      </c>
      <c r="L31">
        <v>433.66666700000002</v>
      </c>
      <c r="M31">
        <v>1291</v>
      </c>
      <c r="N31">
        <v>3</v>
      </c>
      <c r="O31">
        <v>1301</v>
      </c>
      <c r="P31" s="23">
        <v>0.78279200000000004</v>
      </c>
    </row>
    <row r="32" spans="1:16" x14ac:dyDescent="0.25">
      <c r="A32" t="s">
        <v>24</v>
      </c>
      <c r="B32" s="22">
        <v>908645850</v>
      </c>
      <c r="C32">
        <v>1703</v>
      </c>
      <c r="D32">
        <v>797</v>
      </c>
      <c r="E32" s="23">
        <v>0.68120000000000003</v>
      </c>
      <c r="F32" s="23">
        <v>0.31879999999999997</v>
      </c>
      <c r="G32">
        <v>59</v>
      </c>
      <c r="H32">
        <v>1</v>
      </c>
      <c r="I32">
        <v>1703</v>
      </c>
      <c r="J32" s="27">
        <v>1</v>
      </c>
      <c r="K32">
        <v>5</v>
      </c>
      <c r="L32">
        <v>269.39999999999998</v>
      </c>
      <c r="M32">
        <v>1327</v>
      </c>
      <c r="N32">
        <v>1</v>
      </c>
      <c r="O32">
        <v>1347</v>
      </c>
      <c r="P32" s="23">
        <v>0.79095700000000002</v>
      </c>
    </row>
    <row r="33" spans="1:16" x14ac:dyDescent="0.25">
      <c r="A33" t="s">
        <v>24</v>
      </c>
      <c r="B33" s="22">
        <v>1326443575</v>
      </c>
      <c r="C33">
        <v>1690</v>
      </c>
      <c r="D33">
        <v>810</v>
      </c>
      <c r="E33" s="23">
        <v>0.67600000000000005</v>
      </c>
      <c r="F33" s="23">
        <v>0.32400000000000001</v>
      </c>
      <c r="G33">
        <v>53</v>
      </c>
      <c r="H33">
        <v>3</v>
      </c>
      <c r="I33">
        <v>1686</v>
      </c>
      <c r="J33" s="27">
        <v>0.99763299999999999</v>
      </c>
      <c r="K33">
        <v>5</v>
      </c>
      <c r="L33">
        <v>264.39999999999998</v>
      </c>
      <c r="M33">
        <v>1299</v>
      </c>
      <c r="N33">
        <v>5</v>
      </c>
      <c r="O33">
        <v>1322</v>
      </c>
      <c r="P33" s="23">
        <v>0.78224899999999997</v>
      </c>
    </row>
    <row r="34" spans="1:16" x14ac:dyDescent="0.25">
      <c r="A34" t="s">
        <v>24</v>
      </c>
      <c r="B34" s="22">
        <v>912892723</v>
      </c>
      <c r="C34">
        <v>1763</v>
      </c>
      <c r="D34">
        <v>737</v>
      </c>
      <c r="E34" s="23">
        <v>0.70520000000000005</v>
      </c>
      <c r="F34" s="23">
        <v>0.29480000000000001</v>
      </c>
      <c r="G34">
        <v>56</v>
      </c>
      <c r="H34">
        <v>1</v>
      </c>
      <c r="I34">
        <v>1763</v>
      </c>
      <c r="J34" s="27">
        <v>1</v>
      </c>
      <c r="K34">
        <v>4</v>
      </c>
      <c r="L34">
        <v>357.5</v>
      </c>
      <c r="M34">
        <v>1388</v>
      </c>
      <c r="N34">
        <v>2</v>
      </c>
      <c r="O34">
        <v>1430</v>
      </c>
      <c r="P34" s="23">
        <v>0.81111699999999998</v>
      </c>
    </row>
    <row r="35" spans="1:16" x14ac:dyDescent="0.25">
      <c r="A35" t="s">
        <v>24</v>
      </c>
      <c r="B35" s="22">
        <v>1713142750</v>
      </c>
      <c r="C35">
        <v>1679</v>
      </c>
      <c r="D35">
        <v>821</v>
      </c>
      <c r="E35" s="23">
        <v>0.67159999999999997</v>
      </c>
      <c r="F35" s="23">
        <v>0.32840000000000003</v>
      </c>
      <c r="G35">
        <v>54</v>
      </c>
      <c r="H35">
        <v>2</v>
      </c>
      <c r="I35">
        <v>1678</v>
      </c>
      <c r="J35" s="27">
        <v>0.99940399999999996</v>
      </c>
      <c r="K35">
        <v>9</v>
      </c>
      <c r="L35">
        <v>146</v>
      </c>
      <c r="M35">
        <v>988</v>
      </c>
      <c r="N35">
        <v>1</v>
      </c>
      <c r="O35">
        <v>1314</v>
      </c>
      <c r="P35" s="23">
        <v>0.782609</v>
      </c>
    </row>
    <row r="36" spans="1:16" x14ac:dyDescent="0.25">
      <c r="A36" t="s">
        <v>24</v>
      </c>
      <c r="B36" s="22">
        <v>1132393556</v>
      </c>
      <c r="C36">
        <v>1657</v>
      </c>
      <c r="D36">
        <v>843</v>
      </c>
      <c r="E36" s="23">
        <v>0.66279999999999994</v>
      </c>
      <c r="F36" s="23">
        <v>0.3372</v>
      </c>
      <c r="G36">
        <v>53</v>
      </c>
      <c r="H36">
        <v>2</v>
      </c>
      <c r="I36">
        <v>1656</v>
      </c>
      <c r="J36" s="27">
        <v>0.99939599999999995</v>
      </c>
      <c r="K36">
        <v>9</v>
      </c>
      <c r="L36">
        <v>141.555556</v>
      </c>
      <c r="M36">
        <v>1243</v>
      </c>
      <c r="N36">
        <v>1</v>
      </c>
      <c r="O36">
        <v>1274</v>
      </c>
      <c r="P36" s="23">
        <v>0.76885899999999996</v>
      </c>
    </row>
    <row r="37" spans="1:16" x14ac:dyDescent="0.25">
      <c r="A37" t="s">
        <v>24</v>
      </c>
      <c r="B37" s="22">
        <v>904190079</v>
      </c>
      <c r="C37">
        <v>1666</v>
      </c>
      <c r="D37">
        <v>834</v>
      </c>
      <c r="E37" s="23">
        <v>0.66639999999999999</v>
      </c>
      <c r="F37" s="23">
        <v>0.33360000000000001</v>
      </c>
      <c r="G37">
        <v>54</v>
      </c>
      <c r="H37">
        <v>2</v>
      </c>
      <c r="I37">
        <v>1665</v>
      </c>
      <c r="J37" s="27">
        <v>0.99939999999999996</v>
      </c>
      <c r="K37">
        <v>8</v>
      </c>
      <c r="L37">
        <v>159.5</v>
      </c>
      <c r="M37">
        <v>1228</v>
      </c>
      <c r="N37">
        <v>2</v>
      </c>
      <c r="O37">
        <v>1276</v>
      </c>
      <c r="P37" s="23">
        <v>0.76590599999999998</v>
      </c>
    </row>
    <row r="38" spans="1:16" x14ac:dyDescent="0.25">
      <c r="A38" t="s">
        <v>24</v>
      </c>
      <c r="B38" s="22">
        <v>285380977</v>
      </c>
      <c r="C38">
        <v>1686</v>
      </c>
      <c r="D38">
        <v>814</v>
      </c>
      <c r="E38" s="23">
        <v>0.6744</v>
      </c>
      <c r="F38" s="23">
        <v>0.3256</v>
      </c>
      <c r="G38">
        <v>55</v>
      </c>
      <c r="H38">
        <v>1</v>
      </c>
      <c r="I38">
        <v>1686</v>
      </c>
      <c r="J38" s="27">
        <v>1</v>
      </c>
      <c r="K38">
        <v>13</v>
      </c>
      <c r="L38">
        <v>101.307692</v>
      </c>
      <c r="M38">
        <v>1146</v>
      </c>
      <c r="N38">
        <v>1</v>
      </c>
      <c r="O38">
        <v>1317</v>
      </c>
      <c r="P38" s="23">
        <v>0.78113900000000003</v>
      </c>
    </row>
    <row r="39" spans="1:16" x14ac:dyDescent="0.25">
      <c r="A39" t="s">
        <v>24</v>
      </c>
      <c r="B39" s="22">
        <v>214968120</v>
      </c>
      <c r="C39">
        <v>1783</v>
      </c>
      <c r="D39">
        <v>717</v>
      </c>
      <c r="E39" s="23">
        <v>0.71319999999999995</v>
      </c>
      <c r="F39" s="23">
        <v>0.2868</v>
      </c>
      <c r="G39">
        <v>55</v>
      </c>
      <c r="H39">
        <v>1</v>
      </c>
      <c r="I39">
        <v>1783</v>
      </c>
      <c r="J39" s="27">
        <v>1</v>
      </c>
      <c r="K39">
        <v>4</v>
      </c>
      <c r="L39">
        <v>370.5</v>
      </c>
      <c r="M39">
        <v>1414</v>
      </c>
      <c r="N39">
        <v>2</v>
      </c>
      <c r="O39">
        <v>1482</v>
      </c>
      <c r="P39" s="23">
        <v>0.83118300000000001</v>
      </c>
    </row>
    <row r="40" spans="1:16" x14ac:dyDescent="0.25">
      <c r="A40" t="s">
        <v>24</v>
      </c>
      <c r="B40" s="22">
        <v>1933193932</v>
      </c>
      <c r="C40">
        <v>1629</v>
      </c>
      <c r="D40">
        <v>871</v>
      </c>
      <c r="E40" s="23">
        <v>0.65159999999999996</v>
      </c>
      <c r="F40" s="23">
        <v>0.34839999999999999</v>
      </c>
      <c r="G40">
        <v>55</v>
      </c>
      <c r="H40">
        <v>1</v>
      </c>
      <c r="I40">
        <v>1629</v>
      </c>
      <c r="J40" s="27">
        <v>1</v>
      </c>
      <c r="K40">
        <v>10</v>
      </c>
      <c r="L40">
        <v>120.9</v>
      </c>
      <c r="M40">
        <v>854</v>
      </c>
      <c r="N40">
        <v>3</v>
      </c>
      <c r="O40">
        <v>1209</v>
      </c>
      <c r="P40" s="23">
        <v>0.74217299999999997</v>
      </c>
    </row>
    <row r="41" spans="1:16" x14ac:dyDescent="0.25">
      <c r="A41" t="s">
        <v>24</v>
      </c>
      <c r="B41" s="22">
        <v>452280097</v>
      </c>
      <c r="C41">
        <v>1707</v>
      </c>
      <c r="D41">
        <v>793</v>
      </c>
      <c r="E41" s="23">
        <v>0.68279999999999996</v>
      </c>
      <c r="F41" s="23">
        <v>0.31719999999999998</v>
      </c>
      <c r="G41">
        <v>50</v>
      </c>
      <c r="H41">
        <v>2</v>
      </c>
      <c r="I41">
        <v>1706</v>
      </c>
      <c r="J41" s="27">
        <v>0.99941400000000002</v>
      </c>
      <c r="K41">
        <v>2</v>
      </c>
      <c r="L41">
        <v>698.5</v>
      </c>
      <c r="M41">
        <v>1387</v>
      </c>
      <c r="N41">
        <v>10</v>
      </c>
      <c r="O41">
        <v>1397</v>
      </c>
      <c r="P41" s="23">
        <v>0.81839499999999998</v>
      </c>
    </row>
    <row r="42" spans="1:16" x14ac:dyDescent="0.25">
      <c r="A42" t="s">
        <v>24</v>
      </c>
      <c r="B42" s="22">
        <v>1926386765</v>
      </c>
      <c r="C42">
        <v>1725</v>
      </c>
      <c r="D42">
        <v>775</v>
      </c>
      <c r="E42" s="23">
        <v>0.69</v>
      </c>
      <c r="F42" s="23">
        <v>0.31</v>
      </c>
      <c r="G42">
        <v>53</v>
      </c>
      <c r="H42">
        <v>1</v>
      </c>
      <c r="I42">
        <v>1725</v>
      </c>
      <c r="J42" s="27">
        <v>1</v>
      </c>
      <c r="K42">
        <v>3</v>
      </c>
      <c r="L42">
        <v>460.66666700000002</v>
      </c>
      <c r="M42">
        <v>1316</v>
      </c>
      <c r="N42">
        <v>20</v>
      </c>
      <c r="O42">
        <v>1382</v>
      </c>
      <c r="P42" s="23">
        <v>0.80115899999999995</v>
      </c>
    </row>
    <row r="43" spans="1:16" x14ac:dyDescent="0.25">
      <c r="A43" t="s">
        <v>24</v>
      </c>
      <c r="B43" s="22">
        <v>519194273</v>
      </c>
      <c r="C43">
        <v>1599</v>
      </c>
      <c r="D43">
        <v>901</v>
      </c>
      <c r="E43" s="23">
        <v>0.63959999999999995</v>
      </c>
      <c r="F43" s="23">
        <v>0.3604</v>
      </c>
      <c r="G43">
        <v>58</v>
      </c>
      <c r="H43">
        <v>1</v>
      </c>
      <c r="I43">
        <v>1599</v>
      </c>
      <c r="J43" s="27">
        <v>1</v>
      </c>
      <c r="K43">
        <v>7</v>
      </c>
      <c r="L43">
        <v>166.85714300000001</v>
      </c>
      <c r="M43">
        <v>939</v>
      </c>
      <c r="N43">
        <v>1</v>
      </c>
      <c r="O43">
        <v>1168</v>
      </c>
      <c r="P43" s="23">
        <v>0.73045700000000002</v>
      </c>
    </row>
    <row r="44" spans="1:16" x14ac:dyDescent="0.25">
      <c r="A44" t="s">
        <v>24</v>
      </c>
      <c r="B44" s="22">
        <v>1375895047</v>
      </c>
      <c r="C44">
        <v>1679</v>
      </c>
      <c r="D44">
        <v>821</v>
      </c>
      <c r="E44" s="23">
        <v>0.67159999999999997</v>
      </c>
      <c r="F44" s="23">
        <v>0.32840000000000003</v>
      </c>
      <c r="G44">
        <v>55</v>
      </c>
      <c r="H44">
        <v>2</v>
      </c>
      <c r="I44">
        <v>1678</v>
      </c>
      <c r="J44" s="27">
        <v>0.99940399999999996</v>
      </c>
      <c r="K44">
        <v>6</v>
      </c>
      <c r="L44">
        <v>217</v>
      </c>
      <c r="M44">
        <v>1254</v>
      </c>
      <c r="N44">
        <v>1</v>
      </c>
      <c r="O44">
        <v>1302</v>
      </c>
      <c r="P44" s="23">
        <v>0.77546199999999998</v>
      </c>
    </row>
    <row r="45" spans="1:16" x14ac:dyDescent="0.25">
      <c r="A45" t="s">
        <v>24</v>
      </c>
      <c r="B45" s="22">
        <v>1516541259</v>
      </c>
      <c r="C45">
        <v>1745</v>
      </c>
      <c r="D45">
        <v>755</v>
      </c>
      <c r="E45" s="23">
        <v>0.69799999999999995</v>
      </c>
      <c r="F45" s="23">
        <v>0.30199999999999999</v>
      </c>
      <c r="G45">
        <v>57</v>
      </c>
      <c r="H45">
        <v>1</v>
      </c>
      <c r="I45">
        <v>1745</v>
      </c>
      <c r="J45" s="27">
        <v>1</v>
      </c>
      <c r="K45">
        <v>6</v>
      </c>
      <c r="L45">
        <v>228.5</v>
      </c>
      <c r="M45">
        <v>1333</v>
      </c>
      <c r="N45">
        <v>1</v>
      </c>
      <c r="O45">
        <v>1371</v>
      </c>
      <c r="P45" s="23">
        <v>0.78567299999999995</v>
      </c>
    </row>
    <row r="46" spans="1:16" x14ac:dyDescent="0.25">
      <c r="A46" t="s">
        <v>24</v>
      </c>
      <c r="B46" s="22">
        <v>1053597802</v>
      </c>
      <c r="C46">
        <v>1694</v>
      </c>
      <c r="D46">
        <v>806</v>
      </c>
      <c r="E46" s="23">
        <v>0.67759999999999998</v>
      </c>
      <c r="F46" s="23">
        <v>0.32240000000000002</v>
      </c>
      <c r="G46">
        <v>53</v>
      </c>
      <c r="H46">
        <v>1</v>
      </c>
      <c r="I46">
        <v>1694</v>
      </c>
      <c r="J46" s="27">
        <v>1</v>
      </c>
      <c r="K46">
        <v>6</v>
      </c>
      <c r="L46">
        <v>220.83333300000001</v>
      </c>
      <c r="M46">
        <v>1288</v>
      </c>
      <c r="N46">
        <v>1</v>
      </c>
      <c r="O46">
        <v>1325</v>
      </c>
      <c r="P46" s="23">
        <v>0.78217199999999998</v>
      </c>
    </row>
    <row r="47" spans="1:16" x14ac:dyDescent="0.25">
      <c r="A47" t="s">
        <v>24</v>
      </c>
      <c r="B47" s="22">
        <v>167922858</v>
      </c>
      <c r="C47">
        <v>1705</v>
      </c>
      <c r="D47">
        <v>795</v>
      </c>
      <c r="E47" s="23">
        <v>0.68200000000000005</v>
      </c>
      <c r="F47" s="23">
        <v>0.318</v>
      </c>
      <c r="G47">
        <v>53</v>
      </c>
      <c r="H47">
        <v>1</v>
      </c>
      <c r="I47">
        <v>1705</v>
      </c>
      <c r="J47" s="27">
        <v>1</v>
      </c>
      <c r="K47">
        <v>9</v>
      </c>
      <c r="L47">
        <v>147.22222199999999</v>
      </c>
      <c r="M47">
        <v>1126</v>
      </c>
      <c r="N47">
        <v>3</v>
      </c>
      <c r="O47">
        <v>1325</v>
      </c>
      <c r="P47" s="23">
        <v>0.77712599999999998</v>
      </c>
    </row>
    <row r="48" spans="1:16" x14ac:dyDescent="0.25">
      <c r="A48" t="s">
        <v>24</v>
      </c>
      <c r="B48" s="22">
        <v>532664826</v>
      </c>
      <c r="C48">
        <v>1621</v>
      </c>
      <c r="D48">
        <v>879</v>
      </c>
      <c r="E48" s="23">
        <v>0.64839999999999998</v>
      </c>
      <c r="F48" s="23">
        <v>0.35160000000000002</v>
      </c>
      <c r="G48">
        <v>53</v>
      </c>
      <c r="H48">
        <v>2</v>
      </c>
      <c r="I48">
        <v>1615</v>
      </c>
      <c r="J48" s="27">
        <v>0.99629900000000005</v>
      </c>
      <c r="K48">
        <v>8</v>
      </c>
      <c r="L48">
        <v>148.75</v>
      </c>
      <c r="M48">
        <v>933</v>
      </c>
      <c r="N48">
        <v>2</v>
      </c>
      <c r="O48">
        <v>1190</v>
      </c>
      <c r="P48" s="23">
        <v>0.73411499999999996</v>
      </c>
    </row>
    <row r="49" spans="1:16" x14ac:dyDescent="0.25">
      <c r="A49" t="s">
        <v>24</v>
      </c>
      <c r="B49" s="22">
        <v>1842422277</v>
      </c>
      <c r="C49">
        <v>1713</v>
      </c>
      <c r="D49">
        <v>787</v>
      </c>
      <c r="E49" s="23">
        <v>0.68520000000000003</v>
      </c>
      <c r="F49" s="23">
        <v>0.31480000000000002</v>
      </c>
      <c r="G49">
        <v>55</v>
      </c>
      <c r="H49">
        <v>1</v>
      </c>
      <c r="I49">
        <v>1713</v>
      </c>
      <c r="J49" s="27">
        <v>1</v>
      </c>
      <c r="K49">
        <v>4</v>
      </c>
      <c r="L49">
        <v>342</v>
      </c>
      <c r="M49">
        <v>1358</v>
      </c>
      <c r="N49">
        <v>1</v>
      </c>
      <c r="O49">
        <v>1368</v>
      </c>
      <c r="P49" s="23">
        <v>0.79859899999999995</v>
      </c>
    </row>
    <row r="50" spans="1:16" x14ac:dyDescent="0.25">
      <c r="A50" t="s">
        <v>24</v>
      </c>
      <c r="B50" s="22">
        <v>1496771816</v>
      </c>
      <c r="C50">
        <v>1710</v>
      </c>
      <c r="D50">
        <v>790</v>
      </c>
      <c r="E50" s="23">
        <v>0.68400000000000005</v>
      </c>
      <c r="F50" s="23">
        <v>0.316</v>
      </c>
      <c r="G50">
        <v>54</v>
      </c>
      <c r="H50">
        <v>2</v>
      </c>
      <c r="I50">
        <v>1709</v>
      </c>
      <c r="J50" s="27">
        <v>0.99941500000000005</v>
      </c>
      <c r="K50">
        <v>10</v>
      </c>
      <c r="L50">
        <v>132.19999999999999</v>
      </c>
      <c r="M50">
        <v>1140</v>
      </c>
      <c r="N50">
        <v>1</v>
      </c>
      <c r="O50">
        <v>1322</v>
      </c>
      <c r="P50" s="23">
        <v>0.77309899999999998</v>
      </c>
    </row>
    <row r="51" spans="1:16" x14ac:dyDescent="0.25">
      <c r="A51" t="s">
        <v>24</v>
      </c>
      <c r="B51" s="22">
        <v>1208871875</v>
      </c>
      <c r="C51">
        <v>1676</v>
      </c>
      <c r="D51">
        <v>824</v>
      </c>
      <c r="E51" s="23">
        <v>0.6704</v>
      </c>
      <c r="F51" s="23">
        <v>0.3296</v>
      </c>
      <c r="G51">
        <v>59</v>
      </c>
      <c r="H51">
        <v>2</v>
      </c>
      <c r="I51">
        <v>1675</v>
      </c>
      <c r="J51" s="27">
        <v>0.99940300000000004</v>
      </c>
      <c r="K51">
        <v>6</v>
      </c>
      <c r="L51">
        <v>216</v>
      </c>
      <c r="M51">
        <v>1243</v>
      </c>
      <c r="N51">
        <v>1</v>
      </c>
      <c r="O51">
        <v>1296</v>
      </c>
      <c r="P51" s="23">
        <v>0.77327000000000001</v>
      </c>
    </row>
    <row r="52" spans="1:16" x14ac:dyDescent="0.25">
      <c r="A52" t="s">
        <v>26</v>
      </c>
      <c r="B52"/>
      <c r="C52">
        <f>SUBTOTAL(101,CA4_wall50_it1_neigh3[floors])</f>
        <v>1691.94</v>
      </c>
      <c r="D52">
        <f>SUBTOTAL(101,CA4_wall50_it1_neigh3[walls])</f>
        <v>808.06</v>
      </c>
      <c r="E52" s="24">
        <f>SUBTOTAL(101,CA4_wall50_it1_neigh3[floor_percent])</f>
        <v>0.67677600000000016</v>
      </c>
      <c r="F52" s="24">
        <f>SUBTOTAL(101,CA4_wall50_it1_neigh3[wall_percent])</f>
        <v>0.32322399999999996</v>
      </c>
      <c r="G52">
        <f>SUBTOTAL(101,CA4_wall50_it1_neigh3[longest_shortest_path])</f>
        <v>54.38</v>
      </c>
      <c r="H52">
        <f>SUBTOTAL(101,CA4_wall50_it1_neigh3[component_count])</f>
        <v>1.54</v>
      </c>
      <c r="I52">
        <f>SUBTOTAL(101,CA4_wall50_it1_neigh3[max_component_size])</f>
        <v>1691.06</v>
      </c>
      <c r="J52">
        <f>SUBTOTAL(101,CA4_wall50_it1_neigh3[connectivity_ratio])</f>
        <v>0.99947809999999992</v>
      </c>
      <c r="K52">
        <f>SUBTOTAL(101,CA4_wall50_it1_neigh3[room_count])</f>
        <v>6.36</v>
      </c>
      <c r="L52">
        <f>SUBTOTAL(101,CA4_wall50_it1_neigh3[avg_room_size])</f>
        <v>254.06151386000002</v>
      </c>
      <c r="M52">
        <f>SUBTOTAL(101,CA4_wall50_it1_neigh3[max_room_size])</f>
        <v>1207.0999999999999</v>
      </c>
      <c r="N52">
        <f>SUBTOTAL(101,CA4_wall50_it1_neigh3[min_room_size])</f>
        <v>2.78</v>
      </c>
      <c r="O52">
        <f>SUBTOTAL(101,CA4_wall50_it1_neigh3[room_tiles])</f>
        <v>1320.6</v>
      </c>
      <c r="P52" s="24">
        <f>SUBTOTAL(101,CA4_wall50_it1_neigh3[room_ratio])</f>
        <v>0.7800559600000001</v>
      </c>
    </row>
    <row r="53" spans="1:16" x14ac:dyDescent="0.25">
      <c r="A53" s="26" t="s">
        <v>40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75E1-3861-4A82-ABC4-CD4D4FD4CC07}">
  <dimension ref="A1:P53"/>
  <sheetViews>
    <sheetView topLeftCell="A22" workbookViewId="0">
      <selection activeCell="G53" sqref="G53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402226727</v>
      </c>
      <c r="C2">
        <v>2403</v>
      </c>
      <c r="D2">
        <v>97</v>
      </c>
      <c r="E2" s="23">
        <v>0.96120000000000005</v>
      </c>
      <c r="F2" s="23">
        <v>3.8800000000000001E-2</v>
      </c>
      <c r="G2">
        <v>49</v>
      </c>
      <c r="H2">
        <v>1</v>
      </c>
      <c r="I2">
        <v>2403</v>
      </c>
      <c r="J2">
        <v>1</v>
      </c>
      <c r="K2">
        <v>1</v>
      </c>
      <c r="L2">
        <v>2349</v>
      </c>
      <c r="M2">
        <v>2349</v>
      </c>
      <c r="N2">
        <v>2349</v>
      </c>
      <c r="O2">
        <v>2349</v>
      </c>
      <c r="P2" s="23">
        <v>0.97752799999999995</v>
      </c>
    </row>
    <row r="3" spans="1:16" x14ac:dyDescent="0.25">
      <c r="A3" t="s">
        <v>24</v>
      </c>
      <c r="B3" s="22">
        <v>390707466</v>
      </c>
      <c r="C3">
        <v>2446</v>
      </c>
      <c r="D3">
        <v>54</v>
      </c>
      <c r="E3" s="23">
        <v>0.97840000000000005</v>
      </c>
      <c r="F3" s="23">
        <v>2.1600000000000001E-2</v>
      </c>
      <c r="G3">
        <v>50</v>
      </c>
      <c r="H3">
        <v>1</v>
      </c>
      <c r="I3">
        <v>2446</v>
      </c>
      <c r="J3">
        <v>1</v>
      </c>
      <c r="K3">
        <v>1</v>
      </c>
      <c r="L3">
        <v>2416</v>
      </c>
      <c r="M3">
        <v>2416</v>
      </c>
      <c r="N3">
        <v>2416</v>
      </c>
      <c r="O3">
        <v>2416</v>
      </c>
      <c r="P3" s="23">
        <v>0.98773500000000003</v>
      </c>
    </row>
    <row r="4" spans="1:16" x14ac:dyDescent="0.25">
      <c r="A4" t="s">
        <v>24</v>
      </c>
      <c r="B4" s="22">
        <v>955763744</v>
      </c>
      <c r="C4">
        <v>2416</v>
      </c>
      <c r="D4">
        <v>84</v>
      </c>
      <c r="E4" s="23">
        <v>0.96640000000000004</v>
      </c>
      <c r="F4" s="23">
        <v>3.3599999999999998E-2</v>
      </c>
      <c r="G4">
        <v>49</v>
      </c>
      <c r="H4">
        <v>1</v>
      </c>
      <c r="I4">
        <v>2416</v>
      </c>
      <c r="J4">
        <v>1</v>
      </c>
      <c r="K4">
        <v>1</v>
      </c>
      <c r="L4">
        <v>2361</v>
      </c>
      <c r="M4">
        <v>2361</v>
      </c>
      <c r="N4">
        <v>2361</v>
      </c>
      <c r="O4">
        <v>2361</v>
      </c>
      <c r="P4" s="23">
        <v>0.97723499999999996</v>
      </c>
    </row>
    <row r="5" spans="1:16" x14ac:dyDescent="0.25">
      <c r="A5" t="s">
        <v>24</v>
      </c>
      <c r="B5" s="22">
        <v>795650474</v>
      </c>
      <c r="C5">
        <v>2408</v>
      </c>
      <c r="D5">
        <v>92</v>
      </c>
      <c r="E5" s="23">
        <v>0.96319999999999995</v>
      </c>
      <c r="F5" s="23">
        <v>3.6799999999999999E-2</v>
      </c>
      <c r="G5">
        <v>51</v>
      </c>
      <c r="H5">
        <v>1</v>
      </c>
      <c r="I5">
        <v>2408</v>
      </c>
      <c r="J5">
        <v>1</v>
      </c>
      <c r="K5">
        <v>1</v>
      </c>
      <c r="L5">
        <v>2359</v>
      </c>
      <c r="M5">
        <v>2359</v>
      </c>
      <c r="N5">
        <v>2359</v>
      </c>
      <c r="O5">
        <v>2359</v>
      </c>
      <c r="P5" s="23">
        <v>0.97965100000000005</v>
      </c>
    </row>
    <row r="6" spans="1:16" x14ac:dyDescent="0.25">
      <c r="A6" t="s">
        <v>24</v>
      </c>
      <c r="B6" s="22">
        <v>148525143</v>
      </c>
      <c r="C6">
        <v>2424</v>
      </c>
      <c r="D6">
        <v>76</v>
      </c>
      <c r="E6" s="23">
        <v>0.96960000000000002</v>
      </c>
      <c r="F6" s="23">
        <v>3.04E-2</v>
      </c>
      <c r="G6">
        <v>49</v>
      </c>
      <c r="H6">
        <v>1</v>
      </c>
      <c r="I6">
        <v>2424</v>
      </c>
      <c r="J6">
        <v>1</v>
      </c>
      <c r="K6">
        <v>1</v>
      </c>
      <c r="L6">
        <v>2373</v>
      </c>
      <c r="M6">
        <v>2373</v>
      </c>
      <c r="N6">
        <v>2373</v>
      </c>
      <c r="O6">
        <v>2373</v>
      </c>
      <c r="P6" s="23">
        <v>0.97896000000000005</v>
      </c>
    </row>
    <row r="7" spans="1:16" x14ac:dyDescent="0.25">
      <c r="A7" t="s">
        <v>24</v>
      </c>
      <c r="B7" s="22">
        <v>1869267421</v>
      </c>
      <c r="C7">
        <v>2408</v>
      </c>
      <c r="D7">
        <v>92</v>
      </c>
      <c r="E7" s="23">
        <v>0.96319999999999995</v>
      </c>
      <c r="F7" s="23">
        <v>3.6799999999999999E-2</v>
      </c>
      <c r="G7">
        <v>50</v>
      </c>
      <c r="H7">
        <v>1</v>
      </c>
      <c r="I7">
        <v>2408</v>
      </c>
      <c r="J7">
        <v>1</v>
      </c>
      <c r="K7">
        <v>1</v>
      </c>
      <c r="L7">
        <v>2361</v>
      </c>
      <c r="M7">
        <v>2361</v>
      </c>
      <c r="N7">
        <v>2361</v>
      </c>
      <c r="O7">
        <v>2361</v>
      </c>
      <c r="P7" s="23">
        <v>0.98048199999999996</v>
      </c>
    </row>
    <row r="8" spans="1:16" x14ac:dyDescent="0.25">
      <c r="A8" t="s">
        <v>24</v>
      </c>
      <c r="B8" s="22">
        <v>1655665045</v>
      </c>
      <c r="C8">
        <v>2417</v>
      </c>
      <c r="D8">
        <v>83</v>
      </c>
      <c r="E8" s="23">
        <v>0.96679999999999999</v>
      </c>
      <c r="F8" s="23">
        <v>3.32E-2</v>
      </c>
      <c r="G8">
        <v>50</v>
      </c>
      <c r="H8">
        <v>1</v>
      </c>
      <c r="I8">
        <v>2417</v>
      </c>
      <c r="J8">
        <v>1</v>
      </c>
      <c r="K8">
        <v>1</v>
      </c>
      <c r="L8">
        <v>2372</v>
      </c>
      <c r="M8">
        <v>2372</v>
      </c>
      <c r="N8">
        <v>2372</v>
      </c>
      <c r="O8">
        <v>2372</v>
      </c>
      <c r="P8" s="23">
        <v>0.98138199999999998</v>
      </c>
    </row>
    <row r="9" spans="1:16" x14ac:dyDescent="0.25">
      <c r="A9" t="s">
        <v>24</v>
      </c>
      <c r="B9" s="22">
        <v>1045294846</v>
      </c>
      <c r="C9">
        <v>2420</v>
      </c>
      <c r="D9">
        <v>80</v>
      </c>
      <c r="E9" s="23">
        <v>0.96799999999999997</v>
      </c>
      <c r="F9" s="23">
        <v>3.2000000000000001E-2</v>
      </c>
      <c r="G9">
        <v>49</v>
      </c>
      <c r="H9">
        <v>1</v>
      </c>
      <c r="I9">
        <v>2420</v>
      </c>
      <c r="J9">
        <v>1</v>
      </c>
      <c r="K9">
        <v>1</v>
      </c>
      <c r="L9">
        <v>2373</v>
      </c>
      <c r="M9">
        <v>2373</v>
      </c>
      <c r="N9">
        <v>2373</v>
      </c>
      <c r="O9">
        <v>2373</v>
      </c>
      <c r="P9" s="23">
        <v>0.98057899999999998</v>
      </c>
    </row>
    <row r="10" spans="1:16" x14ac:dyDescent="0.25">
      <c r="A10" t="s">
        <v>24</v>
      </c>
      <c r="B10" s="22">
        <v>1509865843</v>
      </c>
      <c r="C10">
        <v>2430</v>
      </c>
      <c r="D10">
        <v>70</v>
      </c>
      <c r="E10" s="23">
        <v>0.97199999999999998</v>
      </c>
      <c r="F10" s="23">
        <v>2.8000000000000001E-2</v>
      </c>
      <c r="G10">
        <v>50</v>
      </c>
      <c r="H10">
        <v>1</v>
      </c>
      <c r="I10">
        <v>2430</v>
      </c>
      <c r="J10">
        <v>1</v>
      </c>
      <c r="K10">
        <v>1</v>
      </c>
      <c r="L10">
        <v>2400</v>
      </c>
      <c r="M10">
        <v>2400</v>
      </c>
      <c r="N10">
        <v>2400</v>
      </c>
      <c r="O10">
        <v>2400</v>
      </c>
      <c r="P10" s="23">
        <v>0.98765400000000003</v>
      </c>
    </row>
    <row r="11" spans="1:16" x14ac:dyDescent="0.25">
      <c r="A11" t="s">
        <v>24</v>
      </c>
      <c r="B11" s="22">
        <v>1520309196</v>
      </c>
      <c r="C11">
        <v>2429</v>
      </c>
      <c r="D11">
        <v>71</v>
      </c>
      <c r="E11" s="23">
        <v>0.97160000000000002</v>
      </c>
      <c r="F11" s="23">
        <v>2.8400000000000002E-2</v>
      </c>
      <c r="G11">
        <v>49</v>
      </c>
      <c r="H11">
        <v>1</v>
      </c>
      <c r="I11">
        <v>2429</v>
      </c>
      <c r="J11">
        <v>1</v>
      </c>
      <c r="K11">
        <v>1</v>
      </c>
      <c r="L11">
        <v>2379</v>
      </c>
      <c r="M11">
        <v>2379</v>
      </c>
      <c r="N11">
        <v>2379</v>
      </c>
      <c r="O11">
        <v>2379</v>
      </c>
      <c r="P11" s="23">
        <v>0.97941500000000004</v>
      </c>
    </row>
    <row r="12" spans="1:16" x14ac:dyDescent="0.25">
      <c r="A12" t="s">
        <v>24</v>
      </c>
      <c r="B12" s="22">
        <v>850530725</v>
      </c>
      <c r="C12">
        <v>2435</v>
      </c>
      <c r="D12">
        <v>65</v>
      </c>
      <c r="E12" s="23">
        <v>0.97399999999999998</v>
      </c>
      <c r="F12" s="23">
        <v>2.5999999999999999E-2</v>
      </c>
      <c r="G12">
        <v>50</v>
      </c>
      <c r="H12">
        <v>1</v>
      </c>
      <c r="I12">
        <v>2435</v>
      </c>
      <c r="J12">
        <v>1</v>
      </c>
      <c r="K12">
        <v>1</v>
      </c>
      <c r="L12">
        <v>2386</v>
      </c>
      <c r="M12">
        <v>2386</v>
      </c>
      <c r="N12">
        <v>2386</v>
      </c>
      <c r="O12">
        <v>2386</v>
      </c>
      <c r="P12" s="23">
        <v>0.979877</v>
      </c>
    </row>
    <row r="13" spans="1:16" x14ac:dyDescent="0.25">
      <c r="A13" t="s">
        <v>24</v>
      </c>
      <c r="B13" s="22">
        <v>1614787657</v>
      </c>
      <c r="C13">
        <v>2409</v>
      </c>
      <c r="D13">
        <v>91</v>
      </c>
      <c r="E13" s="23">
        <v>0.96360000000000001</v>
      </c>
      <c r="F13" s="23">
        <v>3.6400000000000002E-2</v>
      </c>
      <c r="G13">
        <v>50</v>
      </c>
      <c r="H13">
        <v>1</v>
      </c>
      <c r="I13">
        <v>2409</v>
      </c>
      <c r="J13">
        <v>1</v>
      </c>
      <c r="K13">
        <v>1</v>
      </c>
      <c r="L13">
        <v>2357</v>
      </c>
      <c r="M13">
        <v>2357</v>
      </c>
      <c r="N13">
        <v>2357</v>
      </c>
      <c r="O13">
        <v>2357</v>
      </c>
      <c r="P13" s="23">
        <v>0.97841400000000001</v>
      </c>
    </row>
    <row r="14" spans="1:16" x14ac:dyDescent="0.25">
      <c r="A14" t="s">
        <v>24</v>
      </c>
      <c r="B14" s="22">
        <v>382654383</v>
      </c>
      <c r="C14">
        <v>2432</v>
      </c>
      <c r="D14">
        <v>68</v>
      </c>
      <c r="E14" s="23">
        <v>0.9728</v>
      </c>
      <c r="F14" s="23">
        <v>2.7199999999999998E-2</v>
      </c>
      <c r="G14">
        <v>50</v>
      </c>
      <c r="H14">
        <v>1</v>
      </c>
      <c r="I14">
        <v>2432</v>
      </c>
      <c r="J14">
        <v>1</v>
      </c>
      <c r="K14">
        <v>1</v>
      </c>
      <c r="L14">
        <v>2395</v>
      </c>
      <c r="M14">
        <v>2395</v>
      </c>
      <c r="N14">
        <v>2395</v>
      </c>
      <c r="O14">
        <v>2395</v>
      </c>
      <c r="P14" s="23">
        <v>0.98478600000000005</v>
      </c>
    </row>
    <row r="15" spans="1:16" x14ac:dyDescent="0.25">
      <c r="A15" t="s">
        <v>24</v>
      </c>
      <c r="B15" s="22">
        <v>1915441191</v>
      </c>
      <c r="C15">
        <v>2437</v>
      </c>
      <c r="D15">
        <v>63</v>
      </c>
      <c r="E15" s="23">
        <v>0.9748</v>
      </c>
      <c r="F15" s="23">
        <v>2.52E-2</v>
      </c>
      <c r="G15">
        <v>50</v>
      </c>
      <c r="H15">
        <v>1</v>
      </c>
      <c r="I15">
        <v>2437</v>
      </c>
      <c r="J15">
        <v>1</v>
      </c>
      <c r="K15">
        <v>1</v>
      </c>
      <c r="L15">
        <v>2395</v>
      </c>
      <c r="M15">
        <v>2395</v>
      </c>
      <c r="N15">
        <v>2395</v>
      </c>
      <c r="O15">
        <v>2395</v>
      </c>
      <c r="P15" s="23">
        <v>0.98276600000000003</v>
      </c>
    </row>
    <row r="16" spans="1:16" x14ac:dyDescent="0.25">
      <c r="A16" t="s">
        <v>24</v>
      </c>
      <c r="B16" s="22">
        <v>211152820</v>
      </c>
      <c r="C16">
        <v>2430</v>
      </c>
      <c r="D16">
        <v>70</v>
      </c>
      <c r="E16" s="23">
        <v>0.97199999999999998</v>
      </c>
      <c r="F16" s="23">
        <v>2.8000000000000001E-2</v>
      </c>
      <c r="G16">
        <v>49</v>
      </c>
      <c r="H16">
        <v>1</v>
      </c>
      <c r="I16">
        <v>2430</v>
      </c>
      <c r="J16">
        <v>1</v>
      </c>
      <c r="K16">
        <v>1</v>
      </c>
      <c r="L16">
        <v>2383</v>
      </c>
      <c r="M16">
        <v>2383</v>
      </c>
      <c r="N16">
        <v>2383</v>
      </c>
      <c r="O16">
        <v>2383</v>
      </c>
      <c r="P16" s="23">
        <v>0.98065800000000003</v>
      </c>
    </row>
    <row r="17" spans="1:16" x14ac:dyDescent="0.25">
      <c r="A17" t="s">
        <v>24</v>
      </c>
      <c r="B17" s="22">
        <v>1425992306</v>
      </c>
      <c r="C17">
        <v>2422</v>
      </c>
      <c r="D17">
        <v>78</v>
      </c>
      <c r="E17" s="23">
        <v>0.96879999999999999</v>
      </c>
      <c r="F17" s="23">
        <v>3.1199999999999999E-2</v>
      </c>
      <c r="G17">
        <v>49</v>
      </c>
      <c r="H17">
        <v>1</v>
      </c>
      <c r="I17">
        <v>2422</v>
      </c>
      <c r="J17">
        <v>1</v>
      </c>
      <c r="K17">
        <v>1</v>
      </c>
      <c r="L17">
        <v>2382</v>
      </c>
      <c r="M17">
        <v>2382</v>
      </c>
      <c r="N17">
        <v>2382</v>
      </c>
      <c r="O17">
        <v>2382</v>
      </c>
      <c r="P17" s="23">
        <v>0.98348500000000005</v>
      </c>
    </row>
    <row r="18" spans="1:16" x14ac:dyDescent="0.25">
      <c r="A18" t="s">
        <v>24</v>
      </c>
      <c r="B18" s="22">
        <v>1523708088</v>
      </c>
      <c r="C18">
        <v>2442</v>
      </c>
      <c r="D18">
        <v>58</v>
      </c>
      <c r="E18" s="23">
        <v>0.9768</v>
      </c>
      <c r="F18" s="23">
        <v>2.3199999999999998E-2</v>
      </c>
      <c r="G18">
        <v>49</v>
      </c>
      <c r="H18">
        <v>1</v>
      </c>
      <c r="I18">
        <v>2442</v>
      </c>
      <c r="J18">
        <v>1</v>
      </c>
      <c r="K18">
        <v>1</v>
      </c>
      <c r="L18">
        <v>2414</v>
      </c>
      <c r="M18">
        <v>2414</v>
      </c>
      <c r="N18">
        <v>2414</v>
      </c>
      <c r="O18">
        <v>2414</v>
      </c>
      <c r="P18" s="23">
        <v>0.98853400000000002</v>
      </c>
    </row>
    <row r="19" spans="1:16" x14ac:dyDescent="0.25">
      <c r="A19" t="s">
        <v>24</v>
      </c>
      <c r="B19" s="22">
        <v>720485351</v>
      </c>
      <c r="C19">
        <v>2429</v>
      </c>
      <c r="D19">
        <v>71</v>
      </c>
      <c r="E19" s="23">
        <v>0.97160000000000002</v>
      </c>
      <c r="F19" s="23">
        <v>2.8400000000000002E-2</v>
      </c>
      <c r="G19">
        <v>50</v>
      </c>
      <c r="H19">
        <v>1</v>
      </c>
      <c r="I19">
        <v>2429</v>
      </c>
      <c r="J19">
        <v>1</v>
      </c>
      <c r="K19">
        <v>1</v>
      </c>
      <c r="L19">
        <v>2379</v>
      </c>
      <c r="M19">
        <v>2379</v>
      </c>
      <c r="N19">
        <v>2379</v>
      </c>
      <c r="O19">
        <v>2379</v>
      </c>
      <c r="P19" s="23">
        <v>0.97941500000000004</v>
      </c>
    </row>
    <row r="20" spans="1:16" x14ac:dyDescent="0.25">
      <c r="A20" t="s">
        <v>24</v>
      </c>
      <c r="B20" s="22">
        <v>2066020229</v>
      </c>
      <c r="C20">
        <v>2429</v>
      </c>
      <c r="D20">
        <v>71</v>
      </c>
      <c r="E20" s="23">
        <v>0.97160000000000002</v>
      </c>
      <c r="F20" s="23">
        <v>2.8400000000000002E-2</v>
      </c>
      <c r="G20">
        <v>50</v>
      </c>
      <c r="H20">
        <v>1</v>
      </c>
      <c r="I20">
        <v>2429</v>
      </c>
      <c r="J20">
        <v>1</v>
      </c>
      <c r="K20">
        <v>1</v>
      </c>
      <c r="L20">
        <v>2385</v>
      </c>
      <c r="M20">
        <v>2385</v>
      </c>
      <c r="N20">
        <v>2385</v>
      </c>
      <c r="O20">
        <v>2385</v>
      </c>
      <c r="P20" s="23">
        <v>0.98188600000000004</v>
      </c>
    </row>
    <row r="21" spans="1:16" x14ac:dyDescent="0.25">
      <c r="A21" t="s">
        <v>24</v>
      </c>
      <c r="B21" s="22">
        <v>594166686</v>
      </c>
      <c r="C21">
        <v>2453</v>
      </c>
      <c r="D21">
        <v>47</v>
      </c>
      <c r="E21" s="23">
        <v>0.98119999999999996</v>
      </c>
      <c r="F21" s="23">
        <v>1.8800000000000001E-2</v>
      </c>
      <c r="G21">
        <v>49</v>
      </c>
      <c r="H21">
        <v>1</v>
      </c>
      <c r="I21">
        <v>2453</v>
      </c>
      <c r="J21">
        <v>1</v>
      </c>
      <c r="K21">
        <v>1</v>
      </c>
      <c r="L21">
        <v>2414</v>
      </c>
      <c r="M21">
        <v>2414</v>
      </c>
      <c r="N21">
        <v>2414</v>
      </c>
      <c r="O21">
        <v>2414</v>
      </c>
      <c r="P21" s="23">
        <v>0.984101</v>
      </c>
    </row>
    <row r="22" spans="1:16" x14ac:dyDescent="0.25">
      <c r="A22" t="s">
        <v>24</v>
      </c>
      <c r="B22" s="22">
        <v>1415094111</v>
      </c>
      <c r="C22">
        <v>2415</v>
      </c>
      <c r="D22">
        <v>85</v>
      </c>
      <c r="E22" s="23">
        <v>0.96599999999999997</v>
      </c>
      <c r="F22" s="23">
        <v>3.4000000000000002E-2</v>
      </c>
      <c r="G22">
        <v>50</v>
      </c>
      <c r="H22">
        <v>1</v>
      </c>
      <c r="I22">
        <v>2415</v>
      </c>
      <c r="J22">
        <v>1</v>
      </c>
      <c r="K22">
        <v>1</v>
      </c>
      <c r="L22">
        <v>2355</v>
      </c>
      <c r="M22">
        <v>2355</v>
      </c>
      <c r="N22">
        <v>2355</v>
      </c>
      <c r="O22">
        <v>2355</v>
      </c>
      <c r="P22" s="23">
        <v>0.97515499999999999</v>
      </c>
    </row>
    <row r="23" spans="1:16" x14ac:dyDescent="0.25">
      <c r="A23" t="s">
        <v>24</v>
      </c>
      <c r="B23" s="22">
        <v>700384785</v>
      </c>
      <c r="C23">
        <v>2424</v>
      </c>
      <c r="D23">
        <v>76</v>
      </c>
      <c r="E23" s="23">
        <v>0.96960000000000002</v>
      </c>
      <c r="F23" s="23">
        <v>3.04E-2</v>
      </c>
      <c r="G23">
        <v>49</v>
      </c>
      <c r="H23">
        <v>1</v>
      </c>
      <c r="I23">
        <v>2424</v>
      </c>
      <c r="J23">
        <v>1</v>
      </c>
      <c r="K23">
        <v>1</v>
      </c>
      <c r="L23">
        <v>2383</v>
      </c>
      <c r="M23">
        <v>2383</v>
      </c>
      <c r="N23">
        <v>2383</v>
      </c>
      <c r="O23">
        <v>2383</v>
      </c>
      <c r="P23" s="23">
        <v>0.98308600000000002</v>
      </c>
    </row>
    <row r="24" spans="1:16" x14ac:dyDescent="0.25">
      <c r="A24" t="s">
        <v>24</v>
      </c>
      <c r="B24" s="22">
        <v>509015584</v>
      </c>
      <c r="C24">
        <v>2437</v>
      </c>
      <c r="D24">
        <v>63</v>
      </c>
      <c r="E24" s="23">
        <v>0.9748</v>
      </c>
      <c r="F24" s="23">
        <v>2.52E-2</v>
      </c>
      <c r="G24">
        <v>50</v>
      </c>
      <c r="H24">
        <v>1</v>
      </c>
      <c r="I24">
        <v>2437</v>
      </c>
      <c r="J24">
        <v>1</v>
      </c>
      <c r="K24">
        <v>1</v>
      </c>
      <c r="L24">
        <v>2404</v>
      </c>
      <c r="M24">
        <v>2404</v>
      </c>
      <c r="N24">
        <v>2404</v>
      </c>
      <c r="O24">
        <v>2404</v>
      </c>
      <c r="P24" s="23">
        <v>0.98645899999999997</v>
      </c>
    </row>
    <row r="25" spans="1:16" x14ac:dyDescent="0.25">
      <c r="A25" t="s">
        <v>24</v>
      </c>
      <c r="B25" s="22">
        <v>935015465</v>
      </c>
      <c r="C25">
        <v>2421</v>
      </c>
      <c r="D25">
        <v>79</v>
      </c>
      <c r="E25" s="23">
        <v>0.96840000000000004</v>
      </c>
      <c r="F25" s="23">
        <v>3.1600000000000003E-2</v>
      </c>
      <c r="G25">
        <v>49</v>
      </c>
      <c r="H25">
        <v>1</v>
      </c>
      <c r="I25">
        <v>2421</v>
      </c>
      <c r="J25">
        <v>1</v>
      </c>
      <c r="K25">
        <v>1</v>
      </c>
      <c r="L25">
        <v>2365</v>
      </c>
      <c r="M25">
        <v>2365</v>
      </c>
      <c r="N25">
        <v>2365</v>
      </c>
      <c r="O25">
        <v>2365</v>
      </c>
      <c r="P25" s="23">
        <v>0.97686899999999999</v>
      </c>
    </row>
    <row r="26" spans="1:16" x14ac:dyDescent="0.25">
      <c r="A26" t="s">
        <v>24</v>
      </c>
      <c r="B26" s="22">
        <v>1380349489</v>
      </c>
      <c r="C26">
        <v>2426</v>
      </c>
      <c r="D26">
        <v>74</v>
      </c>
      <c r="E26" s="23">
        <v>0.97040000000000004</v>
      </c>
      <c r="F26" s="23">
        <v>2.9600000000000001E-2</v>
      </c>
      <c r="G26">
        <v>50</v>
      </c>
      <c r="H26">
        <v>1</v>
      </c>
      <c r="I26">
        <v>2426</v>
      </c>
      <c r="J26">
        <v>1</v>
      </c>
      <c r="K26">
        <v>1</v>
      </c>
      <c r="L26">
        <v>2386</v>
      </c>
      <c r="M26">
        <v>2386</v>
      </c>
      <c r="N26">
        <v>2386</v>
      </c>
      <c r="O26">
        <v>2386</v>
      </c>
      <c r="P26" s="23">
        <v>0.98351200000000005</v>
      </c>
    </row>
    <row r="27" spans="1:16" x14ac:dyDescent="0.25">
      <c r="A27" t="s">
        <v>24</v>
      </c>
      <c r="B27" s="22">
        <v>922687515</v>
      </c>
      <c r="C27">
        <v>2441</v>
      </c>
      <c r="D27">
        <v>59</v>
      </c>
      <c r="E27" s="23">
        <v>0.97640000000000005</v>
      </c>
      <c r="F27" s="23">
        <v>2.3599999999999999E-2</v>
      </c>
      <c r="G27">
        <v>50</v>
      </c>
      <c r="H27">
        <v>1</v>
      </c>
      <c r="I27">
        <v>2441</v>
      </c>
      <c r="J27">
        <v>1</v>
      </c>
      <c r="K27">
        <v>1</v>
      </c>
      <c r="L27">
        <v>2403</v>
      </c>
      <c r="M27">
        <v>2403</v>
      </c>
      <c r="N27">
        <v>2403</v>
      </c>
      <c r="O27">
        <v>2403</v>
      </c>
      <c r="P27" s="23">
        <v>0.984433</v>
      </c>
    </row>
    <row r="28" spans="1:16" x14ac:dyDescent="0.25">
      <c r="A28" t="s">
        <v>24</v>
      </c>
      <c r="B28" s="22">
        <v>520946858</v>
      </c>
      <c r="C28">
        <v>2429</v>
      </c>
      <c r="D28">
        <v>71</v>
      </c>
      <c r="E28" s="23">
        <v>0.97160000000000002</v>
      </c>
      <c r="F28" s="23">
        <v>2.8400000000000002E-2</v>
      </c>
      <c r="G28">
        <v>49</v>
      </c>
      <c r="H28">
        <v>1</v>
      </c>
      <c r="I28">
        <v>2429</v>
      </c>
      <c r="J28">
        <v>1</v>
      </c>
      <c r="K28">
        <v>1</v>
      </c>
      <c r="L28">
        <v>2387</v>
      </c>
      <c r="M28">
        <v>2387</v>
      </c>
      <c r="N28">
        <v>2387</v>
      </c>
      <c r="O28">
        <v>2387</v>
      </c>
      <c r="P28" s="23">
        <v>0.98270900000000005</v>
      </c>
    </row>
    <row r="29" spans="1:16" x14ac:dyDescent="0.25">
      <c r="A29" t="s">
        <v>24</v>
      </c>
      <c r="B29" s="22">
        <v>613198449</v>
      </c>
      <c r="C29">
        <v>2442</v>
      </c>
      <c r="D29">
        <v>58</v>
      </c>
      <c r="E29" s="23">
        <v>0.9768</v>
      </c>
      <c r="F29" s="23">
        <v>2.3199999999999998E-2</v>
      </c>
      <c r="G29">
        <v>50</v>
      </c>
      <c r="H29">
        <v>1</v>
      </c>
      <c r="I29">
        <v>2442</v>
      </c>
      <c r="J29">
        <v>1</v>
      </c>
      <c r="K29">
        <v>1</v>
      </c>
      <c r="L29">
        <v>2412</v>
      </c>
      <c r="M29">
        <v>2412</v>
      </c>
      <c r="N29">
        <v>2412</v>
      </c>
      <c r="O29">
        <v>2412</v>
      </c>
      <c r="P29" s="23">
        <v>0.98771500000000001</v>
      </c>
    </row>
    <row r="30" spans="1:16" x14ac:dyDescent="0.25">
      <c r="A30" t="s">
        <v>24</v>
      </c>
      <c r="B30" s="22">
        <v>1514941773</v>
      </c>
      <c r="C30">
        <v>2428</v>
      </c>
      <c r="D30">
        <v>72</v>
      </c>
      <c r="E30" s="23">
        <v>0.97119999999999995</v>
      </c>
      <c r="F30" s="23">
        <v>2.8799999999999999E-2</v>
      </c>
      <c r="G30">
        <v>50</v>
      </c>
      <c r="H30">
        <v>1</v>
      </c>
      <c r="I30">
        <v>2428</v>
      </c>
      <c r="J30">
        <v>1</v>
      </c>
      <c r="K30">
        <v>1</v>
      </c>
      <c r="L30">
        <v>2394</v>
      </c>
      <c r="M30">
        <v>2394</v>
      </c>
      <c r="N30">
        <v>2394</v>
      </c>
      <c r="O30">
        <v>2394</v>
      </c>
      <c r="P30" s="23">
        <v>0.98599700000000001</v>
      </c>
    </row>
    <row r="31" spans="1:16" x14ac:dyDescent="0.25">
      <c r="A31" t="s">
        <v>24</v>
      </c>
      <c r="B31" s="22">
        <v>578863544</v>
      </c>
      <c r="C31">
        <v>2416</v>
      </c>
      <c r="D31">
        <v>84</v>
      </c>
      <c r="E31" s="23">
        <v>0.96640000000000004</v>
      </c>
      <c r="F31" s="23">
        <v>3.3599999999999998E-2</v>
      </c>
      <c r="G31">
        <v>50</v>
      </c>
      <c r="H31">
        <v>1</v>
      </c>
      <c r="I31">
        <v>2416</v>
      </c>
      <c r="J31">
        <v>1</v>
      </c>
      <c r="K31">
        <v>1</v>
      </c>
      <c r="L31">
        <v>2370</v>
      </c>
      <c r="M31">
        <v>2370</v>
      </c>
      <c r="N31">
        <v>2370</v>
      </c>
      <c r="O31">
        <v>2370</v>
      </c>
      <c r="P31" s="23">
        <v>0.98096000000000005</v>
      </c>
    </row>
    <row r="32" spans="1:16" x14ac:dyDescent="0.25">
      <c r="A32" t="s">
        <v>24</v>
      </c>
      <c r="B32" s="22">
        <v>137993908</v>
      </c>
      <c r="C32">
        <v>2423</v>
      </c>
      <c r="D32">
        <v>77</v>
      </c>
      <c r="E32" s="23">
        <v>0.96919999999999995</v>
      </c>
      <c r="F32" s="23">
        <v>3.0800000000000001E-2</v>
      </c>
      <c r="G32">
        <v>50</v>
      </c>
      <c r="H32">
        <v>1</v>
      </c>
      <c r="I32">
        <v>2423</v>
      </c>
      <c r="J32">
        <v>1</v>
      </c>
      <c r="K32">
        <v>1</v>
      </c>
      <c r="L32">
        <v>2374</v>
      </c>
      <c r="M32">
        <v>2374</v>
      </c>
      <c r="N32">
        <v>2374</v>
      </c>
      <c r="O32">
        <v>2374</v>
      </c>
      <c r="P32" s="23">
        <v>0.97977700000000001</v>
      </c>
    </row>
    <row r="33" spans="1:16" x14ac:dyDescent="0.25">
      <c r="A33" t="s">
        <v>24</v>
      </c>
      <c r="B33" s="22">
        <v>1005907242</v>
      </c>
      <c r="C33">
        <v>2384</v>
      </c>
      <c r="D33">
        <v>116</v>
      </c>
      <c r="E33" s="23">
        <v>0.9536</v>
      </c>
      <c r="F33" s="23">
        <v>4.6399999999999997E-2</v>
      </c>
      <c r="G33">
        <v>51</v>
      </c>
      <c r="H33">
        <v>1</v>
      </c>
      <c r="I33">
        <v>2384</v>
      </c>
      <c r="J33">
        <v>1</v>
      </c>
      <c r="K33">
        <v>1</v>
      </c>
      <c r="L33">
        <v>2328</v>
      </c>
      <c r="M33">
        <v>2328</v>
      </c>
      <c r="N33">
        <v>2328</v>
      </c>
      <c r="O33">
        <v>2328</v>
      </c>
      <c r="P33" s="23">
        <v>0.97650999999999999</v>
      </c>
    </row>
    <row r="34" spans="1:16" x14ac:dyDescent="0.25">
      <c r="A34" t="s">
        <v>24</v>
      </c>
      <c r="B34" s="22">
        <v>944686192</v>
      </c>
      <c r="C34">
        <v>2422</v>
      </c>
      <c r="D34">
        <v>78</v>
      </c>
      <c r="E34" s="23">
        <v>0.96879999999999999</v>
      </c>
      <c r="F34" s="23">
        <v>3.1199999999999999E-2</v>
      </c>
      <c r="G34">
        <v>50</v>
      </c>
      <c r="H34">
        <v>1</v>
      </c>
      <c r="I34">
        <v>2422</v>
      </c>
      <c r="J34">
        <v>1</v>
      </c>
      <c r="K34">
        <v>1</v>
      </c>
      <c r="L34">
        <v>2362</v>
      </c>
      <c r="M34">
        <v>2362</v>
      </c>
      <c r="N34">
        <v>2362</v>
      </c>
      <c r="O34">
        <v>2362</v>
      </c>
      <c r="P34" s="23">
        <v>0.97522699999999996</v>
      </c>
    </row>
    <row r="35" spans="1:16" x14ac:dyDescent="0.25">
      <c r="A35" t="s">
        <v>24</v>
      </c>
      <c r="B35" s="22">
        <v>1885227051</v>
      </c>
      <c r="C35">
        <v>2445</v>
      </c>
      <c r="D35">
        <v>55</v>
      </c>
      <c r="E35" s="23">
        <v>0.97799999999999998</v>
      </c>
      <c r="F35" s="23">
        <v>2.1999999999999999E-2</v>
      </c>
      <c r="G35">
        <v>49</v>
      </c>
      <c r="H35">
        <v>1</v>
      </c>
      <c r="I35">
        <v>2445</v>
      </c>
      <c r="J35">
        <v>1</v>
      </c>
      <c r="K35">
        <v>1</v>
      </c>
      <c r="L35">
        <v>2405</v>
      </c>
      <c r="M35">
        <v>2405</v>
      </c>
      <c r="N35">
        <v>2405</v>
      </c>
      <c r="O35">
        <v>2405</v>
      </c>
      <c r="P35" s="23">
        <v>0.98363999999999996</v>
      </c>
    </row>
    <row r="36" spans="1:16" x14ac:dyDescent="0.25">
      <c r="A36" t="s">
        <v>24</v>
      </c>
      <c r="B36" s="22">
        <v>59994189</v>
      </c>
      <c r="C36">
        <v>2417</v>
      </c>
      <c r="D36">
        <v>83</v>
      </c>
      <c r="E36" s="23">
        <v>0.96679999999999999</v>
      </c>
      <c r="F36" s="23">
        <v>3.32E-2</v>
      </c>
      <c r="G36">
        <v>49</v>
      </c>
      <c r="H36">
        <v>1</v>
      </c>
      <c r="I36">
        <v>2417</v>
      </c>
      <c r="J36">
        <v>1</v>
      </c>
      <c r="K36">
        <v>1</v>
      </c>
      <c r="L36">
        <v>2375</v>
      </c>
      <c r="M36">
        <v>2375</v>
      </c>
      <c r="N36">
        <v>2375</v>
      </c>
      <c r="O36">
        <v>2375</v>
      </c>
      <c r="P36" s="23">
        <v>0.98262300000000002</v>
      </c>
    </row>
    <row r="37" spans="1:16" x14ac:dyDescent="0.25">
      <c r="A37" t="s">
        <v>24</v>
      </c>
      <c r="B37" s="22">
        <v>1266836399</v>
      </c>
      <c r="C37">
        <v>2393</v>
      </c>
      <c r="D37">
        <v>107</v>
      </c>
      <c r="E37" s="23">
        <v>0.95720000000000005</v>
      </c>
      <c r="F37" s="23">
        <v>4.2799999999999998E-2</v>
      </c>
      <c r="G37">
        <v>50</v>
      </c>
      <c r="H37">
        <v>1</v>
      </c>
      <c r="I37">
        <v>2393</v>
      </c>
      <c r="J37">
        <v>1</v>
      </c>
      <c r="K37">
        <v>1</v>
      </c>
      <c r="L37">
        <v>2338</v>
      </c>
      <c r="M37">
        <v>2338</v>
      </c>
      <c r="N37">
        <v>2338</v>
      </c>
      <c r="O37">
        <v>2338</v>
      </c>
      <c r="P37" s="23">
        <v>0.977016</v>
      </c>
    </row>
    <row r="38" spans="1:16" x14ac:dyDescent="0.25">
      <c r="A38" t="s">
        <v>24</v>
      </c>
      <c r="B38" s="22">
        <v>1658622487</v>
      </c>
      <c r="C38">
        <v>2407</v>
      </c>
      <c r="D38">
        <v>93</v>
      </c>
      <c r="E38" s="23">
        <v>0.96279999999999999</v>
      </c>
      <c r="F38" s="23">
        <v>3.7199999999999997E-2</v>
      </c>
      <c r="G38">
        <v>50</v>
      </c>
      <c r="H38">
        <v>1</v>
      </c>
      <c r="I38">
        <v>2407</v>
      </c>
      <c r="J38">
        <v>1</v>
      </c>
      <c r="K38">
        <v>1</v>
      </c>
      <c r="L38">
        <v>2351</v>
      </c>
      <c r="M38">
        <v>2351</v>
      </c>
      <c r="N38">
        <v>2351</v>
      </c>
      <c r="O38">
        <v>2351</v>
      </c>
      <c r="P38" s="23">
        <v>0.97673500000000002</v>
      </c>
    </row>
    <row r="39" spans="1:16" x14ac:dyDescent="0.25">
      <c r="A39" t="s">
        <v>24</v>
      </c>
      <c r="B39" s="22">
        <v>2116542827</v>
      </c>
      <c r="C39">
        <v>2441</v>
      </c>
      <c r="D39">
        <v>59</v>
      </c>
      <c r="E39" s="23">
        <v>0.97640000000000005</v>
      </c>
      <c r="F39" s="23">
        <v>2.3599999999999999E-2</v>
      </c>
      <c r="G39">
        <v>49</v>
      </c>
      <c r="H39">
        <v>1</v>
      </c>
      <c r="I39">
        <v>2441</v>
      </c>
      <c r="J39">
        <v>1</v>
      </c>
      <c r="K39">
        <v>1</v>
      </c>
      <c r="L39">
        <v>2398</v>
      </c>
      <c r="M39">
        <v>2398</v>
      </c>
      <c r="N39">
        <v>2398</v>
      </c>
      <c r="O39">
        <v>2398</v>
      </c>
      <c r="P39" s="23">
        <v>0.98238400000000003</v>
      </c>
    </row>
    <row r="40" spans="1:16" x14ac:dyDescent="0.25">
      <c r="A40" t="s">
        <v>24</v>
      </c>
      <c r="B40" s="22">
        <v>923883089</v>
      </c>
      <c r="C40">
        <v>2441</v>
      </c>
      <c r="D40">
        <v>59</v>
      </c>
      <c r="E40" s="23">
        <v>0.97640000000000005</v>
      </c>
      <c r="F40" s="23">
        <v>2.3599999999999999E-2</v>
      </c>
      <c r="G40">
        <v>49</v>
      </c>
      <c r="H40">
        <v>1</v>
      </c>
      <c r="I40">
        <v>2441</v>
      </c>
      <c r="J40">
        <v>1</v>
      </c>
      <c r="K40">
        <v>1</v>
      </c>
      <c r="L40">
        <v>2401</v>
      </c>
      <c r="M40">
        <v>2401</v>
      </c>
      <c r="N40">
        <v>2401</v>
      </c>
      <c r="O40">
        <v>2401</v>
      </c>
      <c r="P40" s="23">
        <v>0.98361299999999996</v>
      </c>
    </row>
    <row r="41" spans="1:16" x14ac:dyDescent="0.25">
      <c r="A41" t="s">
        <v>24</v>
      </c>
      <c r="B41" s="22">
        <v>1241324507</v>
      </c>
      <c r="C41">
        <v>2416</v>
      </c>
      <c r="D41">
        <v>84</v>
      </c>
      <c r="E41" s="23">
        <v>0.96640000000000004</v>
      </c>
      <c r="F41" s="23">
        <v>3.3599999999999998E-2</v>
      </c>
      <c r="G41">
        <v>49</v>
      </c>
      <c r="H41">
        <v>1</v>
      </c>
      <c r="I41">
        <v>2416</v>
      </c>
      <c r="J41">
        <v>1</v>
      </c>
      <c r="K41">
        <v>1</v>
      </c>
      <c r="L41">
        <v>2361</v>
      </c>
      <c r="M41">
        <v>2361</v>
      </c>
      <c r="N41">
        <v>2361</v>
      </c>
      <c r="O41">
        <v>2361</v>
      </c>
      <c r="P41" s="23">
        <v>0.97723499999999996</v>
      </c>
    </row>
    <row r="42" spans="1:16" x14ac:dyDescent="0.25">
      <c r="A42" t="s">
        <v>24</v>
      </c>
      <c r="B42" s="22">
        <v>1438276243</v>
      </c>
      <c r="C42">
        <v>2439</v>
      </c>
      <c r="D42">
        <v>61</v>
      </c>
      <c r="E42" s="23">
        <v>0.97560000000000002</v>
      </c>
      <c r="F42" s="23">
        <v>2.4400000000000002E-2</v>
      </c>
      <c r="G42">
        <v>49</v>
      </c>
      <c r="H42">
        <v>1</v>
      </c>
      <c r="I42">
        <v>2439</v>
      </c>
      <c r="J42">
        <v>1</v>
      </c>
      <c r="K42">
        <v>1</v>
      </c>
      <c r="L42">
        <v>2401</v>
      </c>
      <c r="M42">
        <v>2401</v>
      </c>
      <c r="N42">
        <v>2401</v>
      </c>
      <c r="O42">
        <v>2401</v>
      </c>
      <c r="P42" s="23">
        <v>0.98441999999999996</v>
      </c>
    </row>
    <row r="43" spans="1:16" x14ac:dyDescent="0.25">
      <c r="A43" t="s">
        <v>24</v>
      </c>
      <c r="B43" s="22">
        <v>1711175479</v>
      </c>
      <c r="C43">
        <v>2433</v>
      </c>
      <c r="D43">
        <v>67</v>
      </c>
      <c r="E43" s="23">
        <v>0.97319999999999995</v>
      </c>
      <c r="F43" s="23">
        <v>2.6800000000000001E-2</v>
      </c>
      <c r="G43">
        <v>49</v>
      </c>
      <c r="H43">
        <v>1</v>
      </c>
      <c r="I43">
        <v>2433</v>
      </c>
      <c r="J43">
        <v>1</v>
      </c>
      <c r="K43">
        <v>1</v>
      </c>
      <c r="L43">
        <v>2388</v>
      </c>
      <c r="M43">
        <v>2388</v>
      </c>
      <c r="N43">
        <v>2388</v>
      </c>
      <c r="O43">
        <v>2388</v>
      </c>
      <c r="P43" s="23">
        <v>0.98150400000000004</v>
      </c>
    </row>
    <row r="44" spans="1:16" x14ac:dyDescent="0.25">
      <c r="A44" t="s">
        <v>24</v>
      </c>
      <c r="B44" s="22">
        <v>77965887</v>
      </c>
      <c r="C44">
        <v>2417</v>
      </c>
      <c r="D44">
        <v>83</v>
      </c>
      <c r="E44" s="23">
        <v>0.96679999999999999</v>
      </c>
      <c r="F44" s="23">
        <v>3.32E-2</v>
      </c>
      <c r="G44">
        <v>50</v>
      </c>
      <c r="H44">
        <v>1</v>
      </c>
      <c r="I44">
        <v>2417</v>
      </c>
      <c r="J44">
        <v>1</v>
      </c>
      <c r="K44">
        <v>1</v>
      </c>
      <c r="L44">
        <v>2382</v>
      </c>
      <c r="M44">
        <v>2382</v>
      </c>
      <c r="N44">
        <v>2382</v>
      </c>
      <c r="O44">
        <v>2382</v>
      </c>
      <c r="P44" s="23">
        <v>0.98551900000000003</v>
      </c>
    </row>
    <row r="45" spans="1:16" x14ac:dyDescent="0.25">
      <c r="A45" t="s">
        <v>24</v>
      </c>
      <c r="B45" s="22">
        <v>690283834</v>
      </c>
      <c r="C45">
        <v>2430</v>
      </c>
      <c r="D45">
        <v>70</v>
      </c>
      <c r="E45" s="23">
        <v>0.97199999999999998</v>
      </c>
      <c r="F45" s="23">
        <v>2.8000000000000001E-2</v>
      </c>
      <c r="G45">
        <v>49</v>
      </c>
      <c r="H45">
        <v>1</v>
      </c>
      <c r="I45">
        <v>2430</v>
      </c>
      <c r="J45">
        <v>1</v>
      </c>
      <c r="K45">
        <v>1</v>
      </c>
      <c r="L45">
        <v>2396</v>
      </c>
      <c r="M45">
        <v>2396</v>
      </c>
      <c r="N45">
        <v>2396</v>
      </c>
      <c r="O45">
        <v>2396</v>
      </c>
      <c r="P45" s="23">
        <v>0.986008</v>
      </c>
    </row>
    <row r="46" spans="1:16" x14ac:dyDescent="0.25">
      <c r="A46" t="s">
        <v>24</v>
      </c>
      <c r="B46" s="22">
        <v>1731428068</v>
      </c>
      <c r="C46">
        <v>2413</v>
      </c>
      <c r="D46">
        <v>87</v>
      </c>
      <c r="E46" s="23">
        <v>0.96519999999999995</v>
      </c>
      <c r="F46" s="23">
        <v>3.4799999999999998E-2</v>
      </c>
      <c r="G46">
        <v>50</v>
      </c>
      <c r="H46">
        <v>1</v>
      </c>
      <c r="I46">
        <v>2413</v>
      </c>
      <c r="J46">
        <v>1</v>
      </c>
      <c r="K46">
        <v>1</v>
      </c>
      <c r="L46">
        <v>2363</v>
      </c>
      <c r="M46">
        <v>2363</v>
      </c>
      <c r="N46">
        <v>2363</v>
      </c>
      <c r="O46">
        <v>2363</v>
      </c>
      <c r="P46" s="23">
        <v>0.97927900000000001</v>
      </c>
    </row>
    <row r="47" spans="1:16" x14ac:dyDescent="0.25">
      <c r="A47" t="s">
        <v>24</v>
      </c>
      <c r="B47" s="22">
        <v>528105096</v>
      </c>
      <c r="C47">
        <v>2450</v>
      </c>
      <c r="D47">
        <v>50</v>
      </c>
      <c r="E47" s="23">
        <v>0.98</v>
      </c>
      <c r="F47" s="23">
        <v>0.02</v>
      </c>
      <c r="G47">
        <v>50</v>
      </c>
      <c r="H47">
        <v>1</v>
      </c>
      <c r="I47">
        <v>2450</v>
      </c>
      <c r="J47">
        <v>1</v>
      </c>
      <c r="K47">
        <v>1</v>
      </c>
      <c r="L47">
        <v>2413</v>
      </c>
      <c r="M47">
        <v>2413</v>
      </c>
      <c r="N47">
        <v>2413</v>
      </c>
      <c r="O47">
        <v>2413</v>
      </c>
      <c r="P47" s="23">
        <v>0.98489800000000005</v>
      </c>
    </row>
    <row r="48" spans="1:16" x14ac:dyDescent="0.25">
      <c r="A48" t="s">
        <v>24</v>
      </c>
      <c r="B48" s="22">
        <v>145660833</v>
      </c>
      <c r="C48">
        <v>2405</v>
      </c>
      <c r="D48">
        <v>95</v>
      </c>
      <c r="E48" s="23">
        <v>0.96199999999999997</v>
      </c>
      <c r="F48" s="23">
        <v>3.7999999999999999E-2</v>
      </c>
      <c r="G48">
        <v>49</v>
      </c>
      <c r="H48">
        <v>1</v>
      </c>
      <c r="I48">
        <v>2405</v>
      </c>
      <c r="J48">
        <v>1</v>
      </c>
      <c r="K48">
        <v>1</v>
      </c>
      <c r="L48">
        <v>2358</v>
      </c>
      <c r="M48">
        <v>2358</v>
      </c>
      <c r="N48">
        <v>2358</v>
      </c>
      <c r="O48">
        <v>2358</v>
      </c>
      <c r="P48" s="23">
        <v>0.98045700000000002</v>
      </c>
    </row>
    <row r="49" spans="1:16" x14ac:dyDescent="0.25">
      <c r="A49" t="s">
        <v>24</v>
      </c>
      <c r="B49" s="22">
        <v>262939191</v>
      </c>
      <c r="C49">
        <v>2436</v>
      </c>
      <c r="D49">
        <v>64</v>
      </c>
      <c r="E49" s="23">
        <v>0.97440000000000004</v>
      </c>
      <c r="F49" s="23">
        <v>2.5600000000000001E-2</v>
      </c>
      <c r="G49">
        <v>49</v>
      </c>
      <c r="H49">
        <v>1</v>
      </c>
      <c r="I49">
        <v>2436</v>
      </c>
      <c r="J49">
        <v>1</v>
      </c>
      <c r="K49">
        <v>1</v>
      </c>
      <c r="L49">
        <v>2390</v>
      </c>
      <c r="M49">
        <v>2390</v>
      </c>
      <c r="N49">
        <v>2390</v>
      </c>
      <c r="O49">
        <v>2390</v>
      </c>
      <c r="P49" s="23">
        <v>0.98111700000000002</v>
      </c>
    </row>
    <row r="50" spans="1:16" x14ac:dyDescent="0.25">
      <c r="A50" t="s">
        <v>24</v>
      </c>
      <c r="B50" s="22">
        <v>1400649462</v>
      </c>
      <c r="C50">
        <v>2400</v>
      </c>
      <c r="D50">
        <v>100</v>
      </c>
      <c r="E50" s="23">
        <v>0.96</v>
      </c>
      <c r="F50" s="23">
        <v>0.04</v>
      </c>
      <c r="G50">
        <v>50</v>
      </c>
      <c r="H50">
        <v>1</v>
      </c>
      <c r="I50">
        <v>2400</v>
      </c>
      <c r="J50">
        <v>1</v>
      </c>
      <c r="K50">
        <v>1</v>
      </c>
      <c r="L50">
        <v>2346</v>
      </c>
      <c r="M50">
        <v>2346</v>
      </c>
      <c r="N50">
        <v>2346</v>
      </c>
      <c r="O50">
        <v>2346</v>
      </c>
      <c r="P50" s="23">
        <v>0.97750000000000004</v>
      </c>
    </row>
    <row r="51" spans="1:16" x14ac:dyDescent="0.25">
      <c r="A51" t="s">
        <v>24</v>
      </c>
      <c r="B51" s="22">
        <v>660373054</v>
      </c>
      <c r="C51">
        <v>2415</v>
      </c>
      <c r="D51">
        <v>85</v>
      </c>
      <c r="E51" s="23">
        <v>0.96599999999999997</v>
      </c>
      <c r="F51" s="23">
        <v>3.4000000000000002E-2</v>
      </c>
      <c r="G51">
        <v>50</v>
      </c>
      <c r="H51">
        <v>1</v>
      </c>
      <c r="I51">
        <v>2415</v>
      </c>
      <c r="J51">
        <v>1</v>
      </c>
      <c r="K51">
        <v>1</v>
      </c>
      <c r="L51">
        <v>2357</v>
      </c>
      <c r="M51">
        <v>2357</v>
      </c>
      <c r="N51">
        <v>2357</v>
      </c>
      <c r="O51">
        <v>2357</v>
      </c>
      <c r="P51" s="23">
        <v>0.97598300000000004</v>
      </c>
    </row>
    <row r="52" spans="1:16" x14ac:dyDescent="0.25">
      <c r="A52" t="s">
        <v>26</v>
      </c>
      <c r="B52"/>
      <c r="C52">
        <f>SUBTOTAL(101,CA4_wall30_it2_neigh3[floors])</f>
        <v>2424.5</v>
      </c>
      <c r="D52">
        <f>SUBTOTAL(101,CA4_wall30_it2_neigh3[walls])</f>
        <v>75.5</v>
      </c>
      <c r="E52" s="24">
        <f>SUBTOTAL(101,CA4_wall30_it2_neigh3[floor_percent])</f>
        <v>0.96980000000000022</v>
      </c>
      <c r="F52" s="24">
        <f>SUBTOTAL(101,CA4_wall30_it2_neigh3[wall_percent])</f>
        <v>3.0199999999999994E-2</v>
      </c>
      <c r="G52">
        <f>SUBTOTAL(101,CA4_wall30_it2_neigh3[longest_shortest_path])</f>
        <v>49.6</v>
      </c>
      <c r="H52">
        <f>SUBTOTAL(101,CA4_wall30_it2_neigh3[component_count])</f>
        <v>1</v>
      </c>
      <c r="I52">
        <f>SUBTOTAL(101,CA4_wall30_it2_neigh3[max_component_size])</f>
        <v>2424.5</v>
      </c>
      <c r="J52">
        <f>SUBTOTAL(101,CA4_wall30_it2_neigh3[connectivity_ratio])</f>
        <v>1</v>
      </c>
      <c r="K52">
        <f>SUBTOTAL(101,CA4_wall30_it2_neigh3[room_count])</f>
        <v>1</v>
      </c>
      <c r="L52">
        <f>SUBTOTAL(101,CA4_wall30_it2_neigh3[avg_room_size])</f>
        <v>2379.58</v>
      </c>
      <c r="M52">
        <f>SUBTOTAL(101,CA4_wall30_it2_neigh3[max_room_size])</f>
        <v>2379.58</v>
      </c>
      <c r="N52">
        <f>SUBTOTAL(101,CA4_wall30_it2_neigh3[min_room_size])</f>
        <v>2379.58</v>
      </c>
      <c r="O52">
        <f>SUBTOTAL(101,CA4_wall30_it2_neigh3[room_tiles])</f>
        <v>2379.58</v>
      </c>
      <c r="P52" s="24">
        <f>SUBTOTAL(101,CA4_wall30_it2_neigh3[room_ratio])</f>
        <v>0.98145765999999979</v>
      </c>
    </row>
    <row r="53" spans="1:16" x14ac:dyDescent="0.25">
      <c r="A53" s="26" t="s">
        <v>41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6A61-EB6D-4B16-A215-6D692198E3B4}">
  <dimension ref="A1:P53"/>
  <sheetViews>
    <sheetView topLeftCell="A25" workbookViewId="0">
      <selection activeCell="H58" sqref="H58"/>
    </sheetView>
  </sheetViews>
  <sheetFormatPr defaultRowHeight="15" x14ac:dyDescent="0.25"/>
  <cols>
    <col min="1" max="1" width="20.140625" bestFit="1" customWidth="1"/>
    <col min="2" max="2" width="11" style="22" bestFit="1" customWidth="1"/>
    <col min="3" max="3" width="8.5703125" bestFit="1" customWidth="1"/>
    <col min="4" max="4" width="7.85546875" bestFit="1" customWidth="1"/>
    <col min="5" max="5" width="15.5703125" style="23" bestFit="1" customWidth="1"/>
    <col min="6" max="6" width="14.7109375" style="23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23" bestFit="1" customWidth="1"/>
  </cols>
  <sheetData>
    <row r="1" spans="1:16" x14ac:dyDescent="0.25">
      <c r="A1" t="s">
        <v>8</v>
      </c>
      <c r="B1" s="22" t="s">
        <v>9</v>
      </c>
      <c r="C1" t="s">
        <v>10</v>
      </c>
      <c r="D1" t="s">
        <v>11</v>
      </c>
      <c r="E1" s="23" t="s">
        <v>12</v>
      </c>
      <c r="F1" s="23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3" t="s">
        <v>23</v>
      </c>
    </row>
    <row r="2" spans="1:16" x14ac:dyDescent="0.25">
      <c r="A2" t="s">
        <v>24</v>
      </c>
      <c r="B2" s="22">
        <v>2105559019</v>
      </c>
      <c r="C2">
        <v>1439</v>
      </c>
      <c r="D2">
        <v>1061</v>
      </c>
      <c r="E2" s="23">
        <v>0.5756</v>
      </c>
      <c r="F2" s="23">
        <v>0.4244</v>
      </c>
      <c r="G2">
        <v>55</v>
      </c>
      <c r="H2">
        <v>1</v>
      </c>
      <c r="I2">
        <v>1439</v>
      </c>
      <c r="J2">
        <v>1</v>
      </c>
      <c r="K2">
        <v>9</v>
      </c>
      <c r="L2">
        <v>108.88888900000001</v>
      </c>
      <c r="M2">
        <v>477</v>
      </c>
      <c r="N2">
        <v>1</v>
      </c>
      <c r="O2">
        <v>980</v>
      </c>
      <c r="P2" s="23">
        <v>0.68102799999999997</v>
      </c>
    </row>
    <row r="3" spans="1:16" x14ac:dyDescent="0.25">
      <c r="A3" t="s">
        <v>24</v>
      </c>
      <c r="B3" s="22">
        <v>1807126832</v>
      </c>
      <c r="C3">
        <v>1346</v>
      </c>
      <c r="D3">
        <v>1154</v>
      </c>
      <c r="E3" s="23">
        <v>0.53839999999999999</v>
      </c>
      <c r="F3" s="23">
        <v>0.46160000000000001</v>
      </c>
      <c r="G3">
        <v>53</v>
      </c>
      <c r="H3">
        <v>4</v>
      </c>
      <c r="I3">
        <v>1323</v>
      </c>
      <c r="J3">
        <v>0.98291200000000001</v>
      </c>
      <c r="K3">
        <v>14</v>
      </c>
      <c r="L3">
        <v>63.071429000000002</v>
      </c>
      <c r="M3">
        <v>425</v>
      </c>
      <c r="N3">
        <v>1</v>
      </c>
      <c r="O3">
        <v>883</v>
      </c>
      <c r="P3" s="23">
        <v>0.65601799999999999</v>
      </c>
    </row>
    <row r="4" spans="1:16" x14ac:dyDescent="0.25">
      <c r="A4" t="s">
        <v>24</v>
      </c>
      <c r="B4" s="22">
        <v>1958273033</v>
      </c>
      <c r="C4">
        <v>1395</v>
      </c>
      <c r="D4">
        <v>1105</v>
      </c>
      <c r="E4" s="23">
        <v>0.55800000000000005</v>
      </c>
      <c r="F4" s="23">
        <v>0.442</v>
      </c>
      <c r="G4">
        <v>55</v>
      </c>
      <c r="H4">
        <v>4</v>
      </c>
      <c r="I4">
        <v>1389</v>
      </c>
      <c r="J4">
        <v>0.995699</v>
      </c>
      <c r="K4">
        <v>13</v>
      </c>
      <c r="L4">
        <v>72.076922999999994</v>
      </c>
      <c r="M4">
        <v>557</v>
      </c>
      <c r="N4">
        <v>1</v>
      </c>
      <c r="O4">
        <v>937</v>
      </c>
      <c r="P4" s="23">
        <v>0.67168499999999998</v>
      </c>
    </row>
    <row r="5" spans="1:16" x14ac:dyDescent="0.25">
      <c r="A5" t="s">
        <v>24</v>
      </c>
      <c r="B5" s="22">
        <v>533847205</v>
      </c>
      <c r="C5">
        <v>1320</v>
      </c>
      <c r="D5">
        <v>1180</v>
      </c>
      <c r="E5" s="23">
        <v>0.52800000000000002</v>
      </c>
      <c r="F5" s="23">
        <v>0.47199999999999998</v>
      </c>
      <c r="G5">
        <v>60</v>
      </c>
      <c r="H5">
        <v>1</v>
      </c>
      <c r="I5">
        <v>1320</v>
      </c>
      <c r="J5">
        <v>1</v>
      </c>
      <c r="K5">
        <v>15</v>
      </c>
      <c r="L5">
        <v>57.066667000000002</v>
      </c>
      <c r="M5">
        <v>215</v>
      </c>
      <c r="N5">
        <v>1</v>
      </c>
      <c r="O5">
        <v>856</v>
      </c>
      <c r="P5" s="23">
        <v>0.64848499999999998</v>
      </c>
    </row>
    <row r="6" spans="1:16" x14ac:dyDescent="0.25">
      <c r="A6" t="s">
        <v>24</v>
      </c>
      <c r="B6" s="22">
        <v>1355558285</v>
      </c>
      <c r="C6">
        <v>1377</v>
      </c>
      <c r="D6">
        <v>1123</v>
      </c>
      <c r="E6" s="23">
        <v>0.55079999999999996</v>
      </c>
      <c r="F6" s="23">
        <v>0.44919999999999999</v>
      </c>
      <c r="G6">
        <v>58</v>
      </c>
      <c r="H6">
        <v>3</v>
      </c>
      <c r="I6">
        <v>1375</v>
      </c>
      <c r="J6">
        <v>0.99854799999999999</v>
      </c>
      <c r="K6">
        <v>11</v>
      </c>
      <c r="L6">
        <v>82.818181999999993</v>
      </c>
      <c r="M6">
        <v>522</v>
      </c>
      <c r="N6">
        <v>4</v>
      </c>
      <c r="O6">
        <v>911</v>
      </c>
      <c r="P6" s="23">
        <v>0.66158300000000003</v>
      </c>
    </row>
    <row r="7" spans="1:16" x14ac:dyDescent="0.25">
      <c r="A7" t="s">
        <v>24</v>
      </c>
      <c r="B7" s="22">
        <v>1791729263</v>
      </c>
      <c r="C7">
        <v>1321</v>
      </c>
      <c r="D7">
        <v>1179</v>
      </c>
      <c r="E7" s="23">
        <v>0.52839999999999998</v>
      </c>
      <c r="F7" s="23">
        <v>0.47160000000000002</v>
      </c>
      <c r="G7">
        <v>54</v>
      </c>
      <c r="H7">
        <v>2</v>
      </c>
      <c r="I7">
        <v>1320</v>
      </c>
      <c r="J7">
        <v>0.99924299999999999</v>
      </c>
      <c r="K7">
        <v>20</v>
      </c>
      <c r="L7">
        <v>41.95</v>
      </c>
      <c r="M7">
        <v>454</v>
      </c>
      <c r="N7">
        <v>1</v>
      </c>
      <c r="O7">
        <v>839</v>
      </c>
      <c r="P7" s="23">
        <v>0.63512500000000005</v>
      </c>
    </row>
    <row r="8" spans="1:16" x14ac:dyDescent="0.25">
      <c r="A8" t="s">
        <v>24</v>
      </c>
      <c r="B8" s="22">
        <v>703747761</v>
      </c>
      <c r="C8">
        <v>1356</v>
      </c>
      <c r="D8">
        <v>1144</v>
      </c>
      <c r="E8" s="23">
        <v>0.54239999999999999</v>
      </c>
      <c r="F8" s="23">
        <v>0.45760000000000001</v>
      </c>
      <c r="G8">
        <v>52</v>
      </c>
      <c r="H8">
        <v>3</v>
      </c>
      <c r="I8">
        <v>1353</v>
      </c>
      <c r="J8">
        <v>0.99778800000000001</v>
      </c>
      <c r="K8">
        <v>13</v>
      </c>
      <c r="L8">
        <v>68.307692000000003</v>
      </c>
      <c r="M8">
        <v>414</v>
      </c>
      <c r="N8">
        <v>1</v>
      </c>
      <c r="O8">
        <v>888</v>
      </c>
      <c r="P8" s="23">
        <v>0.65486699999999998</v>
      </c>
    </row>
    <row r="9" spans="1:16" x14ac:dyDescent="0.25">
      <c r="A9" t="s">
        <v>24</v>
      </c>
      <c r="B9" s="22">
        <v>1241184506</v>
      </c>
      <c r="C9">
        <v>1400</v>
      </c>
      <c r="D9">
        <v>1100</v>
      </c>
      <c r="E9" s="23">
        <v>0.56000000000000005</v>
      </c>
      <c r="F9" s="23">
        <v>0.44</v>
      </c>
      <c r="G9">
        <v>55</v>
      </c>
      <c r="H9">
        <v>3</v>
      </c>
      <c r="I9">
        <v>1397</v>
      </c>
      <c r="J9">
        <v>0.99785699999999999</v>
      </c>
      <c r="K9">
        <v>15</v>
      </c>
      <c r="L9">
        <v>61.8</v>
      </c>
      <c r="M9">
        <v>302</v>
      </c>
      <c r="N9">
        <v>6</v>
      </c>
      <c r="O9">
        <v>927</v>
      </c>
      <c r="P9" s="23">
        <v>0.66214300000000004</v>
      </c>
    </row>
    <row r="10" spans="1:16" x14ac:dyDescent="0.25">
      <c r="A10" t="s">
        <v>24</v>
      </c>
      <c r="B10" s="22">
        <v>1908192067</v>
      </c>
      <c r="C10">
        <v>1324</v>
      </c>
      <c r="D10">
        <v>1176</v>
      </c>
      <c r="E10" s="23">
        <v>0.52959999999999996</v>
      </c>
      <c r="F10" s="23">
        <v>0.47039999999999998</v>
      </c>
      <c r="G10">
        <v>61</v>
      </c>
      <c r="H10">
        <v>4</v>
      </c>
      <c r="I10">
        <v>1316</v>
      </c>
      <c r="J10">
        <v>0.99395800000000001</v>
      </c>
      <c r="K10">
        <v>12</v>
      </c>
      <c r="L10">
        <v>71.75</v>
      </c>
      <c r="M10">
        <v>464</v>
      </c>
      <c r="N10">
        <v>1</v>
      </c>
      <c r="O10">
        <v>861</v>
      </c>
      <c r="P10" s="23">
        <v>0.65030200000000005</v>
      </c>
    </row>
    <row r="11" spans="1:16" x14ac:dyDescent="0.25">
      <c r="A11" t="s">
        <v>24</v>
      </c>
      <c r="B11" s="22">
        <v>807057803</v>
      </c>
      <c r="C11">
        <v>1370</v>
      </c>
      <c r="D11">
        <v>1130</v>
      </c>
      <c r="E11" s="23">
        <v>0.54800000000000004</v>
      </c>
      <c r="F11" s="23">
        <v>0.45200000000000001</v>
      </c>
      <c r="G11">
        <v>61</v>
      </c>
      <c r="H11">
        <v>1</v>
      </c>
      <c r="I11">
        <v>1370</v>
      </c>
      <c r="J11">
        <v>1</v>
      </c>
      <c r="K11">
        <v>11</v>
      </c>
      <c r="L11">
        <v>83.909091000000004</v>
      </c>
      <c r="M11">
        <v>504</v>
      </c>
      <c r="N11">
        <v>1</v>
      </c>
      <c r="O11">
        <v>923</v>
      </c>
      <c r="P11" s="23">
        <v>0.67372299999999996</v>
      </c>
    </row>
    <row r="12" spans="1:16" x14ac:dyDescent="0.25">
      <c r="A12" t="s">
        <v>24</v>
      </c>
      <c r="B12" s="22">
        <v>1953567394</v>
      </c>
      <c r="C12">
        <v>1375</v>
      </c>
      <c r="D12">
        <v>1125</v>
      </c>
      <c r="E12" s="23">
        <v>0.55000000000000004</v>
      </c>
      <c r="F12" s="23">
        <v>0.45</v>
      </c>
      <c r="G12">
        <v>53</v>
      </c>
      <c r="H12">
        <v>2</v>
      </c>
      <c r="I12">
        <v>1374</v>
      </c>
      <c r="J12">
        <v>0.99927299999999997</v>
      </c>
      <c r="K12">
        <v>17</v>
      </c>
      <c r="L12">
        <v>54.588234999999997</v>
      </c>
      <c r="M12">
        <v>592</v>
      </c>
      <c r="N12">
        <v>1</v>
      </c>
      <c r="O12">
        <v>928</v>
      </c>
      <c r="P12" s="23">
        <v>0.67490899999999998</v>
      </c>
    </row>
    <row r="13" spans="1:16" x14ac:dyDescent="0.25">
      <c r="A13" t="s">
        <v>24</v>
      </c>
      <c r="B13" s="22">
        <v>432545787</v>
      </c>
      <c r="C13">
        <v>1327</v>
      </c>
      <c r="D13">
        <v>1173</v>
      </c>
      <c r="E13" s="23">
        <v>0.53080000000000005</v>
      </c>
      <c r="F13" s="23">
        <v>0.46920000000000001</v>
      </c>
      <c r="G13">
        <v>54</v>
      </c>
      <c r="H13">
        <v>3</v>
      </c>
      <c r="I13">
        <v>1325</v>
      </c>
      <c r="J13">
        <v>0.99849299999999996</v>
      </c>
      <c r="K13">
        <v>12</v>
      </c>
      <c r="L13">
        <v>69.333332999999996</v>
      </c>
      <c r="M13">
        <v>676</v>
      </c>
      <c r="N13">
        <v>1</v>
      </c>
      <c r="O13">
        <v>832</v>
      </c>
      <c r="P13" s="23">
        <v>0.62697800000000004</v>
      </c>
    </row>
    <row r="14" spans="1:16" x14ac:dyDescent="0.25">
      <c r="A14" t="s">
        <v>24</v>
      </c>
      <c r="B14" s="22">
        <v>42218424</v>
      </c>
      <c r="C14">
        <v>1334</v>
      </c>
      <c r="D14">
        <v>1166</v>
      </c>
      <c r="E14" s="23">
        <v>0.53359999999999996</v>
      </c>
      <c r="F14" s="23">
        <v>0.46639999999999998</v>
      </c>
      <c r="G14">
        <v>56</v>
      </c>
      <c r="H14">
        <v>2</v>
      </c>
      <c r="I14">
        <v>1287</v>
      </c>
      <c r="J14">
        <v>0.96476799999999996</v>
      </c>
      <c r="K14">
        <v>16</v>
      </c>
      <c r="L14">
        <v>53.9375</v>
      </c>
      <c r="M14">
        <v>539</v>
      </c>
      <c r="N14">
        <v>1</v>
      </c>
      <c r="O14">
        <v>863</v>
      </c>
      <c r="P14" s="23">
        <v>0.64692700000000003</v>
      </c>
    </row>
    <row r="15" spans="1:16" x14ac:dyDescent="0.25">
      <c r="A15" t="s">
        <v>24</v>
      </c>
      <c r="B15" s="22">
        <v>343185050</v>
      </c>
      <c r="C15">
        <v>1328</v>
      </c>
      <c r="D15">
        <v>1172</v>
      </c>
      <c r="E15" s="23">
        <v>0.53120000000000001</v>
      </c>
      <c r="F15" s="23">
        <v>0.46879999999999999</v>
      </c>
      <c r="G15">
        <v>58</v>
      </c>
      <c r="H15">
        <v>1</v>
      </c>
      <c r="I15">
        <v>1328</v>
      </c>
      <c r="J15">
        <v>1</v>
      </c>
      <c r="K15">
        <v>14</v>
      </c>
      <c r="L15">
        <v>61.357143000000001</v>
      </c>
      <c r="M15">
        <v>268</v>
      </c>
      <c r="N15">
        <v>2</v>
      </c>
      <c r="O15">
        <v>859</v>
      </c>
      <c r="P15" s="23">
        <v>0.646837</v>
      </c>
    </row>
    <row r="16" spans="1:16" x14ac:dyDescent="0.25">
      <c r="A16" t="s">
        <v>24</v>
      </c>
      <c r="B16" s="22">
        <v>702366940</v>
      </c>
      <c r="C16">
        <v>1327</v>
      </c>
      <c r="D16">
        <v>1173</v>
      </c>
      <c r="E16" s="23">
        <v>0.53080000000000005</v>
      </c>
      <c r="F16" s="23">
        <v>0.46920000000000001</v>
      </c>
      <c r="G16">
        <v>57</v>
      </c>
      <c r="H16">
        <v>4</v>
      </c>
      <c r="I16">
        <v>1319</v>
      </c>
      <c r="J16">
        <v>0.99397100000000005</v>
      </c>
      <c r="K16">
        <v>16</v>
      </c>
      <c r="L16">
        <v>53.5625</v>
      </c>
      <c r="M16">
        <v>396</v>
      </c>
      <c r="N16">
        <v>1</v>
      </c>
      <c r="O16">
        <v>857</v>
      </c>
      <c r="P16" s="23">
        <v>0.645818</v>
      </c>
    </row>
    <row r="17" spans="1:16" x14ac:dyDescent="0.25">
      <c r="A17" t="s">
        <v>24</v>
      </c>
      <c r="B17" s="22">
        <v>1066292303</v>
      </c>
      <c r="C17">
        <v>1392</v>
      </c>
      <c r="D17">
        <v>1108</v>
      </c>
      <c r="E17" s="23">
        <v>0.55679999999999996</v>
      </c>
      <c r="F17" s="23">
        <v>0.44319999999999998</v>
      </c>
      <c r="G17">
        <v>54</v>
      </c>
      <c r="H17">
        <v>2</v>
      </c>
      <c r="I17">
        <v>1391</v>
      </c>
      <c r="J17">
        <v>0.999282</v>
      </c>
      <c r="K17">
        <v>16</v>
      </c>
      <c r="L17">
        <v>56.625</v>
      </c>
      <c r="M17">
        <v>320</v>
      </c>
      <c r="N17">
        <v>1</v>
      </c>
      <c r="O17">
        <v>906</v>
      </c>
      <c r="P17" s="23">
        <v>0.65086200000000005</v>
      </c>
    </row>
    <row r="18" spans="1:16" x14ac:dyDescent="0.25">
      <c r="A18" t="s">
        <v>24</v>
      </c>
      <c r="B18" s="22">
        <v>1665434090</v>
      </c>
      <c r="C18">
        <v>1362</v>
      </c>
      <c r="D18">
        <v>1138</v>
      </c>
      <c r="E18" s="23">
        <v>0.54479999999999995</v>
      </c>
      <c r="F18" s="23">
        <v>0.45519999999999999</v>
      </c>
      <c r="G18">
        <v>52</v>
      </c>
      <c r="H18">
        <v>2</v>
      </c>
      <c r="I18">
        <v>1359</v>
      </c>
      <c r="J18">
        <v>0.99779700000000005</v>
      </c>
      <c r="K18">
        <v>12</v>
      </c>
      <c r="L18">
        <v>75.166667000000004</v>
      </c>
      <c r="M18">
        <v>543</v>
      </c>
      <c r="N18">
        <v>2</v>
      </c>
      <c r="O18">
        <v>902</v>
      </c>
      <c r="P18" s="23">
        <v>0.66226099999999999</v>
      </c>
    </row>
    <row r="19" spans="1:16" x14ac:dyDescent="0.25">
      <c r="A19" t="s">
        <v>24</v>
      </c>
      <c r="B19" s="22">
        <v>894017410</v>
      </c>
      <c r="C19">
        <v>1428</v>
      </c>
      <c r="D19">
        <v>1072</v>
      </c>
      <c r="E19" s="23">
        <v>0.57120000000000004</v>
      </c>
      <c r="F19" s="23">
        <v>0.42880000000000001</v>
      </c>
      <c r="G19">
        <v>53</v>
      </c>
      <c r="H19">
        <v>2</v>
      </c>
      <c r="I19">
        <v>1427</v>
      </c>
      <c r="J19">
        <v>0.99929999999999997</v>
      </c>
      <c r="K19">
        <v>17</v>
      </c>
      <c r="L19">
        <v>54.941175999999999</v>
      </c>
      <c r="M19">
        <v>331</v>
      </c>
      <c r="N19">
        <v>1</v>
      </c>
      <c r="O19">
        <v>934</v>
      </c>
      <c r="P19" s="23">
        <v>0.65406200000000003</v>
      </c>
    </row>
    <row r="20" spans="1:16" x14ac:dyDescent="0.25">
      <c r="A20" t="s">
        <v>24</v>
      </c>
      <c r="B20" s="22">
        <v>1894500780</v>
      </c>
      <c r="C20">
        <v>1381</v>
      </c>
      <c r="D20">
        <v>1119</v>
      </c>
      <c r="E20" s="23">
        <v>0.5524</v>
      </c>
      <c r="F20" s="23">
        <v>0.4476</v>
      </c>
      <c r="G20">
        <v>57</v>
      </c>
      <c r="H20">
        <v>2</v>
      </c>
      <c r="I20">
        <v>1379</v>
      </c>
      <c r="J20">
        <v>0.998552</v>
      </c>
      <c r="K20">
        <v>16</v>
      </c>
      <c r="L20">
        <v>57.6875</v>
      </c>
      <c r="M20">
        <v>621</v>
      </c>
      <c r="N20">
        <v>1</v>
      </c>
      <c r="O20">
        <v>923</v>
      </c>
      <c r="P20" s="23">
        <v>0.66835599999999995</v>
      </c>
    </row>
    <row r="21" spans="1:16" x14ac:dyDescent="0.25">
      <c r="A21" t="s">
        <v>24</v>
      </c>
      <c r="B21" s="22">
        <v>1590318047</v>
      </c>
      <c r="C21">
        <v>1361</v>
      </c>
      <c r="D21">
        <v>1139</v>
      </c>
      <c r="E21" s="23">
        <v>0.5444</v>
      </c>
      <c r="F21" s="23">
        <v>0.4556</v>
      </c>
      <c r="G21">
        <v>57</v>
      </c>
      <c r="H21">
        <v>4</v>
      </c>
      <c r="I21">
        <v>1356</v>
      </c>
      <c r="J21">
        <v>0.99632600000000004</v>
      </c>
      <c r="K21">
        <v>14</v>
      </c>
      <c r="L21">
        <v>60.785713999999999</v>
      </c>
      <c r="M21">
        <v>466</v>
      </c>
      <c r="N21">
        <v>1</v>
      </c>
      <c r="O21">
        <v>851</v>
      </c>
      <c r="P21" s="23">
        <v>0.62527600000000005</v>
      </c>
    </row>
    <row r="22" spans="1:16" x14ac:dyDescent="0.25">
      <c r="A22" t="s">
        <v>24</v>
      </c>
      <c r="B22" s="22">
        <v>1379074480</v>
      </c>
      <c r="C22">
        <v>1444</v>
      </c>
      <c r="D22">
        <v>1056</v>
      </c>
      <c r="E22" s="23">
        <v>0.5776</v>
      </c>
      <c r="F22" s="23">
        <v>0.4224</v>
      </c>
      <c r="G22">
        <v>56</v>
      </c>
      <c r="H22">
        <v>1</v>
      </c>
      <c r="I22">
        <v>1444</v>
      </c>
      <c r="J22">
        <v>1</v>
      </c>
      <c r="K22">
        <v>14</v>
      </c>
      <c r="L22">
        <v>70</v>
      </c>
      <c r="M22">
        <v>422</v>
      </c>
      <c r="N22">
        <v>1</v>
      </c>
      <c r="O22">
        <v>980</v>
      </c>
      <c r="P22" s="23">
        <v>0.67867</v>
      </c>
    </row>
    <row r="23" spans="1:16" x14ac:dyDescent="0.25">
      <c r="A23" t="s">
        <v>24</v>
      </c>
      <c r="B23" s="22">
        <v>1887798206</v>
      </c>
      <c r="C23">
        <v>1365</v>
      </c>
      <c r="D23">
        <v>1135</v>
      </c>
      <c r="E23" s="23">
        <v>0.54600000000000004</v>
      </c>
      <c r="F23" s="23">
        <v>0.45400000000000001</v>
      </c>
      <c r="G23">
        <v>56</v>
      </c>
      <c r="H23">
        <v>2</v>
      </c>
      <c r="I23">
        <v>1364</v>
      </c>
      <c r="J23">
        <v>0.99926700000000002</v>
      </c>
      <c r="K23">
        <v>22</v>
      </c>
      <c r="L23">
        <v>39.318182</v>
      </c>
      <c r="M23">
        <v>385</v>
      </c>
      <c r="N23">
        <v>1</v>
      </c>
      <c r="O23">
        <v>865</v>
      </c>
      <c r="P23" s="23">
        <v>0.63370000000000004</v>
      </c>
    </row>
    <row r="24" spans="1:16" x14ac:dyDescent="0.25">
      <c r="A24" t="s">
        <v>24</v>
      </c>
      <c r="B24" s="22">
        <v>951548680</v>
      </c>
      <c r="C24">
        <v>1416</v>
      </c>
      <c r="D24">
        <v>1084</v>
      </c>
      <c r="E24" s="23">
        <v>0.56640000000000001</v>
      </c>
      <c r="F24" s="23">
        <v>0.43359999999999999</v>
      </c>
      <c r="G24">
        <v>56</v>
      </c>
      <c r="H24">
        <v>2</v>
      </c>
      <c r="I24">
        <v>1415</v>
      </c>
      <c r="J24">
        <v>0.99929400000000002</v>
      </c>
      <c r="K24">
        <v>11</v>
      </c>
      <c r="L24">
        <v>85.181818000000007</v>
      </c>
      <c r="M24">
        <v>561</v>
      </c>
      <c r="N24">
        <v>1</v>
      </c>
      <c r="O24">
        <v>937</v>
      </c>
      <c r="P24" s="23">
        <v>0.66172299999999995</v>
      </c>
    </row>
    <row r="25" spans="1:16" x14ac:dyDescent="0.25">
      <c r="A25" t="s">
        <v>24</v>
      </c>
      <c r="B25" s="22">
        <v>53979512</v>
      </c>
      <c r="C25">
        <v>1369</v>
      </c>
      <c r="D25">
        <v>1131</v>
      </c>
      <c r="E25" s="23">
        <v>0.54759999999999998</v>
      </c>
      <c r="F25" s="23">
        <v>0.45240000000000002</v>
      </c>
      <c r="G25">
        <v>54</v>
      </c>
      <c r="H25">
        <v>1</v>
      </c>
      <c r="I25">
        <v>1369</v>
      </c>
      <c r="J25">
        <v>1</v>
      </c>
      <c r="K25">
        <v>22</v>
      </c>
      <c r="L25">
        <v>36.5</v>
      </c>
      <c r="M25">
        <v>193</v>
      </c>
      <c r="N25">
        <v>1</v>
      </c>
      <c r="O25">
        <v>803</v>
      </c>
      <c r="P25" s="23">
        <v>0.58655999999999997</v>
      </c>
    </row>
    <row r="26" spans="1:16" x14ac:dyDescent="0.25">
      <c r="A26" t="s">
        <v>24</v>
      </c>
      <c r="B26" s="22">
        <v>116087257</v>
      </c>
      <c r="C26">
        <v>1346</v>
      </c>
      <c r="D26">
        <v>1154</v>
      </c>
      <c r="E26" s="23">
        <v>0.53839999999999999</v>
      </c>
      <c r="F26" s="23">
        <v>0.46160000000000001</v>
      </c>
      <c r="G26">
        <v>58</v>
      </c>
      <c r="H26">
        <v>4</v>
      </c>
      <c r="I26">
        <v>1338</v>
      </c>
      <c r="J26">
        <v>0.99405600000000005</v>
      </c>
      <c r="K26">
        <v>13</v>
      </c>
      <c r="L26">
        <v>66.846153999999999</v>
      </c>
      <c r="M26">
        <v>442</v>
      </c>
      <c r="N26">
        <v>1</v>
      </c>
      <c r="O26">
        <v>869</v>
      </c>
      <c r="P26" s="23">
        <v>0.645617</v>
      </c>
    </row>
    <row r="27" spans="1:16" x14ac:dyDescent="0.25">
      <c r="A27" t="s">
        <v>24</v>
      </c>
      <c r="B27" s="22">
        <v>805398301</v>
      </c>
      <c r="C27">
        <v>1385</v>
      </c>
      <c r="D27">
        <v>1115</v>
      </c>
      <c r="E27" s="23">
        <v>0.55400000000000005</v>
      </c>
      <c r="F27" s="23">
        <v>0.44600000000000001</v>
      </c>
      <c r="G27">
        <v>50</v>
      </c>
      <c r="H27">
        <v>4</v>
      </c>
      <c r="I27">
        <v>1369</v>
      </c>
      <c r="J27">
        <v>0.98844799999999999</v>
      </c>
      <c r="K27">
        <v>15</v>
      </c>
      <c r="L27">
        <v>61.066667000000002</v>
      </c>
      <c r="M27">
        <v>726</v>
      </c>
      <c r="N27">
        <v>1</v>
      </c>
      <c r="O27">
        <v>916</v>
      </c>
      <c r="P27" s="23">
        <v>0.66137199999999996</v>
      </c>
    </row>
    <row r="28" spans="1:16" x14ac:dyDescent="0.25">
      <c r="A28" t="s">
        <v>24</v>
      </c>
      <c r="B28" s="22">
        <v>962020104</v>
      </c>
      <c r="C28">
        <v>1385</v>
      </c>
      <c r="D28">
        <v>1115</v>
      </c>
      <c r="E28" s="23">
        <v>0.55400000000000005</v>
      </c>
      <c r="F28" s="23">
        <v>0.44600000000000001</v>
      </c>
      <c r="G28">
        <v>58</v>
      </c>
      <c r="H28">
        <v>1</v>
      </c>
      <c r="I28">
        <v>1385</v>
      </c>
      <c r="J28">
        <v>1</v>
      </c>
      <c r="K28">
        <v>14</v>
      </c>
      <c r="L28">
        <v>64.785713999999999</v>
      </c>
      <c r="M28">
        <v>404</v>
      </c>
      <c r="N28">
        <v>1</v>
      </c>
      <c r="O28">
        <v>907</v>
      </c>
      <c r="P28" s="23">
        <v>0.65487399999999996</v>
      </c>
    </row>
    <row r="29" spans="1:16" x14ac:dyDescent="0.25">
      <c r="A29" t="s">
        <v>24</v>
      </c>
      <c r="B29" s="22">
        <v>1725151311</v>
      </c>
      <c r="C29">
        <v>1334</v>
      </c>
      <c r="D29">
        <v>1166</v>
      </c>
      <c r="E29" s="23">
        <v>0.53359999999999996</v>
      </c>
      <c r="F29" s="23">
        <v>0.46639999999999998</v>
      </c>
      <c r="G29">
        <v>57</v>
      </c>
      <c r="H29">
        <v>2</v>
      </c>
      <c r="I29">
        <v>1333</v>
      </c>
      <c r="J29">
        <v>0.99924999999999997</v>
      </c>
      <c r="K29">
        <v>17</v>
      </c>
      <c r="L29">
        <v>51.529412000000001</v>
      </c>
      <c r="M29">
        <v>346</v>
      </c>
      <c r="N29">
        <v>1</v>
      </c>
      <c r="O29">
        <v>876</v>
      </c>
      <c r="P29" s="23">
        <v>0.65667200000000003</v>
      </c>
    </row>
    <row r="30" spans="1:16" x14ac:dyDescent="0.25">
      <c r="A30" t="s">
        <v>24</v>
      </c>
      <c r="B30" s="22">
        <v>1527728526</v>
      </c>
      <c r="C30">
        <v>1381</v>
      </c>
      <c r="D30">
        <v>1119</v>
      </c>
      <c r="E30" s="23">
        <v>0.5524</v>
      </c>
      <c r="F30" s="23">
        <v>0.4476</v>
      </c>
      <c r="G30">
        <v>64</v>
      </c>
      <c r="H30">
        <v>1</v>
      </c>
      <c r="I30">
        <v>1381</v>
      </c>
      <c r="J30">
        <v>1</v>
      </c>
      <c r="K30">
        <v>15</v>
      </c>
      <c r="L30">
        <v>61.4</v>
      </c>
      <c r="M30">
        <v>515</v>
      </c>
      <c r="N30">
        <v>1</v>
      </c>
      <c r="O30">
        <v>921</v>
      </c>
      <c r="P30" s="23">
        <v>0.66690799999999995</v>
      </c>
    </row>
    <row r="31" spans="1:16" x14ac:dyDescent="0.25">
      <c r="A31" t="s">
        <v>24</v>
      </c>
      <c r="B31" s="22">
        <v>805951033</v>
      </c>
      <c r="C31">
        <v>1351</v>
      </c>
      <c r="D31">
        <v>1149</v>
      </c>
      <c r="E31" s="23">
        <v>0.54039999999999999</v>
      </c>
      <c r="F31" s="23">
        <v>0.45960000000000001</v>
      </c>
      <c r="G31">
        <v>55</v>
      </c>
      <c r="H31">
        <v>3</v>
      </c>
      <c r="I31">
        <v>1349</v>
      </c>
      <c r="J31">
        <v>0.99851999999999996</v>
      </c>
      <c r="K31">
        <v>15</v>
      </c>
      <c r="L31">
        <v>56.666666999999997</v>
      </c>
      <c r="M31">
        <v>564</v>
      </c>
      <c r="N31">
        <v>1</v>
      </c>
      <c r="O31">
        <v>850</v>
      </c>
      <c r="P31" s="23">
        <v>0.62916399999999995</v>
      </c>
    </row>
    <row r="32" spans="1:16" x14ac:dyDescent="0.25">
      <c r="A32" t="s">
        <v>24</v>
      </c>
      <c r="B32" s="22">
        <v>1228723120</v>
      </c>
      <c r="C32">
        <v>1261</v>
      </c>
      <c r="D32">
        <v>1239</v>
      </c>
      <c r="E32" s="23">
        <v>0.50439999999999996</v>
      </c>
      <c r="F32" s="23">
        <v>0.49559999999999998</v>
      </c>
      <c r="G32">
        <v>54</v>
      </c>
      <c r="H32">
        <v>4</v>
      </c>
      <c r="I32">
        <v>1257</v>
      </c>
      <c r="J32">
        <v>0.99682800000000005</v>
      </c>
      <c r="K32">
        <v>17</v>
      </c>
      <c r="L32">
        <v>46.058824000000001</v>
      </c>
      <c r="M32">
        <v>408</v>
      </c>
      <c r="N32">
        <v>1</v>
      </c>
      <c r="O32">
        <v>783</v>
      </c>
      <c r="P32" s="23">
        <v>0.62093600000000004</v>
      </c>
    </row>
    <row r="33" spans="1:16" x14ac:dyDescent="0.25">
      <c r="A33" t="s">
        <v>24</v>
      </c>
      <c r="B33" s="22">
        <v>1751461903</v>
      </c>
      <c r="C33">
        <v>1396</v>
      </c>
      <c r="D33">
        <v>1104</v>
      </c>
      <c r="E33" s="23">
        <v>0.55840000000000001</v>
      </c>
      <c r="F33" s="23">
        <v>0.44159999999999999</v>
      </c>
      <c r="G33">
        <v>53</v>
      </c>
      <c r="H33">
        <v>1</v>
      </c>
      <c r="I33">
        <v>1396</v>
      </c>
      <c r="J33">
        <v>1</v>
      </c>
      <c r="K33">
        <v>13</v>
      </c>
      <c r="L33">
        <v>72</v>
      </c>
      <c r="M33">
        <v>429</v>
      </c>
      <c r="N33">
        <v>4</v>
      </c>
      <c r="O33">
        <v>936</v>
      </c>
      <c r="P33" s="23">
        <v>0.67048700000000006</v>
      </c>
    </row>
    <row r="34" spans="1:16" x14ac:dyDescent="0.25">
      <c r="A34" t="s">
        <v>24</v>
      </c>
      <c r="B34" s="22">
        <v>78466123</v>
      </c>
      <c r="C34">
        <v>1404</v>
      </c>
      <c r="D34">
        <v>1096</v>
      </c>
      <c r="E34" s="23">
        <v>0.56159999999999999</v>
      </c>
      <c r="F34" s="23">
        <v>0.43840000000000001</v>
      </c>
      <c r="G34">
        <v>57</v>
      </c>
      <c r="H34">
        <v>3</v>
      </c>
      <c r="I34">
        <v>1391</v>
      </c>
      <c r="J34">
        <v>0.99074099999999998</v>
      </c>
      <c r="K34">
        <v>16</v>
      </c>
      <c r="L34">
        <v>57.9375</v>
      </c>
      <c r="M34">
        <v>378</v>
      </c>
      <c r="N34">
        <v>1</v>
      </c>
      <c r="O34">
        <v>927</v>
      </c>
      <c r="P34" s="23">
        <v>0.66025599999999995</v>
      </c>
    </row>
    <row r="35" spans="1:16" x14ac:dyDescent="0.25">
      <c r="A35" t="s">
        <v>24</v>
      </c>
      <c r="B35" s="22">
        <v>1524145616</v>
      </c>
      <c r="C35">
        <v>1310</v>
      </c>
      <c r="D35">
        <v>1190</v>
      </c>
      <c r="E35" s="23">
        <v>0.52400000000000002</v>
      </c>
      <c r="F35" s="23">
        <v>0.47599999999999998</v>
      </c>
      <c r="G35">
        <v>59</v>
      </c>
      <c r="H35">
        <v>2</v>
      </c>
      <c r="I35">
        <v>1268</v>
      </c>
      <c r="J35">
        <v>0.96793899999999999</v>
      </c>
      <c r="K35">
        <v>17</v>
      </c>
      <c r="L35">
        <v>48.058824000000001</v>
      </c>
      <c r="M35">
        <v>200</v>
      </c>
      <c r="N35">
        <v>3</v>
      </c>
      <c r="O35">
        <v>817</v>
      </c>
      <c r="P35" s="23">
        <v>0.623664</v>
      </c>
    </row>
    <row r="36" spans="1:16" x14ac:dyDescent="0.25">
      <c r="A36" t="s">
        <v>24</v>
      </c>
      <c r="B36" s="22">
        <v>1322902778</v>
      </c>
      <c r="C36">
        <v>1459</v>
      </c>
      <c r="D36">
        <v>1041</v>
      </c>
      <c r="E36" s="23">
        <v>0.58360000000000001</v>
      </c>
      <c r="F36" s="23">
        <v>0.41639999999999999</v>
      </c>
      <c r="G36">
        <v>54</v>
      </c>
      <c r="H36">
        <v>2</v>
      </c>
      <c r="I36">
        <v>1457</v>
      </c>
      <c r="J36">
        <v>0.99862899999999999</v>
      </c>
      <c r="K36">
        <v>10</v>
      </c>
      <c r="L36">
        <v>99.6</v>
      </c>
      <c r="M36">
        <v>393</v>
      </c>
      <c r="N36">
        <v>3</v>
      </c>
      <c r="O36">
        <v>996</v>
      </c>
      <c r="P36" s="23">
        <v>0.68265900000000002</v>
      </c>
    </row>
    <row r="37" spans="1:16" x14ac:dyDescent="0.25">
      <c r="A37" t="s">
        <v>24</v>
      </c>
      <c r="B37" s="22">
        <v>1300667155</v>
      </c>
      <c r="C37">
        <v>1409</v>
      </c>
      <c r="D37">
        <v>1091</v>
      </c>
      <c r="E37" s="23">
        <v>0.56359999999999999</v>
      </c>
      <c r="F37" s="23">
        <v>0.43640000000000001</v>
      </c>
      <c r="G37">
        <v>58</v>
      </c>
      <c r="H37">
        <v>2</v>
      </c>
      <c r="I37">
        <v>1391</v>
      </c>
      <c r="J37">
        <v>0.98722500000000002</v>
      </c>
      <c r="K37">
        <v>11</v>
      </c>
      <c r="L37">
        <v>87.363636</v>
      </c>
      <c r="M37">
        <v>566</v>
      </c>
      <c r="N37">
        <v>1</v>
      </c>
      <c r="O37">
        <v>961</v>
      </c>
      <c r="P37" s="23">
        <v>0.68204399999999998</v>
      </c>
    </row>
    <row r="38" spans="1:16" x14ac:dyDescent="0.25">
      <c r="A38" t="s">
        <v>24</v>
      </c>
      <c r="B38" s="22">
        <v>724994114</v>
      </c>
      <c r="C38">
        <v>1326</v>
      </c>
      <c r="D38">
        <v>1174</v>
      </c>
      <c r="E38" s="23">
        <v>0.53039999999999998</v>
      </c>
      <c r="F38" s="23">
        <v>0.46960000000000002</v>
      </c>
      <c r="G38">
        <v>55</v>
      </c>
      <c r="H38">
        <v>5</v>
      </c>
      <c r="I38">
        <v>1316</v>
      </c>
      <c r="J38">
        <v>0.99245899999999998</v>
      </c>
      <c r="K38">
        <v>14</v>
      </c>
      <c r="L38">
        <v>58.857143000000001</v>
      </c>
      <c r="M38">
        <v>388</v>
      </c>
      <c r="N38">
        <v>1</v>
      </c>
      <c r="O38">
        <v>824</v>
      </c>
      <c r="P38" s="23">
        <v>0.62141800000000003</v>
      </c>
    </row>
    <row r="39" spans="1:16" x14ac:dyDescent="0.25">
      <c r="A39" t="s">
        <v>24</v>
      </c>
      <c r="B39" s="22">
        <v>138794660</v>
      </c>
      <c r="C39">
        <v>1393</v>
      </c>
      <c r="D39">
        <v>1107</v>
      </c>
      <c r="E39" s="23">
        <v>0.55720000000000003</v>
      </c>
      <c r="F39" s="23">
        <v>0.44280000000000003</v>
      </c>
      <c r="G39">
        <v>54</v>
      </c>
      <c r="H39">
        <v>2</v>
      </c>
      <c r="I39">
        <v>1385</v>
      </c>
      <c r="J39">
        <v>0.99425699999999995</v>
      </c>
      <c r="K39">
        <v>6</v>
      </c>
      <c r="L39">
        <v>161.33333300000001</v>
      </c>
      <c r="M39">
        <v>768</v>
      </c>
      <c r="N39">
        <v>1</v>
      </c>
      <c r="O39">
        <v>968</v>
      </c>
      <c r="P39" s="23">
        <v>0.69490300000000005</v>
      </c>
    </row>
    <row r="40" spans="1:16" x14ac:dyDescent="0.25">
      <c r="A40" t="s">
        <v>24</v>
      </c>
      <c r="B40" s="22">
        <v>248752183</v>
      </c>
      <c r="C40">
        <v>1369</v>
      </c>
      <c r="D40">
        <v>1131</v>
      </c>
      <c r="E40" s="23">
        <v>0.54759999999999998</v>
      </c>
      <c r="F40" s="23">
        <v>0.45240000000000002</v>
      </c>
      <c r="G40">
        <v>58</v>
      </c>
      <c r="H40">
        <v>1</v>
      </c>
      <c r="I40">
        <v>1369</v>
      </c>
      <c r="J40">
        <v>1</v>
      </c>
      <c r="K40">
        <v>21</v>
      </c>
      <c r="L40">
        <v>40.523809999999997</v>
      </c>
      <c r="M40">
        <v>448</v>
      </c>
      <c r="N40">
        <v>1</v>
      </c>
      <c r="O40">
        <v>851</v>
      </c>
      <c r="P40" s="23">
        <v>0.62162200000000001</v>
      </c>
    </row>
    <row r="41" spans="1:16" x14ac:dyDescent="0.25">
      <c r="A41" t="s">
        <v>24</v>
      </c>
      <c r="B41" s="22">
        <v>1077056980</v>
      </c>
      <c r="C41">
        <v>1386</v>
      </c>
      <c r="D41">
        <v>1114</v>
      </c>
      <c r="E41" s="23">
        <v>0.5544</v>
      </c>
      <c r="F41" s="23">
        <v>0.4456</v>
      </c>
      <c r="G41">
        <v>54</v>
      </c>
      <c r="H41">
        <v>1</v>
      </c>
      <c r="I41">
        <v>1386</v>
      </c>
      <c r="J41">
        <v>1</v>
      </c>
      <c r="K41">
        <v>15</v>
      </c>
      <c r="L41">
        <v>59.266666999999998</v>
      </c>
      <c r="M41">
        <v>376</v>
      </c>
      <c r="N41">
        <v>1</v>
      </c>
      <c r="O41">
        <v>889</v>
      </c>
      <c r="P41" s="23">
        <v>0.64141400000000004</v>
      </c>
    </row>
    <row r="42" spans="1:16" x14ac:dyDescent="0.25">
      <c r="A42" t="s">
        <v>24</v>
      </c>
      <c r="B42" s="22">
        <v>878872966</v>
      </c>
      <c r="C42">
        <v>1336</v>
      </c>
      <c r="D42">
        <v>1164</v>
      </c>
      <c r="E42" s="23">
        <v>0.53439999999999999</v>
      </c>
      <c r="F42" s="23">
        <v>0.46560000000000001</v>
      </c>
      <c r="G42">
        <v>52</v>
      </c>
      <c r="H42">
        <v>4</v>
      </c>
      <c r="I42">
        <v>1327</v>
      </c>
      <c r="J42">
        <v>0.99326300000000001</v>
      </c>
      <c r="K42">
        <v>15</v>
      </c>
      <c r="L42">
        <v>53.133333</v>
      </c>
      <c r="M42">
        <v>450</v>
      </c>
      <c r="N42">
        <v>2</v>
      </c>
      <c r="O42">
        <v>797</v>
      </c>
      <c r="P42" s="23">
        <v>0.596557</v>
      </c>
    </row>
    <row r="43" spans="1:16" x14ac:dyDescent="0.25">
      <c r="A43" t="s">
        <v>24</v>
      </c>
      <c r="B43" s="22">
        <v>370658463</v>
      </c>
      <c r="C43">
        <v>1353</v>
      </c>
      <c r="D43">
        <v>1147</v>
      </c>
      <c r="E43" s="23">
        <v>0.54120000000000001</v>
      </c>
      <c r="F43" s="23">
        <v>0.45879999999999999</v>
      </c>
      <c r="G43">
        <v>56</v>
      </c>
      <c r="H43">
        <v>3</v>
      </c>
      <c r="I43">
        <v>1351</v>
      </c>
      <c r="J43">
        <v>0.99852200000000002</v>
      </c>
      <c r="K43">
        <v>20</v>
      </c>
      <c r="L43">
        <v>41.65</v>
      </c>
      <c r="M43">
        <v>221</v>
      </c>
      <c r="N43">
        <v>1</v>
      </c>
      <c r="O43">
        <v>833</v>
      </c>
      <c r="P43" s="23">
        <v>0.61566900000000002</v>
      </c>
    </row>
    <row r="44" spans="1:16" x14ac:dyDescent="0.25">
      <c r="A44" t="s">
        <v>24</v>
      </c>
      <c r="B44" s="22">
        <v>353894589</v>
      </c>
      <c r="C44">
        <v>1359</v>
      </c>
      <c r="D44">
        <v>1141</v>
      </c>
      <c r="E44" s="23">
        <v>0.54359999999999997</v>
      </c>
      <c r="F44" s="23">
        <v>0.45639999999999997</v>
      </c>
      <c r="G44">
        <v>55</v>
      </c>
      <c r="H44">
        <v>3</v>
      </c>
      <c r="I44">
        <v>1355</v>
      </c>
      <c r="J44">
        <v>0.99705699999999997</v>
      </c>
      <c r="K44">
        <v>18</v>
      </c>
      <c r="L44">
        <v>48.388888999999999</v>
      </c>
      <c r="M44">
        <v>231</v>
      </c>
      <c r="N44">
        <v>1</v>
      </c>
      <c r="O44">
        <v>871</v>
      </c>
      <c r="P44" s="23">
        <v>0.64091200000000004</v>
      </c>
    </row>
    <row r="45" spans="1:16" x14ac:dyDescent="0.25">
      <c r="A45" t="s">
        <v>24</v>
      </c>
      <c r="B45" s="22">
        <v>1333316105</v>
      </c>
      <c r="C45">
        <v>1333</v>
      </c>
      <c r="D45">
        <v>1167</v>
      </c>
      <c r="E45" s="23">
        <v>0.53320000000000001</v>
      </c>
      <c r="F45" s="23">
        <v>0.46679999999999999</v>
      </c>
      <c r="G45">
        <v>60</v>
      </c>
      <c r="H45">
        <v>2</v>
      </c>
      <c r="I45">
        <v>1322</v>
      </c>
      <c r="J45">
        <v>0.99174799999999996</v>
      </c>
      <c r="K45">
        <v>14</v>
      </c>
      <c r="L45">
        <v>61.071429000000002</v>
      </c>
      <c r="M45">
        <v>484</v>
      </c>
      <c r="N45">
        <v>2</v>
      </c>
      <c r="O45">
        <v>855</v>
      </c>
      <c r="P45" s="23">
        <v>0.64141000000000004</v>
      </c>
    </row>
    <row r="46" spans="1:16" x14ac:dyDescent="0.25">
      <c r="A46" t="s">
        <v>24</v>
      </c>
      <c r="B46" s="22">
        <v>1293211337</v>
      </c>
      <c r="C46">
        <v>1362</v>
      </c>
      <c r="D46">
        <v>1138</v>
      </c>
      <c r="E46" s="23">
        <v>0.54479999999999995</v>
      </c>
      <c r="F46" s="23">
        <v>0.45519999999999999</v>
      </c>
      <c r="G46">
        <v>51</v>
      </c>
      <c r="H46">
        <v>2</v>
      </c>
      <c r="I46">
        <v>1361</v>
      </c>
      <c r="J46">
        <v>0.99926599999999999</v>
      </c>
      <c r="K46">
        <v>15</v>
      </c>
      <c r="L46">
        <v>58.8</v>
      </c>
      <c r="M46">
        <v>356</v>
      </c>
      <c r="N46">
        <v>1</v>
      </c>
      <c r="O46">
        <v>882</v>
      </c>
      <c r="P46" s="23">
        <v>0.64757699999999996</v>
      </c>
    </row>
    <row r="47" spans="1:16" x14ac:dyDescent="0.25">
      <c r="A47" t="s">
        <v>24</v>
      </c>
      <c r="B47" s="22">
        <v>1135963967</v>
      </c>
      <c r="C47">
        <v>1392</v>
      </c>
      <c r="D47">
        <v>1108</v>
      </c>
      <c r="E47" s="23">
        <v>0.55679999999999996</v>
      </c>
      <c r="F47" s="23">
        <v>0.44319999999999998</v>
      </c>
      <c r="G47">
        <v>58</v>
      </c>
      <c r="H47">
        <v>1</v>
      </c>
      <c r="I47">
        <v>1392</v>
      </c>
      <c r="J47">
        <v>1</v>
      </c>
      <c r="K47">
        <v>12</v>
      </c>
      <c r="L47">
        <v>78.333332999999996</v>
      </c>
      <c r="M47">
        <v>324</v>
      </c>
      <c r="N47">
        <v>4</v>
      </c>
      <c r="O47">
        <v>940</v>
      </c>
      <c r="P47" s="23">
        <v>0.67528699999999997</v>
      </c>
    </row>
    <row r="48" spans="1:16" x14ac:dyDescent="0.25">
      <c r="A48" t="s">
        <v>24</v>
      </c>
      <c r="B48" s="22">
        <v>1495221431</v>
      </c>
      <c r="C48">
        <v>1470</v>
      </c>
      <c r="D48">
        <v>1030</v>
      </c>
      <c r="E48" s="23">
        <v>0.58799999999999997</v>
      </c>
      <c r="F48" s="23">
        <v>0.41199999999999998</v>
      </c>
      <c r="G48">
        <v>56</v>
      </c>
      <c r="H48">
        <v>2</v>
      </c>
      <c r="I48">
        <v>1467</v>
      </c>
      <c r="J48">
        <v>0.99795900000000004</v>
      </c>
      <c r="K48">
        <v>8</v>
      </c>
      <c r="L48">
        <v>129.5</v>
      </c>
      <c r="M48">
        <v>630</v>
      </c>
      <c r="N48">
        <v>1</v>
      </c>
      <c r="O48">
        <v>1036</v>
      </c>
      <c r="P48" s="23">
        <v>0.704762</v>
      </c>
    </row>
    <row r="49" spans="1:16" x14ac:dyDescent="0.25">
      <c r="A49" t="s">
        <v>24</v>
      </c>
      <c r="B49" s="22">
        <v>176978467</v>
      </c>
      <c r="C49">
        <v>1451</v>
      </c>
      <c r="D49">
        <v>1049</v>
      </c>
      <c r="E49" s="23">
        <v>0.58040000000000003</v>
      </c>
      <c r="F49" s="23">
        <v>0.41959999999999997</v>
      </c>
      <c r="G49">
        <v>55</v>
      </c>
      <c r="H49">
        <v>2</v>
      </c>
      <c r="I49">
        <v>1450</v>
      </c>
      <c r="J49">
        <v>0.99931099999999995</v>
      </c>
      <c r="K49">
        <v>12</v>
      </c>
      <c r="L49">
        <v>86.083332999999996</v>
      </c>
      <c r="M49">
        <v>856</v>
      </c>
      <c r="N49">
        <v>1</v>
      </c>
      <c r="O49">
        <v>1033</v>
      </c>
      <c r="P49" s="23">
        <v>0.71192299999999997</v>
      </c>
    </row>
    <row r="50" spans="1:16" x14ac:dyDescent="0.25">
      <c r="A50" t="s">
        <v>24</v>
      </c>
      <c r="B50" s="22">
        <v>1378429236</v>
      </c>
      <c r="C50">
        <v>1331</v>
      </c>
      <c r="D50">
        <v>1169</v>
      </c>
      <c r="E50" s="23">
        <v>0.53239999999999998</v>
      </c>
      <c r="F50" s="23">
        <v>0.46760000000000002</v>
      </c>
      <c r="G50">
        <v>56</v>
      </c>
      <c r="H50">
        <v>2</v>
      </c>
      <c r="I50">
        <v>1330</v>
      </c>
      <c r="J50">
        <v>0.99924900000000005</v>
      </c>
      <c r="K50">
        <v>13</v>
      </c>
      <c r="L50">
        <v>66.230768999999995</v>
      </c>
      <c r="M50">
        <v>503</v>
      </c>
      <c r="N50">
        <v>1</v>
      </c>
      <c r="O50">
        <v>861</v>
      </c>
      <c r="P50" s="23">
        <v>0.64688199999999996</v>
      </c>
    </row>
    <row r="51" spans="1:16" x14ac:dyDescent="0.25">
      <c r="A51" t="s">
        <v>24</v>
      </c>
      <c r="B51" s="22">
        <v>596037540</v>
      </c>
      <c r="C51">
        <v>1435</v>
      </c>
      <c r="D51">
        <v>1065</v>
      </c>
      <c r="E51" s="23">
        <v>0.57399999999999995</v>
      </c>
      <c r="F51" s="23">
        <v>0.42599999999999999</v>
      </c>
      <c r="G51">
        <v>58</v>
      </c>
      <c r="H51">
        <v>3</v>
      </c>
      <c r="I51">
        <v>1431</v>
      </c>
      <c r="J51">
        <v>0.99721300000000002</v>
      </c>
      <c r="K51">
        <v>8</v>
      </c>
      <c r="L51">
        <v>125.625</v>
      </c>
      <c r="M51">
        <v>872</v>
      </c>
      <c r="N51">
        <v>6</v>
      </c>
      <c r="O51">
        <v>1005</v>
      </c>
      <c r="P51" s="23">
        <v>0.70034799999999997</v>
      </c>
    </row>
    <row r="52" spans="1:16" x14ac:dyDescent="0.25">
      <c r="A52" t="s">
        <v>26</v>
      </c>
      <c r="C52">
        <f>SUBTOTAL(101,CA4_wall30_it2_neigh2[floors])</f>
        <v>1371.48</v>
      </c>
      <c r="D52">
        <f>SUBTOTAL(101,CA4_wall30_it2_neigh2[walls])</f>
        <v>1128.52</v>
      </c>
      <c r="E52" s="24">
        <f>SUBTOTAL(101,CA4_wall30_it2_neigh2[floor_percent])</f>
        <v>0.54859200000000008</v>
      </c>
      <c r="F52" s="24">
        <f>SUBTOTAL(101,CA4_wall30_it2_neigh2[wall_percent])</f>
        <v>0.45140799999999986</v>
      </c>
      <c r="G52">
        <f>SUBTOTAL(101,CA4_wall30_it2_neigh2[longest_shortest_path])</f>
        <v>55.84</v>
      </c>
      <c r="H52">
        <f>SUBTOTAL(101,CA4_wall30_it2_neigh2[component_count])</f>
        <v>2.36</v>
      </c>
      <c r="I52">
        <f>SUBTOTAL(101,CA4_wall30_it2_neigh2[max_component_size])</f>
        <v>1365.92</v>
      </c>
      <c r="J52">
        <f>SUBTOTAL(101,CA4_wall30_it2_neigh2[connectivity_ratio])</f>
        <v>0.99588536000000005</v>
      </c>
      <c r="K52">
        <f>SUBTOTAL(101,CA4_wall30_it2_neigh2[room_count])</f>
        <v>14.32</v>
      </c>
      <c r="L52">
        <f>SUBTOTAL(101,CA4_wall30_it2_neigh2[avg_room_size])</f>
        <v>67.654681560000014</v>
      </c>
      <c r="M52">
        <f>SUBTOTAL(101,CA4_wall30_it2_neigh2[max_room_size])</f>
        <v>458.5</v>
      </c>
      <c r="N52">
        <f>SUBTOTAL(101,CA4_wall30_it2_neigh2[min_room_size])</f>
        <v>1.54</v>
      </c>
      <c r="O52">
        <f>SUBTOTAL(101,CA4_wall30_it2_neigh2[room_tiles])</f>
        <v>896.98</v>
      </c>
      <c r="P52" s="24">
        <f>SUBTOTAL(101,CA4_wall30_it2_neigh2[room_ratio])</f>
        <v>0.65346470000000012</v>
      </c>
    </row>
    <row r="53" spans="1:16" x14ac:dyDescent="0.25">
      <c r="A53" s="26" t="s">
        <v>42</v>
      </c>
      <c r="B53" s="26"/>
      <c r="C53" s="26"/>
      <c r="D53" s="26"/>
      <c r="E53" s="26"/>
      <c r="F53" s="2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0CAB-5620-426F-A44F-64F5DBB9265A}">
  <dimension ref="A1:L14"/>
  <sheetViews>
    <sheetView tabSelected="1" workbookViewId="0">
      <selection activeCell="N47" sqref="N47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12.140625" bestFit="1" customWidth="1"/>
    <col min="4" max="4" width="17" bestFit="1" customWidth="1"/>
    <col min="5" max="5" width="18.42578125" customWidth="1"/>
    <col min="7" max="7" width="9.42578125" customWidth="1"/>
    <col min="8" max="8" width="11.85546875" bestFit="1" customWidth="1"/>
    <col min="9" max="9" width="27" customWidth="1"/>
    <col min="10" max="10" width="14.5703125" customWidth="1"/>
    <col min="11" max="11" width="17" bestFit="1" customWidth="1"/>
    <col min="12" max="12" width="12.42578125" bestFit="1" customWidth="1"/>
  </cols>
  <sheetData>
    <row r="1" spans="1:12" x14ac:dyDescent="0.25">
      <c r="A1" s="18" t="s">
        <v>0</v>
      </c>
      <c r="B1" s="18"/>
      <c r="C1" s="18" t="s">
        <v>1</v>
      </c>
      <c r="D1" s="18"/>
      <c r="E1" s="18"/>
      <c r="H1" s="19" t="s">
        <v>25</v>
      </c>
      <c r="I1" s="20"/>
      <c r="J1" s="21" t="s">
        <v>1</v>
      </c>
      <c r="K1" s="21"/>
      <c r="L1" s="21"/>
    </row>
    <row r="2" spans="1:12" ht="15.75" thickBo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H2" s="2" t="s">
        <v>2</v>
      </c>
      <c r="I2" s="3" t="s">
        <v>7</v>
      </c>
      <c r="J2" s="2" t="s">
        <v>4</v>
      </c>
      <c r="K2" s="2" t="s">
        <v>5</v>
      </c>
      <c r="L2" s="2" t="s">
        <v>6</v>
      </c>
    </row>
    <row r="3" spans="1:12" x14ac:dyDescent="0.25">
      <c r="A3" s="4">
        <v>0.3</v>
      </c>
      <c r="B3" s="5">
        <v>2</v>
      </c>
      <c r="C3" s="17">
        <f>SUBTOTAL(101,CA4_wall30_it2_neigh2[floor_percent])</f>
        <v>0.54859200000000008</v>
      </c>
      <c r="D3" s="15">
        <f>SUBTOTAL(101,CA4_wall30_it2_neigh2[component_count])</f>
        <v>2.36</v>
      </c>
      <c r="E3" s="17">
        <f>SUBTOTAL(101,CA4_wall30_it2_neigh2[connectivity_ratio])</f>
        <v>0.99588536000000005</v>
      </c>
      <c r="H3" s="4">
        <v>0.5</v>
      </c>
      <c r="I3" s="5">
        <v>1</v>
      </c>
      <c r="J3" s="16">
        <f>SUBTOTAL(101,CA4_wall50_it1_neigh3[floor_percent])</f>
        <v>0.67677600000000016</v>
      </c>
      <c r="K3" s="14">
        <f>SUBTOTAL(101,CA4_wall50_it1_neigh3[component_count])</f>
        <v>1.54</v>
      </c>
      <c r="L3" s="16">
        <f>SUBTOTAL(101,CA4_wall50_it1_neigh3[connectivity_ratio])</f>
        <v>0.99947809999999992</v>
      </c>
    </row>
    <row r="4" spans="1:12" x14ac:dyDescent="0.25">
      <c r="A4" s="6">
        <v>0.3</v>
      </c>
      <c r="B4" s="7">
        <v>3</v>
      </c>
      <c r="C4" s="16">
        <f>SUBTOTAL(101,CA4_wall30_it2_neigh3[floor_percent])</f>
        <v>0.96980000000000022</v>
      </c>
      <c r="D4" s="14">
        <f>SUBTOTAL(101,CA4_wall30_it2_neigh3[component_count])</f>
        <v>1</v>
      </c>
      <c r="E4" s="16">
        <f>SUBTOTAL(101,CA4_wall30_it2_neigh3[connectivity_ratio])</f>
        <v>1</v>
      </c>
      <c r="H4" s="6">
        <v>0.5</v>
      </c>
      <c r="I4" s="7">
        <v>2</v>
      </c>
      <c r="J4" s="16">
        <f>SUBTOTAL(101,CA4_wall50_it2_neigh3[floor_percent])</f>
        <v>0.79936800000000008</v>
      </c>
      <c r="K4" s="14">
        <f>SUBTOTAL(101,CA4_wall50_it2_neigh3[component_count])</f>
        <v>1.04</v>
      </c>
      <c r="L4" s="16">
        <f>SUBTOTAL(101,CA4_wall50_it2_neigh3[connectivity_ratio])</f>
        <v>0.99988995999999997</v>
      </c>
    </row>
    <row r="5" spans="1:12" x14ac:dyDescent="0.25">
      <c r="A5" s="6">
        <v>0.5</v>
      </c>
      <c r="B5" s="7">
        <v>2</v>
      </c>
      <c r="C5" s="16">
        <f>SUBTOTAL(101,CA4_wall50_it2_neigh2[floor_percent])</f>
        <v>0.17745600000000003</v>
      </c>
      <c r="D5" s="14">
        <f>SUBTOTAL(101,CA4_wall50_it2_neigh2[component_count])</f>
        <v>40.6</v>
      </c>
      <c r="E5" s="16">
        <f>SUBTOTAL(101,CA4_wall50_it2_neigh2[connectivity_ratio])</f>
        <v>0.20230059999999994</v>
      </c>
      <c r="H5" s="6">
        <v>0.5</v>
      </c>
      <c r="I5" s="7">
        <v>3</v>
      </c>
      <c r="J5" s="16">
        <f>SUBTOTAL(101,CA4_wall50_it3_neigh3[floor_percent])</f>
        <v>0.87559199999999993</v>
      </c>
      <c r="K5" s="14">
        <f>SUBTOTAL(101,CA4_wall50_it3_neigh3[component_count])</f>
        <v>1.02</v>
      </c>
      <c r="L5" s="16">
        <f>SUBTOTAL(101,CA4_wall50_it3_neigh3[connectivity_ratio])</f>
        <v>0.99996364000000004</v>
      </c>
    </row>
    <row r="6" spans="1:12" x14ac:dyDescent="0.25">
      <c r="A6" s="6">
        <v>0.5</v>
      </c>
      <c r="B6" s="7">
        <v>3</v>
      </c>
      <c r="C6" s="16">
        <f>SUBTOTAL(101,CA4_wall50_it2_neigh3[floor_percent])</f>
        <v>0.79936800000000008</v>
      </c>
      <c r="D6" s="14">
        <f>SUBTOTAL(101,CA4_wall50_it2_neigh3[component_count])</f>
        <v>1.04</v>
      </c>
      <c r="E6" s="16">
        <f>SUBTOTAL(101,CA4_wall50_it2_neigh3[connectivity_ratio])</f>
        <v>0.99988995999999997</v>
      </c>
      <c r="H6" s="6">
        <v>0.5</v>
      </c>
      <c r="I6" s="7">
        <v>4</v>
      </c>
      <c r="J6" s="16">
        <f>SUBTOTAL(101,CA4_wall50_it4_neigh3[floor_percent])</f>
        <v>0.92487200000000025</v>
      </c>
      <c r="K6" s="14">
        <f>SUBTOTAL(101,CA4_wall50_it4_neigh3[component_count])</f>
        <v>1.02</v>
      </c>
      <c r="L6" s="16">
        <f>SUBTOTAL(101,CA4_wall50_it4_neigh3[connectivity_ratio])</f>
        <v>0.99998233999999997</v>
      </c>
    </row>
    <row r="7" spans="1:12" x14ac:dyDescent="0.25">
      <c r="A7" s="6">
        <v>0.7</v>
      </c>
      <c r="B7" s="7">
        <v>2</v>
      </c>
      <c r="C7" s="16">
        <f>SUBTOTAL(101,CA4_wall70_it2_neigh2[floor_percent])</f>
        <v>2.0871999999999998E-2</v>
      </c>
      <c r="D7" s="14">
        <f>SUBTOTAL(101,CA4_wall70_it2_neigh2[component_count])</f>
        <v>24.66</v>
      </c>
      <c r="E7" s="16">
        <f>SUBTOTAL(101,CA4_wall70_it2_neigh2[connectivity_ratio])</f>
        <v>0.13541561999999999</v>
      </c>
      <c r="H7" s="6">
        <v>0.5</v>
      </c>
      <c r="I7" s="7">
        <v>5</v>
      </c>
      <c r="J7" s="16">
        <f>SUBTOTAL(101,CA4_wall50_it5_neigh3[floor_percent])</f>
        <v>0.95216799999999979</v>
      </c>
      <c r="K7" s="14">
        <f>SUBTOTAL(101,CA4_wall50_it5_neigh3[component_count])</f>
        <v>1.02</v>
      </c>
      <c r="L7" s="16">
        <f>SUBTOTAL(101,CA4_wall50_it5_neigh3[connectivity_ratio])</f>
        <v>0.99998307999999991</v>
      </c>
    </row>
    <row r="8" spans="1:12" x14ac:dyDescent="0.25">
      <c r="A8" s="6">
        <v>0.7</v>
      </c>
      <c r="B8" s="7">
        <v>3</v>
      </c>
      <c r="C8" s="16">
        <f>SUBTOTAL(101,CA4_wall70_it2_neigh3[floor_percent])</f>
        <v>0.41716000000000009</v>
      </c>
      <c r="D8" s="14">
        <f>SUBTOTAL(101,CA4_wall70_it2_neigh3[component_count])</f>
        <v>9.64</v>
      </c>
      <c r="E8" s="16">
        <f>SUBTOTAL(101,CA4_wall70_it2_neigh3[connectivity_ratio])</f>
        <v>0.80396300000000009</v>
      </c>
      <c r="H8" s="6">
        <v>0.5</v>
      </c>
      <c r="I8" s="7">
        <v>6</v>
      </c>
      <c r="J8" s="16">
        <f>SUBTOTAL(101,CA4_wall50_it6_neigh3[floor_percent])</f>
        <v>0.97211200000000009</v>
      </c>
      <c r="K8" s="14">
        <f>SUBTOTAL(101,CA4_wall50_it6_neigh3[component_count])</f>
        <v>1</v>
      </c>
      <c r="L8" s="16">
        <f>SUBTOTAL(101,CA4_wall50_it6_neigh3[connectivity_ratio])</f>
        <v>1</v>
      </c>
    </row>
    <row r="9" spans="1:12" x14ac:dyDescent="0.25">
      <c r="A9" s="9"/>
      <c r="B9" s="9"/>
      <c r="C9" s="10"/>
      <c r="D9" s="11"/>
      <c r="E9" s="10"/>
      <c r="H9" s="8">
        <v>0.7</v>
      </c>
      <c r="I9" s="7">
        <v>1</v>
      </c>
      <c r="J9" s="16">
        <f>SUBTOTAL(101,CA4_wall70_it1_neigh3[floor_percent])</f>
        <v>0.3499600000000001</v>
      </c>
      <c r="K9" s="14">
        <f>SUBTOTAL(101,CA4_wall70_it1_neigh3[component_count])</f>
        <v>22.66</v>
      </c>
      <c r="L9" s="16">
        <f>SUBTOTAL(101,CA4_wall70_it1_neigh3[connectivity_ratio])</f>
        <v>0.59352122000000007</v>
      </c>
    </row>
    <row r="10" spans="1:12" x14ac:dyDescent="0.25">
      <c r="C10" s="10"/>
      <c r="D10" s="11"/>
      <c r="E10" s="10"/>
      <c r="H10" s="8">
        <v>0.7</v>
      </c>
      <c r="I10" s="7">
        <v>2</v>
      </c>
      <c r="J10" s="16">
        <f>SUBTOTAL(101,CA4_wall70_it2_neigh3[floor_percent])</f>
        <v>0.41716000000000009</v>
      </c>
      <c r="K10" s="14">
        <f>SUBTOTAL(101,CA4_wall70_it2_neigh3[component_count])</f>
        <v>9.64</v>
      </c>
      <c r="L10" s="16">
        <f>SUBTOTAL(101,CA4_wall70_it2_neigh3[connectivity_ratio])</f>
        <v>0.80396300000000009</v>
      </c>
    </row>
    <row r="11" spans="1:12" x14ac:dyDescent="0.25">
      <c r="A11" s="12"/>
      <c r="B11" s="13"/>
      <c r="C11" s="10"/>
      <c r="D11" s="11"/>
      <c r="E11" s="10"/>
      <c r="H11" s="8">
        <v>0.7</v>
      </c>
      <c r="I11" s="7">
        <v>3</v>
      </c>
      <c r="J11" s="16">
        <f>SUBTOTAL(101,CA4_wall70_it3_neigh3[floor_percent])</f>
        <v>0.47773599999999994</v>
      </c>
      <c r="K11" s="14">
        <f>SUBTOTAL(101,CA4_wall70_it3_neigh3[component_count])</f>
        <v>6.88</v>
      </c>
      <c r="L11" s="16">
        <f>SUBTOTAL(101,CA4_wall70_it3_neigh3[connectivity_ratio])</f>
        <v>0.93839794000000043</v>
      </c>
    </row>
    <row r="12" spans="1:12" x14ac:dyDescent="0.25">
      <c r="H12" s="8">
        <v>0.7</v>
      </c>
      <c r="I12" s="7">
        <v>4</v>
      </c>
      <c r="J12" s="16">
        <f>SUBTOTAL(101,CA4_wall70_it4_neigh3[floor_percent])</f>
        <v>0.53008799999999989</v>
      </c>
      <c r="K12" s="14">
        <f>SUBTOTAL(101,CA4_wall70_it4_neigh3[component_count])</f>
        <v>5.16</v>
      </c>
      <c r="L12" s="16">
        <f>SUBTOTAL(101,CA4_wall70_it4_neigh3[connectivity_ratio])</f>
        <v>0.96495761999999974</v>
      </c>
    </row>
    <row r="13" spans="1:12" x14ac:dyDescent="0.25">
      <c r="H13" s="8">
        <v>0.7</v>
      </c>
      <c r="I13" s="7">
        <v>5</v>
      </c>
      <c r="J13" s="16">
        <f>SUBTOTAL(101,CA4_wall70_it5_neigh3[floor_percent])</f>
        <v>0.58235200000000009</v>
      </c>
      <c r="K13" s="14">
        <f>SUBTOTAL(101,CA4_wall70_it5_neigh3[component_count])</f>
        <v>4.0199999999999996</v>
      </c>
      <c r="L13" s="16">
        <f>SUBTOTAL(101,CA4_wall70_it5_neigh3[connectivity_ratio])</f>
        <v>0.98000655999999997</v>
      </c>
    </row>
    <row r="14" spans="1:12" x14ac:dyDescent="0.25">
      <c r="H14" s="8">
        <v>0.7</v>
      </c>
      <c r="I14" s="7">
        <v>6</v>
      </c>
      <c r="J14" s="16">
        <f>SUBTOTAL(101,CA4_wall70_it6_neigh3[floor_percent])</f>
        <v>0.63292800000000005</v>
      </c>
      <c r="K14" s="14">
        <f>SUBTOTAL(101,CA4_wall70_it5_neigh3[component_count])</f>
        <v>4.0199999999999996</v>
      </c>
      <c r="L14" s="16">
        <f>SUBTOTAL(101,CA4_wall70_it6_neigh3[connectivity_ratio])</f>
        <v>0.98805919999999992</v>
      </c>
    </row>
  </sheetData>
  <mergeCells count="4">
    <mergeCell ref="A1:B1"/>
    <mergeCell ref="C1:E1"/>
    <mergeCell ref="H1:I1"/>
    <mergeCell ref="J1:L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E575D-904E-459D-BEBE-B6D1A0ADD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17</vt:i4>
      </vt:variant>
    </vt:vector>
  </HeadingPairs>
  <TitlesOfParts>
    <vt:vector size="17" baseType="lpstr">
      <vt:lpstr>CA4_wall70_it6_neigh3</vt:lpstr>
      <vt:lpstr>CA4_wall70_it5_neigh3</vt:lpstr>
      <vt:lpstr>CA4_wall70_it4_neigh3</vt:lpstr>
      <vt:lpstr>CA4_wall70_it3_neigh3</vt:lpstr>
      <vt:lpstr>CA4_wall70_it2_neigh3</vt:lpstr>
      <vt:lpstr>CA4_wall70_it2_neigh2</vt:lpstr>
      <vt:lpstr>CA4_wall70_it1_neigh3</vt:lpstr>
      <vt:lpstr>CA4_wall50_it6_neigh3</vt:lpstr>
      <vt:lpstr>CA4_wall50_it5_neigh3</vt:lpstr>
      <vt:lpstr>CA4_wall50_it4_neigh3</vt:lpstr>
      <vt:lpstr>CA4_wall50_it3_neigh3</vt:lpstr>
      <vt:lpstr>CA4_wall50_it2_neigh3</vt:lpstr>
      <vt:lpstr>CA4_wall50_it2_neigh2</vt:lpstr>
      <vt:lpstr>CA4_wall50_it1_neigh3</vt:lpstr>
      <vt:lpstr>CA4_wall30_it2_neigh3</vt:lpstr>
      <vt:lpstr>CA4_wall30_it2_neigh2</vt:lpstr>
      <vt:lpstr>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</dc:creator>
  <cp:lastModifiedBy>w8</cp:lastModifiedBy>
  <dcterms:created xsi:type="dcterms:W3CDTF">2026-04-18T16:06:55Z</dcterms:created>
  <dcterms:modified xsi:type="dcterms:W3CDTF">2026-04-21T09:48:25Z</dcterms:modified>
</cp:coreProperties>
</file>