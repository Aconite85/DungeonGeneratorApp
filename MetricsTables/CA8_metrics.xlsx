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škola\Bp\"/>
    </mc:Choice>
  </mc:AlternateContent>
  <xr:revisionPtr revIDLastSave="0" documentId="13_ncr:1_{F4134865-79D4-40DC-9794-C44DF90733C5}" xr6:coauthVersionLast="47" xr6:coauthVersionMax="47" xr10:uidLastSave="{00000000-0000-0000-0000-000000000000}"/>
  <bookViews>
    <workbookView xWindow="-120" yWindow="-120" windowWidth="29040" windowHeight="15840" tabRatio="964" firstSheet="10" activeTab="19" xr2:uid="{7AA2E1FD-5E81-410A-B959-DB44B9E3469F}"/>
  </bookViews>
  <sheets>
    <sheet name="CA8_wall70_it2_neigh6" sheetId="10" r:id="rId1"/>
    <sheet name="CA8_wall70_it2_neigh5" sheetId="9" r:id="rId2"/>
    <sheet name="CA8_wall70_it2_neigh4" sheetId="8" r:id="rId3"/>
    <sheet name="CA8_wall50_it2_neigh6" sheetId="7" r:id="rId4"/>
    <sheet name="CA8_wall50_it2_neigh5" sheetId="6" r:id="rId5"/>
    <sheet name="CA8_wall50_it2_neigh4" sheetId="5" r:id="rId6"/>
    <sheet name="CA8_wall30_it2_neigh6" sheetId="4" r:id="rId7"/>
    <sheet name="CA8_wall30_it2_neigh5" sheetId="3" r:id="rId8"/>
    <sheet name="CA8_wall30_it2_neigh4" sheetId="2" r:id="rId9"/>
    <sheet name="CA8_wall50_it6_neigh5" sheetId="15" r:id="rId10"/>
    <sheet name="CA8_wall50_it5_neigh5" sheetId="14" r:id="rId11"/>
    <sheet name="CA8_wall50_it4_neigh5" sheetId="13" r:id="rId12"/>
    <sheet name="CA8_wall50_it3_neigh5" sheetId="12" r:id="rId13"/>
    <sheet name="CA8_wall50_it1_neigh5" sheetId="11" r:id="rId14"/>
    <sheet name="CA8_wall70_it6_neigh5" sheetId="20" r:id="rId15"/>
    <sheet name="CA8_wall70_it5_neigh5" sheetId="19" r:id="rId16"/>
    <sheet name="CA8_wall70_it4_neigh5" sheetId="18" r:id="rId17"/>
    <sheet name="CA8_wall70_it3_neigh5" sheetId="17" r:id="rId18"/>
    <sheet name="CA8_wall70_it1_neigh5" sheetId="16" r:id="rId19"/>
    <sheet name="Souhrn" sheetId="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2" i="16" l="1"/>
  <c r="E52" i="16"/>
  <c r="F52" i="16"/>
  <c r="G52" i="16"/>
  <c r="H52" i="16"/>
  <c r="I52" i="16"/>
  <c r="J52" i="16"/>
  <c r="K52" i="16"/>
  <c r="L52" i="16"/>
  <c r="M52" i="16"/>
  <c r="N52" i="16"/>
  <c r="O52" i="16"/>
  <c r="P52" i="16"/>
  <c r="C52" i="16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C52" i="17"/>
  <c r="D52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C52" i="18"/>
  <c r="D52" i="19"/>
  <c r="E52" i="19"/>
  <c r="F52" i="19"/>
  <c r="G52" i="19"/>
  <c r="H52" i="19"/>
  <c r="I52" i="19"/>
  <c r="J52" i="19"/>
  <c r="K52" i="19"/>
  <c r="L52" i="19"/>
  <c r="M52" i="19"/>
  <c r="N52" i="19"/>
  <c r="O52" i="19"/>
  <c r="P52" i="19"/>
  <c r="C52" i="19"/>
  <c r="D52" i="20"/>
  <c r="E52" i="20"/>
  <c r="F52" i="20"/>
  <c r="G52" i="20"/>
  <c r="H52" i="20"/>
  <c r="I52" i="20"/>
  <c r="J52" i="20"/>
  <c r="K52" i="20"/>
  <c r="L52" i="20"/>
  <c r="M52" i="20"/>
  <c r="N52" i="20"/>
  <c r="O52" i="20"/>
  <c r="P52" i="20"/>
  <c r="C52" i="20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C52" i="11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C52" i="12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C52" i="13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C52" i="14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C52" i="15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C52" i="2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C52" i="3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C52" i="4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C52" i="5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C52" i="6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C52" i="7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C52" i="8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C52" i="9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C52" i="10"/>
  <c r="L14" i="1"/>
  <c r="L13" i="1"/>
  <c r="L12" i="1"/>
  <c r="L11" i="1"/>
  <c r="L9" i="1"/>
  <c r="K14" i="1"/>
  <c r="K13" i="1"/>
  <c r="K12" i="1"/>
  <c r="K11" i="1"/>
  <c r="K10" i="1"/>
  <c r="K9" i="1"/>
  <c r="J14" i="1"/>
  <c r="J13" i="1"/>
  <c r="J12" i="1"/>
  <c r="J11" i="1"/>
  <c r="J9" i="1"/>
  <c r="L10" i="1"/>
  <c r="J10" i="1"/>
  <c r="L8" i="1"/>
  <c r="L7" i="1"/>
  <c r="L6" i="1"/>
  <c r="L5" i="1"/>
  <c r="L3" i="1"/>
  <c r="K8" i="1"/>
  <c r="K7" i="1"/>
  <c r="K6" i="1"/>
  <c r="K5" i="1"/>
  <c r="K3" i="1"/>
  <c r="L4" i="1"/>
  <c r="K4" i="1"/>
  <c r="J8" i="1"/>
  <c r="J7" i="1"/>
  <c r="J6" i="1"/>
  <c r="J5" i="1"/>
  <c r="J4" i="1"/>
  <c r="J3" i="1"/>
  <c r="E11" i="1"/>
  <c r="E10" i="1"/>
  <c r="E9" i="1"/>
  <c r="E8" i="1"/>
  <c r="E7" i="1"/>
  <c r="E6" i="1"/>
  <c r="E5" i="1"/>
  <c r="E4" i="1"/>
  <c r="E3" i="1"/>
  <c r="D11" i="1"/>
  <c r="D10" i="1"/>
  <c r="D9" i="1"/>
  <c r="D8" i="1"/>
  <c r="D7" i="1"/>
  <c r="D6" i="1"/>
  <c r="D5" i="1"/>
  <c r="D4" i="1"/>
  <c r="D3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<sst xmlns="http://schemas.openxmlformats.org/spreadsheetml/2006/main" count="1306" uniqueCount="46">
  <si>
    <t>algorithm</t>
  </si>
  <si>
    <t>seed</t>
  </si>
  <si>
    <t>floors</t>
  </si>
  <si>
    <t>walls</t>
  </si>
  <si>
    <t>floor_percent</t>
  </si>
  <si>
    <t>wall_percent</t>
  </si>
  <si>
    <t>longest_shortest_path</t>
  </si>
  <si>
    <t>component_count</t>
  </si>
  <si>
    <t>max_component_size</t>
  </si>
  <si>
    <t>connectivity_ratio</t>
  </si>
  <si>
    <t>room_count</t>
  </si>
  <si>
    <t>avg_room_size</t>
  </si>
  <si>
    <t>max_room_size</t>
  </si>
  <si>
    <t>min_room_size</t>
  </si>
  <si>
    <t>room_tiles</t>
  </si>
  <si>
    <t>room_ratio</t>
  </si>
  <si>
    <t>DungeonGeneratorCA</t>
  </si>
  <si>
    <t>Wall chance</t>
  </si>
  <si>
    <t>Min Neighbour Walls</t>
  </si>
  <si>
    <t>Podíl podlah</t>
  </si>
  <si>
    <t>Počet komponent</t>
  </si>
  <si>
    <t>Průchodnost</t>
  </si>
  <si>
    <t>Průměrné hodnoty z 50 generovaných dungeonů</t>
  </si>
  <si>
    <t>Hodnoty parametrů; iterace = 2</t>
  </si>
  <si>
    <t>Iterations</t>
  </si>
  <si>
    <t>Hodnoty parametrů; Min Neighbour = 5</t>
  </si>
  <si>
    <t>Průměr</t>
  </si>
  <si>
    <t>Hodnoty parametrů: Wall chance = 70, Iterations = 2, Min neighbour walls = 6</t>
  </si>
  <si>
    <t>Hodnoty parametrů: Wall chance = 70, Iterations = 2, Min neighbour walls = 5</t>
  </si>
  <si>
    <t>Hodnoty parametrů: Wall chance = 70, Iterations = 2, Min neighbour walls = 4</t>
  </si>
  <si>
    <t>Hodnoty parametrů: Wall chance = 50, Iterations = 2, Min neighbour walls = 6</t>
  </si>
  <si>
    <t>Hodnoty parametrů: Wall chance = 50, Iterations = 2, Min neighbour walls = 5</t>
  </si>
  <si>
    <t>Hodnoty parametrů: Wall chance = 50, Iterations = 2, Min neighbour walls = 4</t>
  </si>
  <si>
    <t>Hodnoty parametrů: Wall chance = 30, Iterations = 2, Min neighbour walls = 6</t>
  </si>
  <si>
    <t>Hodnoty parametrů: Wall chance = 30, Iterations = 2, Min neighbour walls = 5</t>
  </si>
  <si>
    <t>Hodnoty parametrů: Wall chance = 30, Iterations = 2, Min neighbour walls = 4</t>
  </si>
  <si>
    <t>Hodnoty parametrů: Wall chance = 50, Iterations = 6, Min neighbour walls = 5</t>
  </si>
  <si>
    <t>Hodnoty parametrů: Wall chance = 50, Iterations = 5, Min neighbour walls = 5</t>
  </si>
  <si>
    <t>Hodnoty parametrů: Wall chance = 50, Iterations = 4, Min neighbour walls = 5</t>
  </si>
  <si>
    <t>Hodnoty parametrů: Wall chance = 50, Iterations = 3, Min neighbour walls = 5</t>
  </si>
  <si>
    <t>Hodnoty parametrů: Wall chance = 50, Iterations = 1, Min neighbour walls = 5</t>
  </si>
  <si>
    <t>Hodnoty parametrů: Wall chance = 70, Iterations = 6, Min neighbour walls = 5</t>
  </si>
  <si>
    <t>Hodnoty parametrů: Wall chance = 70, Iterations = 5, Min neighbour walls = 5</t>
  </si>
  <si>
    <t>Hodnoty parametrů: Wall chance = 70, Iterations = 4, Min neighbour walls = 5</t>
  </si>
  <si>
    <t>Hodnoty parametrů: Wall chance = 70, Iterations = 3, Min neighbour walls = 5</t>
  </si>
  <si>
    <t>Hodnoty parametrů: Wall chance = 70, Iterations = 1, Min neighbour walls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</si>
</sst>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9" fontId="0" fillId="0" borderId="0" xfId="1" applyFont="1"/>
    <xf numFmtId="9" fontId="0" fillId="0" borderId="0" xfId="0" applyNumberFormat="1"/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2" fillId="0" borderId="1" xfId="0" applyNumberFormat="1" applyFont="1" applyBorder="1"/>
    <xf numFmtId="2" fontId="2" fillId="0" borderId="1" xfId="0" applyNumberFormat="1" applyFont="1" applyBorder="1"/>
    <xf numFmtId="9" fontId="0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2" fillId="0" borderId="3" xfId="0" applyNumberFormat="1" applyFont="1" applyBorder="1"/>
    <xf numFmtId="2" fontId="2" fillId="0" borderId="3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0" fontId="0" fillId="0" borderId="0" xfId="0" applyAlignment="1">
      <alignment horizontal="left"/>
    </xf>
    <xf numFmtId="49" fontId="0" fillId="0" borderId="0" xfId="1" applyNumberFormat="1" applyFont="1"/>
  </cellXfs>
  <cellStyles count="2">
    <cellStyle name="Normální" xfId="0" builtinId="0"/>
    <cellStyle name="Procenta" xfId="1" builtinId="5"/>
  </cellStyles>
  <dxfs count="77"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A93D0D-C944-4476-94D4-C00C4A1529FC}" name="CA8_wall70_it2_neigh6" displayName="CA8_wall70_it2_neigh6" ref="A1:P52" totalsRowCount="1">
  <autoFilter ref="A1:P51" xr:uid="{E9A93D0D-C944-4476-94D4-C00C4A1529FC}"/>
  <tableColumns count="16">
    <tableColumn id="1" xr3:uid="{83930818-982B-4BE2-8083-9F3DB6A82F42}" name="algorithm" totalsRowLabel="Průměr" dataDxfId="57"/>
    <tableColumn id="2" xr3:uid="{29A96359-02B0-4C97-8265-A4A59C01F0F1}" name="seed" dataDxfId="56"/>
    <tableColumn id="3" xr3:uid="{5E97FA4B-44CA-4252-B78F-763CA275AA88}" name="floors" totalsRowFunction="average"/>
    <tableColumn id="4" xr3:uid="{BB92ECA7-024F-4A7A-8539-74033EB589D6}" name="walls" totalsRowFunction="average"/>
    <tableColumn id="5" xr3:uid="{6AEF5399-9438-4828-9BDB-A83B751BC393}" name="floor_percent" totalsRowFunction="average" dataCellStyle="Procenta"/>
    <tableColumn id="6" xr3:uid="{F0183D89-7E28-4C84-B039-2FF5EFB93D00}" name="wall_percent" totalsRowFunction="average" dataCellStyle="Procenta"/>
    <tableColumn id="7" xr3:uid="{0F18BB5F-0F68-470C-8EB0-6EB30BAD5369}" name="longest_shortest_path" totalsRowFunction="average"/>
    <tableColumn id="8" xr3:uid="{2E25045A-BD8C-4060-9050-B3ABA5990A9F}" name="component_count" totalsRowFunction="average"/>
    <tableColumn id="9" xr3:uid="{EA3B654E-1ADF-49C4-BDC9-6AF9C68E3786}" name="max_component_size" totalsRowFunction="average"/>
    <tableColumn id="10" xr3:uid="{91ADA095-946A-4194-876A-1F19BA3CE9EF}" name="connectivity_ratio" totalsRowFunction="average" dataDxfId="55" dataCellStyle="Procenta"/>
    <tableColumn id="11" xr3:uid="{7118B2F9-8ACA-4924-A3A1-CBADEE898AD1}" name="room_count" totalsRowFunction="average"/>
    <tableColumn id="12" xr3:uid="{F820BCBA-E2F4-41DB-8605-9BACC490BFD7}" name="avg_room_size" totalsRowFunction="average" dataDxfId="76"/>
    <tableColumn id="13" xr3:uid="{AF588A51-3403-4760-A7FA-6E821F9510F7}" name="max_room_size" totalsRowFunction="average"/>
    <tableColumn id="14" xr3:uid="{28B3DC5B-4D17-4C7B-BF2E-E7DE979E1C74}" name="min_room_size" totalsRowFunction="average"/>
    <tableColumn id="15" xr3:uid="{EDCBB299-DA7F-47A0-BF40-AE080696F642}" name="room_tiles" totalsRowFunction="average"/>
    <tableColumn id="16" xr3:uid="{8D871669-E27A-4D2C-8D6D-712551F7E002}" name="room_ratio" totalsRowFunction="average" dataCellStyle="Procent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E3B69B-B4CF-4492-94AF-B93C305C13A1}" name="CA8_wall70_it2_neigh5" displayName="CA8_wall70_it2_neigh5" ref="A1:P52" totalsRowCount="1">
  <autoFilter ref="A1:P51" xr:uid="{26E3B69B-B4CF-4492-94AF-B93C305C13A1}"/>
  <tableColumns count="16">
    <tableColumn id="1" xr3:uid="{A8E922E3-9453-4371-B3E4-7AA28CC2FE21}" name="algorithm" totalsRowLabel="Průměr" dataDxfId="54"/>
    <tableColumn id="2" xr3:uid="{830E6952-D851-4503-9DA1-32AA81EE1A5F}" name="seed" dataDxfId="53"/>
    <tableColumn id="3" xr3:uid="{6F5B91D3-E462-4198-873A-C88768257A33}" name="floors" totalsRowFunction="average"/>
    <tableColumn id="4" xr3:uid="{E8835365-8DE8-4BA0-B6A0-B82DF003BE74}" name="walls" totalsRowFunction="average"/>
    <tableColumn id="5" xr3:uid="{8B703BA3-3418-4073-AF8F-65F4231431C2}" name="floor_percent" totalsRowFunction="average" dataCellStyle="Procenta"/>
    <tableColumn id="6" xr3:uid="{7ACE01FC-F2D1-49CC-87BD-7CA5038130EE}" name="wall_percent" totalsRowFunction="average" dataCellStyle="Procenta"/>
    <tableColumn id="7" xr3:uid="{DB07711B-D68E-48D1-8690-42DB901B0BA8}" name="longest_shortest_path" totalsRowFunction="average"/>
    <tableColumn id="8" xr3:uid="{7E8EA9C5-02CE-4529-9C31-F9096BBAB2C1}" name="component_count" totalsRowFunction="average"/>
    <tableColumn id="9" xr3:uid="{269AE20F-65C7-4465-88EF-57E0AEE91576}" name="max_component_size" totalsRowFunction="average"/>
    <tableColumn id="10" xr3:uid="{253C40F1-1EAB-4DAE-BAF3-00BD827E8E0A}" name="connectivity_ratio" totalsRowFunction="average" dataDxfId="52" dataCellStyle="Procenta"/>
    <tableColumn id="11" xr3:uid="{55250AEF-3E34-47D5-8B39-D1A555AC0213}" name="room_count" totalsRowFunction="average"/>
    <tableColumn id="12" xr3:uid="{515D4CF1-74BE-4949-BC80-0D8EAE3C5E6E}" name="avg_room_size" totalsRowFunction="average" dataDxfId="75"/>
    <tableColumn id="13" xr3:uid="{24E76C78-78F8-4F10-8446-7C44E68E9924}" name="max_room_size" totalsRowFunction="average"/>
    <tableColumn id="14" xr3:uid="{97FC2C71-05BE-4C41-BEED-CE1316808596}" name="min_room_size" totalsRowFunction="average"/>
    <tableColumn id="15" xr3:uid="{CB69F021-8761-4603-A48C-1D9366099F3F}" name="room_tiles" totalsRowFunction="average"/>
    <tableColumn id="16" xr3:uid="{F7365AD9-A854-4412-BC8C-1D4C03C09A58}" name="room_ratio" totalsRowFunction="average" dataCellStyle="Procent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4BCF31-E733-4DDB-B9B9-E72766ADBBF7}" name="CA8_wall70_it2_neigh4" displayName="CA8_wall70_it2_neigh4" ref="A1:P52" totalsRowCount="1">
  <autoFilter ref="A1:P51" xr:uid="{A14BCF31-E733-4DDB-B9B9-E72766ADBBF7}"/>
  <tableColumns count="16">
    <tableColumn id="1" xr3:uid="{C42F390E-EA9C-4B76-BE9F-42221BB24215}" name="algorithm" totalsRowLabel="Průměr" dataDxfId="51"/>
    <tableColumn id="2" xr3:uid="{C740A3F1-7D3A-4359-B885-3BC2B99F84E4}" name="seed" dataDxfId="50" totalsRowDxfId="48"/>
    <tableColumn id="3" xr3:uid="{BC1A9B3F-0F97-4860-ABBB-BC78A3F98BCA}" name="floors" totalsRowFunction="average"/>
    <tableColumn id="4" xr3:uid="{68E9BD20-ACC4-4AE8-B842-56C4D0316C8C}" name="walls" totalsRowFunction="average"/>
    <tableColumn id="5" xr3:uid="{5D7526D7-AF8F-4626-AD04-C908AAA4CF83}" name="floor_percent" totalsRowFunction="average" dataCellStyle="Procenta"/>
    <tableColumn id="6" xr3:uid="{144315E5-010F-42D4-A52F-73380624C899}" name="wall_percent" totalsRowFunction="average" dataCellStyle="Procenta"/>
    <tableColumn id="7" xr3:uid="{E900F6A2-3436-4C08-926E-B4FBC1205711}" name="longest_shortest_path" totalsRowFunction="average"/>
    <tableColumn id="8" xr3:uid="{04FF3155-5656-415F-8F57-E2B41C826F2D}" name="component_count" totalsRowFunction="average"/>
    <tableColumn id="9" xr3:uid="{9EE29032-F4F3-4675-8CD6-730087F332C0}" name="max_component_size" totalsRowFunction="average"/>
    <tableColumn id="10" xr3:uid="{5839BCA8-D729-4F55-B5C4-41AACBDB340A}" name="connectivity_ratio" totalsRowFunction="average" dataDxfId="49" dataCellStyle="Procenta"/>
    <tableColumn id="11" xr3:uid="{0BD973EB-9B92-48C5-9DE6-563282887620}" name="room_count" totalsRowFunction="average"/>
    <tableColumn id="12" xr3:uid="{B1FAC11A-9F39-4902-BC4C-EA1564B66085}" name="avg_room_size" totalsRowFunction="average" dataDxfId="74"/>
    <tableColumn id="13" xr3:uid="{8ED12CFB-3BD0-4DE4-9981-B360DF4DED7B}" name="max_room_size" totalsRowFunction="average"/>
    <tableColumn id="14" xr3:uid="{0798945C-5DC0-4443-BBE9-E780EBFEAE2F}" name="min_room_size" totalsRowFunction="average"/>
    <tableColumn id="15" xr3:uid="{4B4C6BE1-E2E4-44EC-9E21-630F29E6182A}" name="room_tiles" totalsRowFunction="average"/>
    <tableColumn id="16" xr3:uid="{E738CF9C-35FD-42CA-9375-7F9360F180AC}" name="room_ratio" totalsRowFunction="average" dataCellStyle="Procent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FA5EE9-5470-4C0A-BA3B-416195C0CF8B}" name="CA8_wall50_it2_neigh6" displayName="CA8_wall50_it2_neigh6" ref="A1:P52" totalsRowCount="1">
  <autoFilter ref="A1:P51" xr:uid="{B5FA5EE9-5470-4C0A-BA3B-416195C0CF8B}"/>
  <tableColumns count="16">
    <tableColumn id="1" xr3:uid="{4828D54F-E140-407D-9655-A04F2E823737}" name="algorithm" totalsRowLabel="Průměr" dataDxfId="46"/>
    <tableColumn id="2" xr3:uid="{47C4B7D5-2921-40AA-BA44-C8FCB49EBCA6}" name="seed" dataDxfId="45"/>
    <tableColumn id="3" xr3:uid="{5A53FD8F-68B2-485F-A647-EA215E1B70B6}" name="floors" totalsRowFunction="average"/>
    <tableColumn id="4" xr3:uid="{554272F7-DC5F-4B8C-9308-659F5562373E}" name="walls" totalsRowFunction="average"/>
    <tableColumn id="5" xr3:uid="{F3A0C207-63D1-4524-9A5F-9BA3246D037B}" name="floor_percent" totalsRowFunction="average" dataCellStyle="Procenta"/>
    <tableColumn id="6" xr3:uid="{DECF6147-A0F5-40DB-BCFE-CED8A76C6015}" name="wall_percent" totalsRowFunction="average" dataCellStyle="Procenta"/>
    <tableColumn id="7" xr3:uid="{14377780-8C48-4106-A476-5A518335D865}" name="longest_shortest_path" totalsRowFunction="average"/>
    <tableColumn id="8" xr3:uid="{CC1AD750-42BB-4A48-85A7-15E508C9B4B1}" name="component_count" totalsRowFunction="average"/>
    <tableColumn id="9" xr3:uid="{B62CBAF8-5B6A-49D8-A9C8-E79CC9DABEA7}" name="max_component_size" totalsRowFunction="average"/>
    <tableColumn id="10" xr3:uid="{6603FDCF-CD40-44EB-9126-803333400110}" name="connectivity_ratio" totalsRowFunction="average" dataDxfId="47" dataCellStyle="Procenta"/>
    <tableColumn id="11" xr3:uid="{58F53F8F-C7D0-4A7F-A2C1-80CF53B67987}" name="room_count" totalsRowFunction="average"/>
    <tableColumn id="12" xr3:uid="{56551836-2DC1-472C-9EFA-ACB149E08524}" name="avg_room_size" totalsRowFunction="average" dataDxfId="73"/>
    <tableColumn id="13" xr3:uid="{E1265A56-1CDC-488B-B303-311267AD2696}" name="max_room_size" totalsRowFunction="average"/>
    <tableColumn id="14" xr3:uid="{04DBE35F-29E9-4587-A80C-62E0A1FB297D}" name="min_room_size" totalsRowFunction="average"/>
    <tableColumn id="15" xr3:uid="{5259A10B-3098-43F6-BD2C-5928635FEA41}" name="room_tiles" totalsRowFunction="average"/>
    <tableColumn id="16" xr3:uid="{0BCDC794-52A7-4C20-87BF-672FF294C7A0}" name="room_ratio" totalsRowFunction="average" dataCellStyle="Procent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CEEAB-AAA2-455F-8F3F-B28E857A15C8}" name="CA8_wall50_it2_neigh5" displayName="CA8_wall50_it2_neigh5" ref="A1:P52" totalsRowCount="1">
  <autoFilter ref="A1:P51" xr:uid="{817CEEAB-AAA2-455F-8F3F-B28E857A15C8}"/>
  <tableColumns count="16">
    <tableColumn id="1" xr3:uid="{E84D283A-AECC-4C24-BAB3-594657E23FE3}" name="algorithm" totalsRowLabel="Průměr" dataDxfId="44"/>
    <tableColumn id="2" xr3:uid="{8674F5D8-6B29-4147-A0C8-89A59F9AF3A0}" name="seed" dataDxfId="43"/>
    <tableColumn id="3" xr3:uid="{007CDC6A-A50D-4664-AF13-A80170FDDF1C}" name="floors" totalsRowFunction="average"/>
    <tableColumn id="4" xr3:uid="{C6035AB2-1C15-494B-AEB7-BACE540AE5C7}" name="walls" totalsRowFunction="average"/>
    <tableColumn id="5" xr3:uid="{A9D6B2EA-EB4F-4AF6-8992-75D169231B0A}" name="floor_percent" totalsRowFunction="average" dataCellStyle="Procenta"/>
    <tableColumn id="6" xr3:uid="{3C6322BB-47DB-4C9C-A45F-158238DE488A}" name="wall_percent" totalsRowFunction="average" dataCellStyle="Procenta"/>
    <tableColumn id="7" xr3:uid="{A874D155-A2C8-4651-B3B2-0F7FA83A765A}" name="longest_shortest_path" totalsRowFunction="average"/>
    <tableColumn id="8" xr3:uid="{9D601CD3-00BC-46BC-9E3E-B9E6DF63C9C3}" name="component_count" totalsRowFunction="average"/>
    <tableColumn id="9" xr3:uid="{EE477908-BE9D-451C-8FBD-53BEBC1E7874}" name="max_component_size" totalsRowFunction="average"/>
    <tableColumn id="10" xr3:uid="{EE800C6F-A9F6-4F66-9D48-D7BAA05F970D}" name="connectivity_ratio" totalsRowFunction="average" dataDxfId="42" dataCellStyle="Procenta"/>
    <tableColumn id="11" xr3:uid="{8C297ABD-E35C-4A54-A3F2-083D1F2FBE10}" name="room_count" totalsRowFunction="average"/>
    <tableColumn id="12" xr3:uid="{7BDC958E-DEB1-444D-B07B-36D36F0C4B6D}" name="avg_room_size" totalsRowFunction="average" dataDxfId="72"/>
    <tableColumn id="13" xr3:uid="{33E1F224-7FE3-48DA-8257-295A66ACBDF1}" name="max_room_size" totalsRowFunction="average"/>
    <tableColumn id="14" xr3:uid="{EEF7129D-0D1E-449D-84A6-2291B0FCEABC}" name="min_room_size" totalsRowFunction="average"/>
    <tableColumn id="15" xr3:uid="{38B40520-876D-4FA3-AAAE-18D2325EE5D1}" name="room_tiles" totalsRowFunction="average"/>
    <tableColumn id="16" xr3:uid="{E2E16468-B556-4E06-A7E5-A0F89C4F5C78}" name="room_ratio" totalsRowFunction="average" dataCellStyle="Procent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2502F8-8EC0-41FE-AFD5-19753DB79757}" name="CA8_wall50_it2_neigh4" displayName="CA8_wall50_it2_neigh4" ref="A1:P52" totalsRowCount="1">
  <autoFilter ref="A1:P51" xr:uid="{592502F8-8EC0-41FE-AFD5-19753DB79757}"/>
  <tableColumns count="16">
    <tableColumn id="1" xr3:uid="{B7759118-52D7-40A9-A0BC-2E979522802A}" name="algorithm" totalsRowLabel="Průměr" dataDxfId="41"/>
    <tableColumn id="2" xr3:uid="{5A8A0FDB-D2A5-4D34-85BD-34DF7FA44D4A}" name="seed" dataDxfId="40"/>
    <tableColumn id="3" xr3:uid="{0D14566F-72A6-4B38-A1B6-038093429F3E}" name="floors" totalsRowFunction="average"/>
    <tableColumn id="4" xr3:uid="{3CCC21AB-BD83-4F93-9501-100B838D0B49}" name="walls" totalsRowFunction="average"/>
    <tableColumn id="5" xr3:uid="{E57866EC-2AAE-42EC-AB8F-AB66CF93FEF7}" name="floor_percent" totalsRowFunction="average" dataCellStyle="Procenta"/>
    <tableColumn id="6" xr3:uid="{5CFB3D45-8AD3-4B7B-A4F4-986B523586EF}" name="wall_percent" totalsRowFunction="average" dataCellStyle="Procenta"/>
    <tableColumn id="7" xr3:uid="{E47DEBEF-5A33-4E06-B24E-BCB2B24D9071}" name="longest_shortest_path" totalsRowFunction="average"/>
    <tableColumn id="8" xr3:uid="{C653609F-9C75-4E72-851B-8C50A034FA34}" name="component_count" totalsRowFunction="average"/>
    <tableColumn id="9" xr3:uid="{FC5853B9-CF4A-4617-9E18-3EB87AE2E730}" name="max_component_size" totalsRowFunction="average"/>
    <tableColumn id="10" xr3:uid="{9DB30B5A-D199-46CC-A74D-40E8A6BA78BB}" name="connectivity_ratio" totalsRowFunction="average" dataDxfId="39" dataCellStyle="Procenta"/>
    <tableColumn id="11" xr3:uid="{DFAC3E80-CE9F-48DD-B7DF-C0586B57F4B2}" name="room_count" totalsRowFunction="average"/>
    <tableColumn id="12" xr3:uid="{9BB417EB-B288-470E-A692-3B9F536545D1}" name="avg_room_size" totalsRowFunction="average" dataDxfId="71"/>
    <tableColumn id="13" xr3:uid="{172748A9-993E-47DA-97C9-E340424DC67E}" name="max_room_size" totalsRowFunction="average"/>
    <tableColumn id="14" xr3:uid="{E108448D-2EAC-44D3-8833-E593E88235CC}" name="min_room_size" totalsRowFunction="average"/>
    <tableColumn id="15" xr3:uid="{8EB24103-7FDB-4876-9C62-061201417B12}" name="room_tiles" totalsRowFunction="average"/>
    <tableColumn id="16" xr3:uid="{DD9D4F00-BD60-444C-8360-BC3EF270469F}" name="room_ratio" totalsRowFunction="average" dataCellStyle="Procenta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219069-6C0D-4B94-B09A-F047C5259740}" name="CA8_wall30_it2_neigh6" displayName="CA8_wall30_it2_neigh6" ref="A1:P52" totalsRowCount="1">
  <autoFilter ref="A1:P51" xr:uid="{85219069-6C0D-4B94-B09A-F047C5259740}"/>
  <tableColumns count="16">
    <tableColumn id="1" xr3:uid="{550FEC4E-4748-4150-969A-2EBDC302228C}" name="algorithm" totalsRowLabel="Průměr" dataDxfId="38"/>
    <tableColumn id="2" xr3:uid="{D4A2967C-7705-44DC-B129-FB8A015CF1D7}" name="seed" dataDxfId="37"/>
    <tableColumn id="3" xr3:uid="{1FFEE68B-0AF5-4193-B72E-68550BA0EDCA}" name="floors" totalsRowFunction="average"/>
    <tableColumn id="4" xr3:uid="{6C5D5AE5-06B9-47E9-9F3A-56C84BFB24E0}" name="walls" totalsRowFunction="average"/>
    <tableColumn id="5" xr3:uid="{04E587DC-2A40-43F1-9627-0AF4DBECC3D9}" name="floor_percent" totalsRowFunction="average" dataCellStyle="Procenta"/>
    <tableColumn id="6" xr3:uid="{8979E16E-501A-446A-B579-5E6F379EF7D6}" name="wall_percent" totalsRowFunction="average" dataCellStyle="Procenta"/>
    <tableColumn id="7" xr3:uid="{F7B1F936-91D3-4791-A416-5E64C447DC6C}" name="longest_shortest_path" totalsRowFunction="average"/>
    <tableColumn id="8" xr3:uid="{0CAFF133-7A3F-46A9-B1EF-7A64E957FF55}" name="component_count" totalsRowFunction="average"/>
    <tableColumn id="9" xr3:uid="{AB9F53FE-520B-42DE-A66C-C5B0182098D2}" name="max_component_size" totalsRowFunction="average"/>
    <tableColumn id="10" xr3:uid="{BD10BBCC-02E7-4F90-9820-FB712AA622B3}" name="connectivity_ratio" totalsRowFunction="average" dataDxfId="36" dataCellStyle="Procenta"/>
    <tableColumn id="11" xr3:uid="{FE343DF4-A8B5-4BE2-908D-5A20D6F4A0D1}" name="room_count" totalsRowFunction="average"/>
    <tableColumn id="12" xr3:uid="{9B933024-C8C7-4119-AE93-D84405C92CFF}" name="avg_room_size" totalsRowFunction="average" dataDxfId="70"/>
    <tableColumn id="13" xr3:uid="{853FD5B5-989F-4874-B65E-8C05B823D3D5}" name="max_room_size" totalsRowFunction="average"/>
    <tableColumn id="14" xr3:uid="{8F3FDA1D-1362-4AD8-845C-BDD63062CFA6}" name="min_room_size" totalsRowFunction="average"/>
    <tableColumn id="15" xr3:uid="{BA173528-93AB-4A3B-82D9-99AA7F9EBA7E}" name="room_tiles" totalsRowFunction="average"/>
    <tableColumn id="16" xr3:uid="{1962C80E-2C4D-4FE3-8FDC-656DB6388844}" name="room_ratio" totalsRowFunction="average" dataCellStyle="Procenta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D2E5A-F323-4BB8-BAA8-1D97D41857B3}" name="CA8_wall30_it2_neigh5" displayName="CA8_wall30_it2_neigh5" ref="A1:P52" totalsRowCount="1">
  <autoFilter ref="A1:P51" xr:uid="{83BD2E5A-F323-4BB8-BAA8-1D97D41857B3}"/>
  <tableColumns count="16">
    <tableColumn id="1" xr3:uid="{A5192AB7-0C61-4508-AAC1-203E1D878E6D}" name="algorithm" totalsRowLabel="Průměr" dataDxfId="35"/>
    <tableColumn id="2" xr3:uid="{421E12DD-E25E-4BD9-BCEB-B95F637F0C1F}" name="seed" dataDxfId="34"/>
    <tableColumn id="3" xr3:uid="{17A25209-4990-41C9-81AF-946DBE2377A9}" name="floors" totalsRowFunction="average"/>
    <tableColumn id="4" xr3:uid="{F69B7A3F-D594-4128-A5CC-D51585633843}" name="walls" totalsRowFunction="average"/>
    <tableColumn id="5" xr3:uid="{91801ED7-65E9-42BC-803C-E41C79E86001}" name="floor_percent" totalsRowFunction="average" dataCellStyle="Procenta"/>
    <tableColumn id="6" xr3:uid="{CFD6E8E1-38E9-46D9-836A-BA83BFD29E3C}" name="wall_percent" totalsRowFunction="average" dataCellStyle="Procenta"/>
    <tableColumn id="7" xr3:uid="{A86366C9-B587-4AE3-AD73-23CC213D9FD5}" name="longest_shortest_path" totalsRowFunction="average"/>
    <tableColumn id="8" xr3:uid="{688DE36F-3953-4B17-B0AC-DACE9501F745}" name="component_count" totalsRowFunction="average"/>
    <tableColumn id="9" xr3:uid="{80E7D394-C016-4D59-BAA6-745759C9D7A9}" name="max_component_size" totalsRowFunction="average"/>
    <tableColumn id="10" xr3:uid="{AA2A04FD-974C-4011-9838-521CF9316034}" name="connectivity_ratio" totalsRowFunction="average" dataDxfId="33" dataCellStyle="Procenta"/>
    <tableColumn id="11" xr3:uid="{65BE7F59-C1AD-4E9E-9621-5B2EC45FA753}" name="room_count" totalsRowFunction="average"/>
    <tableColumn id="12" xr3:uid="{0C57534B-DDA1-4AB8-B00A-4BADB2FD7146}" name="avg_room_size" totalsRowFunction="average" dataDxfId="69"/>
    <tableColumn id="13" xr3:uid="{9A047A9A-5798-4807-A880-B164ABCBCC24}" name="max_room_size" totalsRowFunction="average"/>
    <tableColumn id="14" xr3:uid="{856CDF71-6DC9-4F05-85DB-9BE597F7A746}" name="min_room_size" totalsRowFunction="average"/>
    <tableColumn id="15" xr3:uid="{917E885D-FF81-4898-9B77-DD4848F88D59}" name="room_tiles" totalsRowFunction="average"/>
    <tableColumn id="16" xr3:uid="{78859967-B3A3-42F4-B210-6B441EF08681}" name="room_ratio" totalsRowFunction="average" dataCellStyle="Procenta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CF84B-F876-4242-8E42-F99A0460B996}" name="CA8_wall30_it2_neigh4" displayName="CA8_wall30_it2_neigh4" ref="A1:P52" totalsRowCount="1">
  <autoFilter ref="A1:P51" xr:uid="{0B0CF84B-F876-4242-8E42-F99A0460B996}"/>
  <tableColumns count="16">
    <tableColumn id="1" xr3:uid="{ACD75306-2C0E-4203-A41F-E6319EF5074C}" name="algorithm" totalsRowLabel="Průměr" dataDxfId="32"/>
    <tableColumn id="2" xr3:uid="{2212D964-A0F0-4267-893B-40629B0F2434}" name="seed" dataDxfId="31"/>
    <tableColumn id="3" xr3:uid="{4B7F5ADA-2746-4050-8515-DF0552B3C22D}" name="floors" totalsRowFunction="average"/>
    <tableColumn id="4" xr3:uid="{F009ED75-B7F3-4FD1-BDE2-8A1F3D650241}" name="walls" totalsRowFunction="average"/>
    <tableColumn id="5" xr3:uid="{B36A5C18-8630-44C8-BB34-3B78BE9CE64B}" name="floor_percent" totalsRowFunction="average" dataCellStyle="Procenta"/>
    <tableColumn id="6" xr3:uid="{6630B1C4-395D-43B5-B94A-2D8646CBDAE3}" name="wall_percent" totalsRowFunction="average" dataCellStyle="Procenta"/>
    <tableColumn id="7" xr3:uid="{0C8DCB42-CDB4-423A-A0FA-55D6069C7CA2}" name="longest_shortest_path" totalsRowFunction="average"/>
    <tableColumn id="8" xr3:uid="{73BBA4BC-7F31-4B87-8AFD-CF7166E07BAF}" name="component_count" totalsRowFunction="average"/>
    <tableColumn id="9" xr3:uid="{8EBFF0CA-8B38-409E-B0BF-29FC4F63CE4D}" name="max_component_size" totalsRowFunction="average"/>
    <tableColumn id="10" xr3:uid="{B87231E0-8446-40C0-B4F2-401C2ADECAD4}" name="connectivity_ratio" totalsRowFunction="average" dataDxfId="30" dataCellStyle="Procenta"/>
    <tableColumn id="11" xr3:uid="{2F70C70C-F2A0-4CBE-A91B-3E4631231162}" name="room_count" totalsRowFunction="average"/>
    <tableColumn id="12" xr3:uid="{A0EBDDA7-02D8-4BEF-B96A-F8BF966A2FBA}" name="avg_room_size" totalsRowFunction="average" dataDxfId="68"/>
    <tableColumn id="13" xr3:uid="{52EF9DF1-9541-4501-88E8-4CE9025E1E8E}" name="max_room_size" totalsRowFunction="average"/>
    <tableColumn id="14" xr3:uid="{E5D1188B-1008-4EE9-AB06-B80F4492BC52}" name="min_room_size" totalsRowFunction="average"/>
    <tableColumn id="15" xr3:uid="{83EFD435-9712-4A2A-AD89-E5A6F2CB9FC7}" name="room_tiles" totalsRowFunction="average"/>
    <tableColumn id="16" xr3:uid="{C92A6609-8894-4C7B-9389-D497679B4B50}" name="room_ratio" totalsRowFunction="average" dataCellStyle="Procenta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17EEB98-AC33-4C4C-9FA5-7060B92C9E0A}" name="CA8_wall50_it6_neigh5" displayName="CA8_wall50_it6_neigh5" ref="A1:P52" totalsRowCount="1">
  <autoFilter ref="A1:P51" xr:uid="{417EEB98-AC33-4C4C-9FA5-7060B92C9E0A}"/>
  <tableColumns count="16">
    <tableColumn id="1" xr3:uid="{808431AB-13FD-42BB-9484-7E9F92C26D1F}" name="algorithm" totalsRowLabel="Průměr" dataDxfId="29"/>
    <tableColumn id="2" xr3:uid="{102A8AB5-FC2F-47C2-B3B7-13E4DCFF0A69}" name="seed" dataDxfId="28"/>
    <tableColumn id="3" xr3:uid="{AFA7505B-786F-415B-AA08-0A6F12450F48}" name="floors" totalsRowFunction="average"/>
    <tableColumn id="4" xr3:uid="{1C13E5C9-1ABD-46A7-A347-C3918A865CD8}" name="walls" totalsRowFunction="average"/>
    <tableColumn id="5" xr3:uid="{CB03F377-B56D-41A7-8E44-2A99C8D519E8}" name="floor_percent" totalsRowFunction="average" dataCellStyle="Procenta"/>
    <tableColumn id="6" xr3:uid="{0E65263D-3E50-406C-B8C9-C6413AB41F65}" name="wall_percent" totalsRowFunction="average" dataCellStyle="Procenta"/>
    <tableColumn id="7" xr3:uid="{AC69E33B-10F5-4648-9258-C6540DBD6771}" name="longest_shortest_path" totalsRowFunction="average"/>
    <tableColumn id="8" xr3:uid="{999CF294-D7E5-44C9-8BE4-376E68287A9F}" name="component_count" totalsRowFunction="average"/>
    <tableColumn id="9" xr3:uid="{250238BB-0548-49B8-99B5-31E738C46A04}" name="max_component_size" totalsRowFunction="average"/>
    <tableColumn id="10" xr3:uid="{294981E9-B9CF-4FA4-9526-8742BB535039}" name="connectivity_ratio" totalsRowFunction="average" dataDxfId="27" dataCellStyle="Procenta"/>
    <tableColumn id="11" xr3:uid="{9FE39E0A-30D5-4790-88E7-6709AE86FD66}" name="room_count" totalsRowFunction="average"/>
    <tableColumn id="12" xr3:uid="{01B17FEF-9CC3-4495-85FB-B063B3977FE8}" name="avg_room_size" totalsRowFunction="average" dataDxfId="67"/>
    <tableColumn id="13" xr3:uid="{1991F6D8-5DCF-4633-99C8-D4D47808A3A0}" name="max_room_size" totalsRowFunction="average"/>
    <tableColumn id="14" xr3:uid="{5CC58682-415A-44A2-802D-E97619009C71}" name="min_room_size" totalsRowFunction="average"/>
    <tableColumn id="15" xr3:uid="{91E61CCC-5DB3-45CE-A708-B2511523A924}" name="room_tiles" totalsRowFunction="average"/>
    <tableColumn id="16" xr3:uid="{94705563-1F57-4B91-86F5-DDB40336567B}" name="room_ratio" totalsRowFunction="average" dataCellStyle="Procenta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15F39A4-5EAF-43D2-B76B-93BD0000CA1B}" name="CA8_wall50_it5_neigh5" displayName="CA8_wall50_it5_neigh5" ref="A1:P52" totalsRowCount="1">
  <autoFilter ref="A1:P51" xr:uid="{D15F39A4-5EAF-43D2-B76B-93BD0000CA1B}"/>
  <tableColumns count="16">
    <tableColumn id="1" xr3:uid="{277BB3B4-2498-4E31-99CE-8B2252D31A76}" name="algorithm" totalsRowLabel="Průměr" dataDxfId="26"/>
    <tableColumn id="2" xr3:uid="{B9AA57E0-C2BA-4EF7-BE68-4748217D0E42}" name="seed" dataDxfId="25"/>
    <tableColumn id="3" xr3:uid="{15BE580A-26C1-4F70-918C-847AC94A0C1D}" name="floors" totalsRowFunction="average"/>
    <tableColumn id="4" xr3:uid="{63095B88-ED8A-4A13-B85C-F6A48F1A950A}" name="walls" totalsRowFunction="average"/>
    <tableColumn id="5" xr3:uid="{0AD7CBBD-1285-4D1D-B2D7-17BFC7183BF9}" name="floor_percent" totalsRowFunction="average" dataCellStyle="Procenta"/>
    <tableColumn id="6" xr3:uid="{12EC20D7-C167-49DB-9AEA-28D5DFE24E2A}" name="wall_percent" totalsRowFunction="average" dataCellStyle="Procenta"/>
    <tableColumn id="7" xr3:uid="{F0E0E10D-6C28-4FF0-B147-9416CE58D7E8}" name="longest_shortest_path" totalsRowFunction="average"/>
    <tableColumn id="8" xr3:uid="{82CD2446-0663-482E-8681-0819B214046F}" name="component_count" totalsRowFunction="average"/>
    <tableColumn id="9" xr3:uid="{C09E6C64-BEE4-4ED6-A4CA-5D66F4F9A50B}" name="max_component_size" totalsRowFunction="average"/>
    <tableColumn id="10" xr3:uid="{5D664526-064D-4202-8671-C1B15823DCB9}" name="connectivity_ratio" totalsRowFunction="average" dataDxfId="24" dataCellStyle="Procenta"/>
    <tableColumn id="11" xr3:uid="{6F78B6A1-85E1-4BB2-93BA-984E2FF153B1}" name="room_count" totalsRowFunction="average"/>
    <tableColumn id="12" xr3:uid="{46009FC4-367F-4B5C-BF35-F92B010C661B}" name="avg_room_size" totalsRowFunction="average" dataDxfId="66"/>
    <tableColumn id="13" xr3:uid="{5C64A9A1-0D81-4F25-8E66-A45625471269}" name="max_room_size" totalsRowFunction="average"/>
    <tableColumn id="14" xr3:uid="{E106C86E-1850-4999-835A-2F596EECB172}" name="min_room_size" totalsRowFunction="average"/>
    <tableColumn id="15" xr3:uid="{3F8F01BC-DCB7-44A6-B83F-C98137949941}" name="room_tiles" totalsRowFunction="average"/>
    <tableColumn id="16" xr3:uid="{EC96721B-678E-4133-9B3B-89E8B1AB29F0}" name="room_ratio" totalsRowFunction="average" dataCellStyle="Procenta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9DCDC6A-8A61-46DF-A242-0AF5948A0014}" name="CA8_wall50_it4_neigh5" displayName="CA8_wall50_it4_neigh5" ref="A1:P52" totalsRowCount="1">
  <autoFilter ref="A1:P51" xr:uid="{39DCDC6A-8A61-46DF-A242-0AF5948A0014}"/>
  <tableColumns count="16">
    <tableColumn id="1" xr3:uid="{7B303B86-B817-4904-8333-09A57FF905B2}" name="algorithm" totalsRowLabel="Průměr" dataDxfId="23"/>
    <tableColumn id="2" xr3:uid="{FAF936F6-2F31-48CF-9E4C-B7CF7282BC72}" name="seed" dataDxfId="22"/>
    <tableColumn id="3" xr3:uid="{7678E886-1211-47C7-96CE-5E2D6D6DE769}" name="floors" totalsRowFunction="average"/>
    <tableColumn id="4" xr3:uid="{68A8AFE6-DF5E-43A5-B44F-0E9EF5004199}" name="walls" totalsRowFunction="average"/>
    <tableColumn id="5" xr3:uid="{4BEA52C8-3F00-4B29-B428-1448207752E5}" name="floor_percent" totalsRowFunction="average" dataCellStyle="Procenta"/>
    <tableColumn id="6" xr3:uid="{253E942B-A253-41D4-8BF7-D51C243FF01E}" name="wall_percent" totalsRowFunction="average" dataCellStyle="Procenta"/>
    <tableColumn id="7" xr3:uid="{01BCE8C8-E5F5-404F-BA78-09C66D0117BE}" name="longest_shortest_path" totalsRowFunction="average"/>
    <tableColumn id="8" xr3:uid="{D2A09634-1CD7-423D-9127-5AFB304F1F8D}" name="component_count" totalsRowFunction="average"/>
    <tableColumn id="9" xr3:uid="{5321BE81-96D9-4684-829E-12854B5F2264}" name="max_component_size" totalsRowFunction="average"/>
    <tableColumn id="10" xr3:uid="{FE8A4EF7-A2AE-4AAD-A307-32754DFA2D72}" name="connectivity_ratio" totalsRowFunction="average" dataDxfId="21" dataCellStyle="Procenta"/>
    <tableColumn id="11" xr3:uid="{F0601CB2-190E-4767-8D56-DF4C1E4348CC}" name="room_count" totalsRowFunction="average"/>
    <tableColumn id="12" xr3:uid="{0CEA754B-0083-4AF4-A8B3-D51248B36884}" name="avg_room_size" totalsRowFunction="average" dataDxfId="65"/>
    <tableColumn id="13" xr3:uid="{C9BBBA21-3C39-48C3-ABA8-0DAC90C3AA96}" name="max_room_size" totalsRowFunction="average"/>
    <tableColumn id="14" xr3:uid="{EE17DEB3-F4D0-4D87-817E-5719FD311B7D}" name="min_room_size" totalsRowFunction="average"/>
    <tableColumn id="15" xr3:uid="{54FB4947-E552-4452-955D-B090AEC88CAC}" name="room_tiles" totalsRowFunction="average"/>
    <tableColumn id="16" xr3:uid="{3ECBE6F6-D3BC-4E74-A781-19CE411E37F6}" name="room_ratio" totalsRowFunction="average" dataCellStyle="Procenta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38F7D4-28CD-41B5-93E9-4F139B4446E1}" name="CA8_wall50_it3_neigh5" displayName="CA8_wall50_it3_neigh5" ref="A1:P52" totalsRowCount="1">
  <autoFilter ref="A1:P51" xr:uid="{8738F7D4-28CD-41B5-93E9-4F139B4446E1}"/>
  <tableColumns count="16">
    <tableColumn id="1" xr3:uid="{87F07FCF-08D0-41A7-86AD-C0D7D13758E1}" name="algorithm" totalsRowLabel="Průměr" dataDxfId="20"/>
    <tableColumn id="2" xr3:uid="{6D9AB15A-A9DD-46E5-93B6-53F12ABABF45}" name="seed" dataDxfId="19"/>
    <tableColumn id="3" xr3:uid="{8B49CE0E-B441-4E57-93D0-F9E545BF7C88}" name="floors" totalsRowFunction="average"/>
    <tableColumn id="4" xr3:uid="{641E80EE-140B-43FA-8749-BC81B0EF5A85}" name="walls" totalsRowFunction="average"/>
    <tableColumn id="5" xr3:uid="{42A3F09B-ABB7-4CE2-882A-A3928EDC2A05}" name="floor_percent" totalsRowFunction="average" dataCellStyle="Procenta"/>
    <tableColumn id="6" xr3:uid="{86B48CCA-875C-4DEB-A282-5369DBC7C379}" name="wall_percent" totalsRowFunction="average" dataCellStyle="Procenta"/>
    <tableColumn id="7" xr3:uid="{01F0974A-3865-493E-B6FB-B00675FD2FEB}" name="longest_shortest_path" totalsRowFunction="average"/>
    <tableColumn id="8" xr3:uid="{549122CC-21E8-4A98-AF17-5EA6688FA340}" name="component_count" totalsRowFunction="average"/>
    <tableColumn id="9" xr3:uid="{ED26E140-27F5-4936-90B0-1A0AA97A97DE}" name="max_component_size" totalsRowFunction="average"/>
    <tableColumn id="10" xr3:uid="{0840134E-18C4-4206-91E0-DB8892065010}" name="connectivity_ratio" totalsRowFunction="average" dataDxfId="18" dataCellStyle="Procenta"/>
    <tableColumn id="11" xr3:uid="{F68B707B-5BEA-4E01-9E9B-3F97C86E21D6}" name="room_count" totalsRowFunction="average"/>
    <tableColumn id="12" xr3:uid="{E94ED3A0-1D60-4A6E-B99D-6D9BF80813D9}" name="avg_room_size" totalsRowFunction="average" dataDxfId="64"/>
    <tableColumn id="13" xr3:uid="{4F8C71B3-456E-4258-B662-4E2FA1C4AF34}" name="max_room_size" totalsRowFunction="average"/>
    <tableColumn id="14" xr3:uid="{EEEB117B-1729-4CF9-AAC6-E1D197639343}" name="min_room_size" totalsRowFunction="average"/>
    <tableColumn id="15" xr3:uid="{A950DDAC-EE02-40EA-9381-7E1FD3610963}" name="room_tiles" totalsRowFunction="average"/>
    <tableColumn id="16" xr3:uid="{0C0ED8AB-0892-4804-BBAB-FB4B8D383B81}" name="room_ratio" totalsRowFunction="average" dataCellStyle="Procenta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B061A9-D1FE-4EE8-9C3C-2387A94830C3}" name="CA8_wall50_it1_neigh5" displayName="CA8_wall50_it1_neigh5" ref="A1:P52" totalsRowCount="1">
  <autoFilter ref="A1:P51" xr:uid="{F4B061A9-D1FE-4EE8-9C3C-2387A94830C3}"/>
  <tableColumns count="16">
    <tableColumn id="1" xr3:uid="{AE347382-D49A-47FC-B454-7C94A88A2DA2}" name="algorithm" totalsRowLabel="Průměr" dataDxfId="17"/>
    <tableColumn id="2" xr3:uid="{3A7B3BBD-87CD-4FE9-BA14-FAD746E335D6}" name="seed" dataDxfId="16"/>
    <tableColumn id="3" xr3:uid="{BCD254F1-473C-4BCE-A03F-8EABC765F388}" name="floors" totalsRowFunction="average"/>
    <tableColumn id="4" xr3:uid="{B6748F22-51C8-44EB-ABC3-C10D30FE1B83}" name="walls" totalsRowFunction="average"/>
    <tableColumn id="5" xr3:uid="{50C60596-F1AC-4CD5-A05A-D31A13683FB9}" name="floor_percent" totalsRowFunction="average" dataCellStyle="Procenta"/>
    <tableColumn id="6" xr3:uid="{909F25EC-AB75-4B60-BB62-24D3EC2665A1}" name="wall_percent" totalsRowFunction="average" dataCellStyle="Procenta"/>
    <tableColumn id="7" xr3:uid="{8AC16927-2B86-418A-B680-5746E940EF81}" name="longest_shortest_path" totalsRowFunction="average"/>
    <tableColumn id="8" xr3:uid="{8E335CEC-57D8-4770-9C23-D431DEB12426}" name="component_count" totalsRowFunction="average"/>
    <tableColumn id="9" xr3:uid="{9B214F09-8A43-4691-9244-A84EDA42B7A6}" name="max_component_size" totalsRowFunction="average"/>
    <tableColumn id="10" xr3:uid="{1FDC8B85-5A94-4BBA-A2C1-6C82A0F4AA99}" name="connectivity_ratio" totalsRowFunction="average" dataDxfId="15" dataCellStyle="Procenta"/>
    <tableColumn id="11" xr3:uid="{26EDCE00-2A09-4F11-ACB4-885CEA07A67C}" name="room_count" totalsRowFunction="average"/>
    <tableColumn id="12" xr3:uid="{D1301804-560F-45AD-BA26-706792492432}" name="avg_room_size" totalsRowFunction="average" dataDxfId="63"/>
    <tableColumn id="13" xr3:uid="{DF2B6E71-7CD1-4189-A008-820C9C29DFFF}" name="max_room_size" totalsRowFunction="average"/>
    <tableColumn id="14" xr3:uid="{969CB578-6F2D-49A8-96C7-BB13EE7C1EFC}" name="min_room_size" totalsRowFunction="average"/>
    <tableColumn id="15" xr3:uid="{0B92DDEE-6FB4-4433-82F3-23DE145590F1}" name="room_tiles" totalsRowFunction="average"/>
    <tableColumn id="16" xr3:uid="{A68AE80D-B1A8-4B2E-95B7-7BCE1C952DCF}" name="room_ratio" totalsRowFunction="average" dataCellStyle="Procenta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91B4467-E5CE-46A1-A02D-CFFAD440FB6E}" name="CA8_wall70_it6_neigh5" displayName="CA8_wall70_it6_neigh5" ref="A1:P52" totalsRowCount="1">
  <autoFilter ref="A1:P51" xr:uid="{191B4467-E5CE-46A1-A02D-CFFAD440FB6E}"/>
  <tableColumns count="16">
    <tableColumn id="1" xr3:uid="{5EAB3CD7-B352-4248-A2A5-DBBE60B965F6}" name="algorithm" totalsRowLabel="Průměr" dataDxfId="14"/>
    <tableColumn id="2" xr3:uid="{8ED05ABE-4EF7-4D77-AAF4-D12863DCB3D1}" name="seed" dataDxfId="13"/>
    <tableColumn id="3" xr3:uid="{EE3B54CC-A2FC-408F-A9FF-F77B7471D1FF}" name="floors" totalsRowFunction="average"/>
    <tableColumn id="4" xr3:uid="{72BF9C29-E760-4242-8E57-0F48560AEFA6}" name="walls" totalsRowFunction="average"/>
    <tableColumn id="5" xr3:uid="{4676F741-F145-4DB5-9B8C-5B6DE82EA505}" name="floor_percent" totalsRowFunction="average" dataCellStyle="Procenta"/>
    <tableColumn id="6" xr3:uid="{F59A15A5-C7BA-4000-891F-DE0C0EF9E60D}" name="wall_percent" totalsRowFunction="average" dataCellStyle="Procenta"/>
    <tableColumn id="7" xr3:uid="{55DAAC9B-E326-4D19-8806-38089DDABFA7}" name="longest_shortest_path" totalsRowFunction="average"/>
    <tableColumn id="8" xr3:uid="{E2E65892-71A4-42AB-BBF5-5C353DCCD5BB}" name="component_count" totalsRowFunction="average"/>
    <tableColumn id="9" xr3:uid="{D96F141B-F467-4ED1-886D-757F16625DEC}" name="max_component_size" totalsRowFunction="average"/>
    <tableColumn id="10" xr3:uid="{0DD4757F-FA26-4EB9-9157-D5B2974F7BF4}" name="connectivity_ratio" totalsRowFunction="average" dataDxfId="12" dataCellStyle="Procenta"/>
    <tableColumn id="11" xr3:uid="{A483F309-E522-468F-9ED0-07D6180A479B}" name="room_count" totalsRowFunction="average"/>
    <tableColumn id="12" xr3:uid="{1560DD88-578A-4047-A7A7-4F408E24B939}" name="avg_room_size" totalsRowFunction="average" dataDxfId="62"/>
    <tableColumn id="13" xr3:uid="{DA510045-0C1E-471B-93FD-1767224A2D2B}" name="max_room_size" totalsRowFunction="average"/>
    <tableColumn id="14" xr3:uid="{C5465498-7D6A-4F15-A27A-C5FB8691CB26}" name="min_room_size" totalsRowFunction="average"/>
    <tableColumn id="15" xr3:uid="{6697B7A5-06EA-4F76-8ED5-25EB981F5108}" name="room_tiles" totalsRowFunction="average"/>
    <tableColumn id="16" xr3:uid="{742382B2-74C9-4F43-93A6-206C65579BA6}" name="room_ratio" totalsRowFunction="average" dataCellStyle="Procenta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422A637-A008-4A2A-9657-70A25C1E61BE}" name="CA8_wall70_it5_neigh5" displayName="CA8_wall70_it5_neigh5" ref="A1:P52" totalsRowCount="1">
  <autoFilter ref="A1:P51" xr:uid="{B422A637-A008-4A2A-9657-70A25C1E61BE}"/>
  <tableColumns count="16">
    <tableColumn id="1" xr3:uid="{760A8EFA-C1BA-48DC-A50F-30DC1BE811A4}" name="algorithm" totalsRowLabel="Průměr" dataDxfId="11"/>
    <tableColumn id="2" xr3:uid="{64E835A9-B522-4DE9-9409-CAA5BF548868}" name="seed" dataDxfId="10"/>
    <tableColumn id="3" xr3:uid="{C4D2AD3B-803C-4F2D-A68E-A47A1D8F26FF}" name="floors" totalsRowFunction="average"/>
    <tableColumn id="4" xr3:uid="{D1F773CC-AFBE-47F6-A109-E08D56DF6CDB}" name="walls" totalsRowFunction="average"/>
    <tableColumn id="5" xr3:uid="{8007882E-6819-4510-B95F-3F06FB6CEF60}" name="floor_percent" totalsRowFunction="average" dataCellStyle="Procenta"/>
    <tableColumn id="6" xr3:uid="{203FD551-6ADF-4197-838A-4BEAD4B8CE9F}" name="wall_percent" totalsRowFunction="average" dataCellStyle="Procenta"/>
    <tableColumn id="7" xr3:uid="{1134FAB0-3390-4112-9A4B-63CD3195E28E}" name="longest_shortest_path" totalsRowFunction="average"/>
    <tableColumn id="8" xr3:uid="{0AA911D3-1767-46F5-B4A1-6D77144529FD}" name="component_count" totalsRowFunction="average"/>
    <tableColumn id="9" xr3:uid="{E4A74DF2-DC77-414C-B9D8-32772BC31F34}" name="max_component_size" totalsRowFunction="average"/>
    <tableColumn id="10" xr3:uid="{BD1B7CC3-DC6C-46EC-A6B2-5BE56E186AB0}" name="connectivity_ratio" totalsRowFunction="average" dataDxfId="9" dataCellStyle="Procenta"/>
    <tableColumn id="11" xr3:uid="{C53CE324-E2D4-4B25-A65A-D44AA833AE91}" name="room_count" totalsRowFunction="average"/>
    <tableColumn id="12" xr3:uid="{3BE775AF-90C2-4C13-AB17-D8AEF8C70A81}" name="avg_room_size" totalsRowFunction="average" dataDxfId="61"/>
    <tableColumn id="13" xr3:uid="{CB1AA374-64C1-4C25-9C49-1F294DE03B86}" name="max_room_size" totalsRowFunction="average"/>
    <tableColumn id="14" xr3:uid="{C74B0E21-C5D1-408C-95DD-B2BA4EDD76AD}" name="min_room_size" totalsRowFunction="average"/>
    <tableColumn id="15" xr3:uid="{B455024A-ECE5-4239-A575-E2FCBB0295F0}" name="room_tiles" totalsRowFunction="average"/>
    <tableColumn id="16" xr3:uid="{70C73AAF-FC4E-4193-8417-0F37AEC04A90}" name="room_ratio" totalsRowFunction="average" dataCellStyle="Procenta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F0EF7E6-5AF2-4A78-B765-AE6379229C83}" name="CA8_wall70_it4_neigh5" displayName="CA8_wall70_it4_neigh5" ref="A1:P52" totalsRowCount="1">
  <autoFilter ref="A1:P51" xr:uid="{8F0EF7E6-5AF2-4A78-B765-AE6379229C83}"/>
  <tableColumns count="16">
    <tableColumn id="1" xr3:uid="{5BE20A50-12D0-46E6-93C7-D1C9EEF29FA6}" name="algorithm" totalsRowLabel="Průměr" dataDxfId="8"/>
    <tableColumn id="2" xr3:uid="{22DEB863-AE2D-4987-94AE-A890CCC9B5E1}" name="seed" dataDxfId="7"/>
    <tableColumn id="3" xr3:uid="{BDC56B3E-2043-4C4C-B0FE-5D3DAFF28729}" name="floors" totalsRowFunction="average"/>
    <tableColumn id="4" xr3:uid="{37C84479-A1C2-45D9-A789-53F8965AD6ED}" name="walls" totalsRowFunction="average"/>
    <tableColumn id="5" xr3:uid="{583603B2-08BF-47E1-989C-A241C5917EEC}" name="floor_percent" totalsRowFunction="average" dataCellStyle="Procenta"/>
    <tableColumn id="6" xr3:uid="{05558922-AB23-4104-B20E-1A3AA9CF3FE5}" name="wall_percent" totalsRowFunction="average" dataCellStyle="Procenta"/>
    <tableColumn id="7" xr3:uid="{60339394-5976-420A-BFF1-2FCC2A2622B7}" name="longest_shortest_path" totalsRowFunction="average"/>
    <tableColumn id="8" xr3:uid="{B26B387E-BDB8-40A7-873B-6022AE17DBAF}" name="component_count" totalsRowFunction="average"/>
    <tableColumn id="9" xr3:uid="{D8A2F014-56F8-4D7B-9530-48CDB4895FB6}" name="max_component_size" totalsRowFunction="average"/>
    <tableColumn id="10" xr3:uid="{027840F2-BFE3-44BA-806D-B483B68113E4}" name="connectivity_ratio" totalsRowFunction="average" dataDxfId="6" dataCellStyle="Procenta"/>
    <tableColumn id="11" xr3:uid="{5AF79D58-F192-43C6-A0EC-83137994F14D}" name="room_count" totalsRowFunction="average"/>
    <tableColumn id="12" xr3:uid="{D1030D36-80CC-4DB4-8860-577D09D816D8}" name="avg_room_size" totalsRowFunction="average" dataDxfId="60"/>
    <tableColumn id="13" xr3:uid="{082F22D9-BAE2-4943-8FDE-1AB0BB46997A}" name="max_room_size" totalsRowFunction="average"/>
    <tableColumn id="14" xr3:uid="{194CB002-4EAD-4F20-80C6-9E66178EBE09}" name="min_room_size" totalsRowFunction="average"/>
    <tableColumn id="15" xr3:uid="{1052760E-6BB0-4D5B-9D36-60F0961C7494}" name="room_tiles" totalsRowFunction="average"/>
    <tableColumn id="16" xr3:uid="{B0CFFC35-FBF5-4FAF-9ADF-9AD1A03F232D}" name="room_ratio" totalsRowFunction="average" dataCellStyle="Procenta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2C784B0-E55D-49BE-9D2C-7C999FC4B3FC}" name="CA8_wall70_it3_neigh5" displayName="CA8_wall70_it3_neigh5" ref="A1:P52" totalsRowCount="1">
  <autoFilter ref="A1:P51" xr:uid="{82C784B0-E55D-49BE-9D2C-7C999FC4B3FC}"/>
  <tableColumns count="16">
    <tableColumn id="1" xr3:uid="{7F377553-87BF-44D2-A44C-20A0312B0BB1}" name="algorithm" totalsRowLabel="Průměr" dataDxfId="5"/>
    <tableColumn id="2" xr3:uid="{5216011E-6FCD-4EAE-A45E-DB725B4FC609}" name="seed" dataDxfId="4"/>
    <tableColumn id="3" xr3:uid="{89C72CC6-6F9C-4317-90CB-1632F5897F42}" name="floors" totalsRowFunction="average"/>
    <tableColumn id="4" xr3:uid="{D2FDD14A-0AD3-4A4F-8549-7E3D71D5753A}" name="walls" totalsRowFunction="average"/>
    <tableColumn id="5" xr3:uid="{05567894-ED91-4F18-822F-E6E46A977CCF}" name="floor_percent" totalsRowFunction="average" dataCellStyle="Procenta"/>
    <tableColumn id="6" xr3:uid="{6BB394D1-1B54-4805-B95C-9E22A89E856B}" name="wall_percent" totalsRowFunction="average" dataCellStyle="Procenta"/>
    <tableColumn id="7" xr3:uid="{7D95C26B-6A59-455C-819B-4BDAE37D935F}" name="longest_shortest_path" totalsRowFunction="average"/>
    <tableColumn id="8" xr3:uid="{621EA0CC-44A3-4DE9-B535-D8C7EDCFC3EE}" name="component_count" totalsRowFunction="average"/>
    <tableColumn id="9" xr3:uid="{DCB8F7A6-DD20-4174-B5A3-8246A1AF1C27}" name="max_component_size" totalsRowFunction="average"/>
    <tableColumn id="10" xr3:uid="{6B543A5B-5D9B-4493-B0D2-19A07E9EAEAB}" name="connectivity_ratio" totalsRowFunction="average" dataDxfId="3" dataCellStyle="Procenta"/>
    <tableColumn id="11" xr3:uid="{38865817-EE96-4CFF-AF90-17A965D5EAC8}" name="room_count" totalsRowFunction="average"/>
    <tableColumn id="12" xr3:uid="{00B27791-F81C-4E67-8FFD-DC9E5835BE3A}" name="avg_room_size" totalsRowFunction="average" dataDxfId="59"/>
    <tableColumn id="13" xr3:uid="{76CA89CA-9E4D-4E24-8D7E-A88D0C3A23A9}" name="max_room_size" totalsRowFunction="average"/>
    <tableColumn id="14" xr3:uid="{5D396AC1-B69C-44B2-81F2-E804A1A5900F}" name="min_room_size" totalsRowFunction="average"/>
    <tableColumn id="15" xr3:uid="{4E126A50-EF49-4A0D-94E4-59AF968FA5D1}" name="room_tiles" totalsRowFunction="average"/>
    <tableColumn id="16" xr3:uid="{A065DCA3-A4B1-4558-8A94-4F70DD97C5D1}" name="room_ratio" totalsRowFunction="average" dataCellStyle="Procenta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D65C565-93C0-4C5E-9B56-3331BB2B4953}" name="CA8_wall70_it1_neigh5" displayName="CA8_wall70_it1_neigh5" ref="A1:P52" totalsRowCount="1">
  <autoFilter ref="A1:P51" xr:uid="{4D65C565-93C0-4C5E-9B56-3331BB2B4953}"/>
  <tableColumns count="16">
    <tableColumn id="1" xr3:uid="{47E35452-9555-4B52-AC8A-4701E8C82561}" name="algorithm" totalsRowLabel="Průměr" dataDxfId="2"/>
    <tableColumn id="2" xr3:uid="{AA2BD481-E55F-4C0D-83C0-9B08D379E538}" name="seed" dataDxfId="1"/>
    <tableColumn id="3" xr3:uid="{F30BDEC9-EA9A-4A49-BE47-C11B0CCE9C72}" name="floors" totalsRowFunction="average"/>
    <tableColumn id="4" xr3:uid="{37E2ABE8-4274-40D1-A558-4EA827AEA95B}" name="walls" totalsRowFunction="average"/>
    <tableColumn id="5" xr3:uid="{AB10AE22-B818-42E8-AD43-D1437D9B4EF2}" name="floor_percent" totalsRowFunction="average" dataCellStyle="Procenta"/>
    <tableColumn id="6" xr3:uid="{FBE8E9FA-A8EF-4E98-8081-A91843ADA91B}" name="wall_percent" totalsRowFunction="average" dataCellStyle="Procenta"/>
    <tableColumn id="7" xr3:uid="{1F543103-9CEF-46C7-890A-51361791C252}" name="longest_shortest_path" totalsRowFunction="average"/>
    <tableColumn id="8" xr3:uid="{AC76A27A-242F-4FDE-80FC-0828AFDD7E42}" name="component_count" totalsRowFunction="average"/>
    <tableColumn id="9" xr3:uid="{F1342E28-E419-448F-94B7-40B867041444}" name="max_component_size" totalsRowFunction="average"/>
    <tableColumn id="10" xr3:uid="{F383F18B-B95E-41FC-832D-5DCCF9C0E24C}" name="connectivity_ratio" totalsRowFunction="average" dataDxfId="0" dataCellStyle="Procenta"/>
    <tableColumn id="11" xr3:uid="{41620DC3-61A6-4D0F-99DD-BDE5C04C7D9D}" name="room_count" totalsRowFunction="average"/>
    <tableColumn id="12" xr3:uid="{2A97B066-D98B-416B-9CF0-B80E00514DB7}" name="avg_room_size" totalsRowFunction="average" dataDxfId="58"/>
    <tableColumn id="13" xr3:uid="{4CA4BE9D-CB01-4DA9-9213-BE7D9BB28639}" name="max_room_size" totalsRowFunction="average"/>
    <tableColumn id="14" xr3:uid="{27264ADF-E564-4467-8922-D9A41CEF6DD0}" name="min_room_size" totalsRowFunction="average"/>
    <tableColumn id="15" xr3:uid="{47912E72-AF55-4F5E-B2B6-F04BDB0CD4DA}" name="room_tiles" totalsRowFunction="average"/>
    <tableColumn id="16" xr3:uid="{60CDEFA2-0307-4097-B7E0-4F09A7C063BE}" name="room_ratio" totalsRowFunction="average" dataCellStyle="Procen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4D5E-9B51-47DC-B2DA-2B6F39F866DF}">
  <dimension ref="A1:P53"/>
  <sheetViews>
    <sheetView topLeftCell="A19" workbookViewId="0">
      <selection activeCell="D54" sqref="D54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2123990558</v>
      </c>
      <c r="C2">
        <v>1432</v>
      </c>
      <c r="D2">
        <v>1068</v>
      </c>
      <c r="E2" s="1">
        <v>0.57279999999999998</v>
      </c>
      <c r="F2" s="1">
        <v>0.42720000000000002</v>
      </c>
      <c r="G2">
        <v>70</v>
      </c>
      <c r="H2">
        <v>17</v>
      </c>
      <c r="I2">
        <v>967</v>
      </c>
      <c r="J2" s="20">
        <v>0.67527899999999996</v>
      </c>
      <c r="K2">
        <v>15</v>
      </c>
      <c r="L2">
        <v>75.400000000000006</v>
      </c>
      <c r="M2">
        <v>706</v>
      </c>
      <c r="N2">
        <v>1</v>
      </c>
      <c r="O2">
        <v>1131</v>
      </c>
      <c r="P2" s="1">
        <v>0.78980399999999995</v>
      </c>
    </row>
    <row r="3" spans="1:16" x14ac:dyDescent="0.25">
      <c r="A3" t="s">
        <v>16</v>
      </c>
      <c r="B3" s="19">
        <v>561113342</v>
      </c>
      <c r="C3">
        <v>1545</v>
      </c>
      <c r="D3">
        <v>955</v>
      </c>
      <c r="E3" s="1">
        <v>0.61799999999999999</v>
      </c>
      <c r="F3" s="1">
        <v>0.38200000000000001</v>
      </c>
      <c r="G3">
        <v>72</v>
      </c>
      <c r="H3">
        <v>9</v>
      </c>
      <c r="I3">
        <v>1390</v>
      </c>
      <c r="J3" s="20">
        <v>0.89967600000000003</v>
      </c>
      <c r="K3">
        <v>8</v>
      </c>
      <c r="L3">
        <v>161.25</v>
      </c>
      <c r="M3">
        <v>1160</v>
      </c>
      <c r="N3">
        <v>2</v>
      </c>
      <c r="O3">
        <v>1290</v>
      </c>
      <c r="P3" s="1">
        <v>0.834951</v>
      </c>
    </row>
    <row r="4" spans="1:16" x14ac:dyDescent="0.25">
      <c r="A4" t="s">
        <v>16</v>
      </c>
      <c r="B4" s="19">
        <v>1813271044</v>
      </c>
      <c r="C4">
        <v>1655</v>
      </c>
      <c r="D4">
        <v>845</v>
      </c>
      <c r="E4" s="1">
        <v>0.66200000000000003</v>
      </c>
      <c r="F4" s="1">
        <v>0.33800000000000002</v>
      </c>
      <c r="G4">
        <v>74</v>
      </c>
      <c r="H4">
        <v>6</v>
      </c>
      <c r="I4">
        <v>1598</v>
      </c>
      <c r="J4" s="20">
        <v>0.96555899999999995</v>
      </c>
      <c r="K4">
        <v>11</v>
      </c>
      <c r="L4">
        <v>124.81818199999999</v>
      </c>
      <c r="M4">
        <v>1205</v>
      </c>
      <c r="N4">
        <v>2</v>
      </c>
      <c r="O4">
        <v>1373</v>
      </c>
      <c r="P4" s="1">
        <v>0.82960699999999998</v>
      </c>
    </row>
    <row r="5" spans="1:16" x14ac:dyDescent="0.25">
      <c r="A5" t="s">
        <v>16</v>
      </c>
      <c r="B5" s="19">
        <v>1100817686</v>
      </c>
      <c r="C5">
        <v>1594</v>
      </c>
      <c r="D5">
        <v>906</v>
      </c>
      <c r="E5" s="1">
        <v>0.63759999999999994</v>
      </c>
      <c r="F5" s="1">
        <v>0.3624</v>
      </c>
      <c r="G5">
        <v>56</v>
      </c>
      <c r="H5">
        <v>8</v>
      </c>
      <c r="I5">
        <v>1574</v>
      </c>
      <c r="J5" s="20">
        <v>0.98745300000000003</v>
      </c>
      <c r="K5">
        <v>3</v>
      </c>
      <c r="L5">
        <v>448.33333299999998</v>
      </c>
      <c r="M5">
        <v>1314</v>
      </c>
      <c r="N5">
        <v>8</v>
      </c>
      <c r="O5">
        <v>1345</v>
      </c>
      <c r="P5" s="1">
        <v>0.84378900000000001</v>
      </c>
    </row>
    <row r="6" spans="1:16" x14ac:dyDescent="0.25">
      <c r="A6" t="s">
        <v>16</v>
      </c>
      <c r="B6" s="19">
        <v>6497276</v>
      </c>
      <c r="C6">
        <v>1373</v>
      </c>
      <c r="D6">
        <v>1127</v>
      </c>
      <c r="E6" s="1">
        <v>0.54920000000000002</v>
      </c>
      <c r="F6" s="1">
        <v>0.45079999999999998</v>
      </c>
      <c r="G6">
        <v>58</v>
      </c>
      <c r="H6">
        <v>16</v>
      </c>
      <c r="I6">
        <v>1032</v>
      </c>
      <c r="J6" s="20">
        <v>0.75163899999999995</v>
      </c>
      <c r="K6">
        <v>13</v>
      </c>
      <c r="L6">
        <v>82.846153999999999</v>
      </c>
      <c r="M6">
        <v>532</v>
      </c>
      <c r="N6">
        <v>1</v>
      </c>
      <c r="O6">
        <v>1077</v>
      </c>
      <c r="P6" s="1">
        <v>0.78441399999999994</v>
      </c>
    </row>
    <row r="7" spans="1:16" x14ac:dyDescent="0.25">
      <c r="A7" t="s">
        <v>16</v>
      </c>
      <c r="B7" s="19">
        <v>282297829</v>
      </c>
      <c r="C7">
        <v>1535</v>
      </c>
      <c r="D7">
        <v>965</v>
      </c>
      <c r="E7" s="1">
        <v>0.61399999999999999</v>
      </c>
      <c r="F7" s="1">
        <v>0.38600000000000001</v>
      </c>
      <c r="G7">
        <v>88</v>
      </c>
      <c r="H7">
        <v>9</v>
      </c>
      <c r="I7">
        <v>1511</v>
      </c>
      <c r="J7" s="20">
        <v>0.98436500000000005</v>
      </c>
      <c r="K7">
        <v>6</v>
      </c>
      <c r="L7">
        <v>212.16666699999999</v>
      </c>
      <c r="M7">
        <v>755</v>
      </c>
      <c r="N7">
        <v>1</v>
      </c>
      <c r="O7">
        <v>1273</v>
      </c>
      <c r="P7" s="1">
        <v>0.82931600000000005</v>
      </c>
    </row>
    <row r="8" spans="1:16" x14ac:dyDescent="0.25">
      <c r="A8" t="s">
        <v>16</v>
      </c>
      <c r="B8" s="19">
        <v>1073734512</v>
      </c>
      <c r="C8">
        <v>1406</v>
      </c>
      <c r="D8">
        <v>1094</v>
      </c>
      <c r="E8" s="1">
        <v>0.56240000000000001</v>
      </c>
      <c r="F8" s="1">
        <v>0.43759999999999999</v>
      </c>
      <c r="G8">
        <v>68</v>
      </c>
      <c r="H8">
        <v>18</v>
      </c>
      <c r="I8">
        <v>1081</v>
      </c>
      <c r="J8" s="20">
        <v>0.76884799999999998</v>
      </c>
      <c r="K8">
        <v>15</v>
      </c>
      <c r="L8">
        <v>72.133332999999993</v>
      </c>
      <c r="M8">
        <v>684</v>
      </c>
      <c r="N8">
        <v>2</v>
      </c>
      <c r="O8">
        <v>1082</v>
      </c>
      <c r="P8" s="1">
        <v>0.76955899999999999</v>
      </c>
    </row>
    <row r="9" spans="1:16" x14ac:dyDescent="0.25">
      <c r="A9" t="s">
        <v>16</v>
      </c>
      <c r="B9" s="19">
        <v>939447856</v>
      </c>
      <c r="C9">
        <v>1500</v>
      </c>
      <c r="D9">
        <v>1000</v>
      </c>
      <c r="E9" s="1">
        <v>0.6</v>
      </c>
      <c r="F9" s="1">
        <v>0.4</v>
      </c>
      <c r="G9">
        <v>63</v>
      </c>
      <c r="H9">
        <v>12</v>
      </c>
      <c r="I9">
        <v>1362</v>
      </c>
      <c r="J9" s="20">
        <v>0.90800000000000003</v>
      </c>
      <c r="K9">
        <v>5</v>
      </c>
      <c r="L9">
        <v>253.4</v>
      </c>
      <c r="M9">
        <v>1171</v>
      </c>
      <c r="N9">
        <v>5</v>
      </c>
      <c r="O9">
        <v>1267</v>
      </c>
      <c r="P9" s="1">
        <v>0.84466699999999995</v>
      </c>
    </row>
    <row r="10" spans="1:16" x14ac:dyDescent="0.25">
      <c r="A10" t="s">
        <v>16</v>
      </c>
      <c r="B10" s="19">
        <v>1317173999</v>
      </c>
      <c r="C10">
        <v>1635</v>
      </c>
      <c r="D10">
        <v>865</v>
      </c>
      <c r="E10" s="1">
        <v>0.65400000000000003</v>
      </c>
      <c r="F10" s="1">
        <v>0.34599999999999997</v>
      </c>
      <c r="G10">
        <v>50</v>
      </c>
      <c r="H10">
        <v>10</v>
      </c>
      <c r="I10">
        <v>1543</v>
      </c>
      <c r="J10" s="20">
        <v>0.94373099999999999</v>
      </c>
      <c r="K10">
        <v>7</v>
      </c>
      <c r="L10">
        <v>201</v>
      </c>
      <c r="M10">
        <v>1341</v>
      </c>
      <c r="N10">
        <v>2</v>
      </c>
      <c r="O10">
        <v>1407</v>
      </c>
      <c r="P10" s="1">
        <v>0.86055000000000004</v>
      </c>
    </row>
    <row r="11" spans="1:16" x14ac:dyDescent="0.25">
      <c r="A11" t="s">
        <v>16</v>
      </c>
      <c r="B11" s="19">
        <v>2126988564</v>
      </c>
      <c r="C11">
        <v>1476</v>
      </c>
      <c r="D11">
        <v>1024</v>
      </c>
      <c r="E11" s="1">
        <v>0.59040000000000004</v>
      </c>
      <c r="F11" s="1">
        <v>0.40960000000000002</v>
      </c>
      <c r="G11">
        <v>61</v>
      </c>
      <c r="H11">
        <v>10</v>
      </c>
      <c r="I11">
        <v>1345</v>
      </c>
      <c r="J11" s="20">
        <v>0.91124700000000003</v>
      </c>
      <c r="K11">
        <v>9</v>
      </c>
      <c r="L11">
        <v>131.33333300000001</v>
      </c>
      <c r="M11">
        <v>947</v>
      </c>
      <c r="N11">
        <v>1</v>
      </c>
      <c r="O11">
        <v>1182</v>
      </c>
      <c r="P11" s="1">
        <v>0.800813</v>
      </c>
    </row>
    <row r="12" spans="1:16" x14ac:dyDescent="0.25">
      <c r="A12" t="s">
        <v>16</v>
      </c>
      <c r="B12" s="19">
        <v>740463731</v>
      </c>
      <c r="C12">
        <v>1621</v>
      </c>
      <c r="D12">
        <v>879</v>
      </c>
      <c r="E12" s="1">
        <v>0.64839999999999998</v>
      </c>
      <c r="F12" s="1">
        <v>0.35160000000000002</v>
      </c>
      <c r="G12">
        <v>67</v>
      </c>
      <c r="H12">
        <v>9</v>
      </c>
      <c r="I12">
        <v>1608</v>
      </c>
      <c r="J12" s="20">
        <v>0.99197999999999997</v>
      </c>
      <c r="K12">
        <v>4</v>
      </c>
      <c r="L12">
        <v>340.75</v>
      </c>
      <c r="M12">
        <v>1304</v>
      </c>
      <c r="N12">
        <v>2</v>
      </c>
      <c r="O12">
        <v>1363</v>
      </c>
      <c r="P12" s="1">
        <v>0.840839</v>
      </c>
    </row>
    <row r="13" spans="1:16" x14ac:dyDescent="0.25">
      <c r="A13" t="s">
        <v>16</v>
      </c>
      <c r="B13" s="19">
        <v>493201158</v>
      </c>
      <c r="C13">
        <v>1359</v>
      </c>
      <c r="D13">
        <v>1141</v>
      </c>
      <c r="E13" s="1">
        <v>0.54359999999999997</v>
      </c>
      <c r="F13" s="1">
        <v>0.45639999999999997</v>
      </c>
      <c r="G13">
        <v>94</v>
      </c>
      <c r="H13">
        <v>12</v>
      </c>
      <c r="I13">
        <v>1060</v>
      </c>
      <c r="J13" s="20">
        <v>0.77998500000000004</v>
      </c>
      <c r="K13">
        <v>12</v>
      </c>
      <c r="L13">
        <v>87.25</v>
      </c>
      <c r="M13">
        <v>361</v>
      </c>
      <c r="N13">
        <v>5</v>
      </c>
      <c r="O13">
        <v>1047</v>
      </c>
      <c r="P13" s="1">
        <v>0.77041899999999996</v>
      </c>
    </row>
    <row r="14" spans="1:16" x14ac:dyDescent="0.25">
      <c r="A14" t="s">
        <v>16</v>
      </c>
      <c r="B14" s="19">
        <v>1890183131</v>
      </c>
      <c r="C14">
        <v>1684</v>
      </c>
      <c r="D14">
        <v>816</v>
      </c>
      <c r="E14" s="1">
        <v>0.67359999999999998</v>
      </c>
      <c r="F14" s="1">
        <v>0.32640000000000002</v>
      </c>
      <c r="G14">
        <v>57</v>
      </c>
      <c r="H14">
        <v>4</v>
      </c>
      <c r="I14">
        <v>1657</v>
      </c>
      <c r="J14" s="20">
        <v>0.98396700000000004</v>
      </c>
      <c r="K14">
        <v>5</v>
      </c>
      <c r="L14">
        <v>290</v>
      </c>
      <c r="M14">
        <v>1411</v>
      </c>
      <c r="N14">
        <v>1</v>
      </c>
      <c r="O14">
        <v>1450</v>
      </c>
      <c r="P14" s="1">
        <v>0.86104499999999995</v>
      </c>
    </row>
    <row r="15" spans="1:16" x14ac:dyDescent="0.25">
      <c r="A15" t="s">
        <v>16</v>
      </c>
      <c r="B15" s="19">
        <v>1481551049</v>
      </c>
      <c r="C15">
        <v>1315</v>
      </c>
      <c r="D15">
        <v>1185</v>
      </c>
      <c r="E15" s="1">
        <v>0.52600000000000002</v>
      </c>
      <c r="F15" s="1">
        <v>0.47399999999999998</v>
      </c>
      <c r="G15">
        <v>82</v>
      </c>
      <c r="H15">
        <v>18</v>
      </c>
      <c r="I15">
        <v>1105</v>
      </c>
      <c r="J15" s="20">
        <v>0.84030400000000005</v>
      </c>
      <c r="K15">
        <v>11</v>
      </c>
      <c r="L15">
        <v>92.636364</v>
      </c>
      <c r="M15">
        <v>434</v>
      </c>
      <c r="N15">
        <v>1</v>
      </c>
      <c r="O15">
        <v>1019</v>
      </c>
      <c r="P15" s="1">
        <v>0.77490499999999995</v>
      </c>
    </row>
    <row r="16" spans="1:16" x14ac:dyDescent="0.25">
      <c r="A16" t="s">
        <v>16</v>
      </c>
      <c r="B16" s="19">
        <v>1902726819</v>
      </c>
      <c r="C16">
        <v>1561</v>
      </c>
      <c r="D16">
        <v>939</v>
      </c>
      <c r="E16" s="1">
        <v>0.62439999999999996</v>
      </c>
      <c r="F16" s="1">
        <v>0.37559999999999999</v>
      </c>
      <c r="G16">
        <v>78</v>
      </c>
      <c r="H16">
        <v>11</v>
      </c>
      <c r="I16">
        <v>1482</v>
      </c>
      <c r="J16" s="20">
        <v>0.94939099999999998</v>
      </c>
      <c r="K16">
        <v>8</v>
      </c>
      <c r="L16">
        <v>162.625</v>
      </c>
      <c r="M16">
        <v>1161</v>
      </c>
      <c r="N16">
        <v>1</v>
      </c>
      <c r="O16">
        <v>1301</v>
      </c>
      <c r="P16" s="1">
        <v>0.83343999999999996</v>
      </c>
    </row>
    <row r="17" spans="1:16" x14ac:dyDescent="0.25">
      <c r="A17" t="s">
        <v>16</v>
      </c>
      <c r="B17" s="19">
        <v>819700057</v>
      </c>
      <c r="C17">
        <v>1509</v>
      </c>
      <c r="D17">
        <v>991</v>
      </c>
      <c r="E17" s="1">
        <v>0.60360000000000003</v>
      </c>
      <c r="F17" s="1">
        <v>0.39639999999999997</v>
      </c>
      <c r="G17">
        <v>64</v>
      </c>
      <c r="H17">
        <v>5</v>
      </c>
      <c r="I17">
        <v>1015</v>
      </c>
      <c r="J17" s="20">
        <v>0.67263099999999998</v>
      </c>
      <c r="K17">
        <v>9</v>
      </c>
      <c r="L17">
        <v>135.444444</v>
      </c>
      <c r="M17">
        <v>814</v>
      </c>
      <c r="N17">
        <v>5</v>
      </c>
      <c r="O17">
        <v>1219</v>
      </c>
      <c r="P17" s="1">
        <v>0.80781999999999998</v>
      </c>
    </row>
    <row r="18" spans="1:16" x14ac:dyDescent="0.25">
      <c r="A18" t="s">
        <v>16</v>
      </c>
      <c r="B18" s="19">
        <v>1643304251</v>
      </c>
      <c r="C18">
        <v>1605</v>
      </c>
      <c r="D18">
        <v>895</v>
      </c>
      <c r="E18" s="1">
        <v>0.64200000000000002</v>
      </c>
      <c r="F18" s="1">
        <v>0.35799999999999998</v>
      </c>
      <c r="G18">
        <v>55</v>
      </c>
      <c r="H18">
        <v>5</v>
      </c>
      <c r="I18">
        <v>1562</v>
      </c>
      <c r="J18" s="20">
        <v>0.97320899999999999</v>
      </c>
      <c r="K18">
        <v>4</v>
      </c>
      <c r="L18">
        <v>345.5</v>
      </c>
      <c r="M18">
        <v>1358</v>
      </c>
      <c r="N18">
        <v>1</v>
      </c>
      <c r="O18">
        <v>1382</v>
      </c>
      <c r="P18" s="1">
        <v>0.86105900000000002</v>
      </c>
    </row>
    <row r="19" spans="1:16" x14ac:dyDescent="0.25">
      <c r="A19" t="s">
        <v>16</v>
      </c>
      <c r="B19" s="19">
        <v>1088493863</v>
      </c>
      <c r="C19">
        <v>1429</v>
      </c>
      <c r="D19">
        <v>1071</v>
      </c>
      <c r="E19" s="1">
        <v>0.5716</v>
      </c>
      <c r="F19" s="1">
        <v>0.4284</v>
      </c>
      <c r="G19">
        <v>75</v>
      </c>
      <c r="H19">
        <v>10</v>
      </c>
      <c r="I19">
        <v>1227</v>
      </c>
      <c r="J19" s="20">
        <v>0.85864200000000002</v>
      </c>
      <c r="K19">
        <v>9</v>
      </c>
      <c r="L19">
        <v>124.555556</v>
      </c>
      <c r="M19">
        <v>808</v>
      </c>
      <c r="N19">
        <v>2</v>
      </c>
      <c r="O19">
        <v>1121</v>
      </c>
      <c r="P19" s="1">
        <v>0.78446499999999997</v>
      </c>
    </row>
    <row r="20" spans="1:16" x14ac:dyDescent="0.25">
      <c r="A20" t="s">
        <v>16</v>
      </c>
      <c r="B20" s="19">
        <v>2134312547</v>
      </c>
      <c r="C20">
        <v>1445</v>
      </c>
      <c r="D20">
        <v>1055</v>
      </c>
      <c r="E20" s="1">
        <v>0.57799999999999996</v>
      </c>
      <c r="F20" s="1">
        <v>0.42199999999999999</v>
      </c>
      <c r="G20">
        <v>77</v>
      </c>
      <c r="H20">
        <v>13</v>
      </c>
      <c r="I20">
        <v>1348</v>
      </c>
      <c r="J20" s="20">
        <v>0.93287200000000003</v>
      </c>
      <c r="K20">
        <v>6</v>
      </c>
      <c r="L20">
        <v>195.16666699999999</v>
      </c>
      <c r="M20">
        <v>720</v>
      </c>
      <c r="N20">
        <v>1</v>
      </c>
      <c r="O20">
        <v>1171</v>
      </c>
      <c r="P20" s="1">
        <v>0.81038100000000002</v>
      </c>
    </row>
    <row r="21" spans="1:16" x14ac:dyDescent="0.25">
      <c r="A21" t="s">
        <v>16</v>
      </c>
      <c r="B21" s="19">
        <v>171902929</v>
      </c>
      <c r="C21">
        <v>1528</v>
      </c>
      <c r="D21">
        <v>972</v>
      </c>
      <c r="E21" s="1">
        <v>0.61119999999999997</v>
      </c>
      <c r="F21" s="1">
        <v>0.38879999999999998</v>
      </c>
      <c r="G21">
        <v>72</v>
      </c>
      <c r="H21">
        <v>5</v>
      </c>
      <c r="I21">
        <v>1493</v>
      </c>
      <c r="J21" s="20">
        <v>0.97709400000000002</v>
      </c>
      <c r="K21">
        <v>6</v>
      </c>
      <c r="L21">
        <v>212.33333300000001</v>
      </c>
      <c r="M21">
        <v>1197</v>
      </c>
      <c r="N21">
        <v>4</v>
      </c>
      <c r="O21">
        <v>1274</v>
      </c>
      <c r="P21" s="1">
        <v>0.83377000000000001</v>
      </c>
    </row>
    <row r="22" spans="1:16" x14ac:dyDescent="0.25">
      <c r="A22" t="s">
        <v>16</v>
      </c>
      <c r="B22" s="19">
        <v>98085438</v>
      </c>
      <c r="C22">
        <v>1512</v>
      </c>
      <c r="D22">
        <v>988</v>
      </c>
      <c r="E22" s="1">
        <v>0.6048</v>
      </c>
      <c r="F22" s="1">
        <v>0.3952</v>
      </c>
      <c r="G22">
        <v>78</v>
      </c>
      <c r="H22">
        <v>9</v>
      </c>
      <c r="I22">
        <v>1489</v>
      </c>
      <c r="J22" s="20">
        <v>0.984788</v>
      </c>
      <c r="K22">
        <v>8</v>
      </c>
      <c r="L22">
        <v>155.25</v>
      </c>
      <c r="M22">
        <v>628</v>
      </c>
      <c r="N22">
        <v>2</v>
      </c>
      <c r="O22">
        <v>1242</v>
      </c>
      <c r="P22" s="1">
        <v>0.82142899999999996</v>
      </c>
    </row>
    <row r="23" spans="1:16" x14ac:dyDescent="0.25">
      <c r="A23" t="s">
        <v>16</v>
      </c>
      <c r="B23" s="19">
        <v>944984262</v>
      </c>
      <c r="C23">
        <v>1511</v>
      </c>
      <c r="D23">
        <v>989</v>
      </c>
      <c r="E23" s="1">
        <v>0.60440000000000005</v>
      </c>
      <c r="F23" s="1">
        <v>0.39560000000000001</v>
      </c>
      <c r="G23">
        <v>81</v>
      </c>
      <c r="H23">
        <v>10</v>
      </c>
      <c r="I23">
        <v>1483</v>
      </c>
      <c r="J23" s="20">
        <v>0.98146900000000004</v>
      </c>
      <c r="K23">
        <v>3</v>
      </c>
      <c r="L23">
        <v>414</v>
      </c>
      <c r="M23">
        <v>1231</v>
      </c>
      <c r="N23">
        <v>2</v>
      </c>
      <c r="O23">
        <v>1242</v>
      </c>
      <c r="P23" s="1">
        <v>0.82197200000000004</v>
      </c>
    </row>
    <row r="24" spans="1:16" x14ac:dyDescent="0.25">
      <c r="A24" t="s">
        <v>16</v>
      </c>
      <c r="B24" s="19">
        <v>518389546</v>
      </c>
      <c r="C24">
        <v>1495</v>
      </c>
      <c r="D24">
        <v>1005</v>
      </c>
      <c r="E24" s="1">
        <v>0.59799999999999998</v>
      </c>
      <c r="F24" s="1">
        <v>0.40200000000000002</v>
      </c>
      <c r="G24">
        <v>88</v>
      </c>
      <c r="H24">
        <v>11</v>
      </c>
      <c r="I24">
        <v>1463</v>
      </c>
      <c r="J24" s="20">
        <v>0.97859499999999999</v>
      </c>
      <c r="K24">
        <v>6</v>
      </c>
      <c r="L24">
        <v>198.83333300000001</v>
      </c>
      <c r="M24">
        <v>909</v>
      </c>
      <c r="N24">
        <v>2</v>
      </c>
      <c r="O24">
        <v>1193</v>
      </c>
      <c r="P24" s="1">
        <v>0.79799299999999995</v>
      </c>
    </row>
    <row r="25" spans="1:16" x14ac:dyDescent="0.25">
      <c r="A25" t="s">
        <v>16</v>
      </c>
      <c r="B25" s="19">
        <v>629147158</v>
      </c>
      <c r="C25">
        <v>1563</v>
      </c>
      <c r="D25">
        <v>937</v>
      </c>
      <c r="E25" s="1">
        <v>0.62519999999999998</v>
      </c>
      <c r="F25" s="1">
        <v>0.37480000000000002</v>
      </c>
      <c r="G25">
        <v>79</v>
      </c>
      <c r="H25">
        <v>6</v>
      </c>
      <c r="I25">
        <v>1551</v>
      </c>
      <c r="J25" s="20">
        <v>0.99232200000000004</v>
      </c>
      <c r="K25">
        <v>4</v>
      </c>
      <c r="L25">
        <v>326.5</v>
      </c>
      <c r="M25">
        <v>701</v>
      </c>
      <c r="N25">
        <v>15</v>
      </c>
      <c r="O25">
        <v>1306</v>
      </c>
      <c r="P25" s="1">
        <v>0.83557300000000001</v>
      </c>
    </row>
    <row r="26" spans="1:16" x14ac:dyDescent="0.25">
      <c r="A26" t="s">
        <v>16</v>
      </c>
      <c r="B26" s="19">
        <v>1276594770</v>
      </c>
      <c r="C26">
        <v>1418</v>
      </c>
      <c r="D26">
        <v>1082</v>
      </c>
      <c r="E26" s="1">
        <v>0.56720000000000004</v>
      </c>
      <c r="F26" s="1">
        <v>0.43280000000000002</v>
      </c>
      <c r="G26">
        <v>67</v>
      </c>
      <c r="H26">
        <v>11</v>
      </c>
      <c r="I26">
        <v>1199</v>
      </c>
      <c r="J26" s="20">
        <v>0.845557</v>
      </c>
      <c r="K26">
        <v>4</v>
      </c>
      <c r="L26">
        <v>288.75</v>
      </c>
      <c r="M26">
        <v>1013</v>
      </c>
      <c r="N26">
        <v>15</v>
      </c>
      <c r="O26">
        <v>1155</v>
      </c>
      <c r="P26" s="1">
        <v>0.81452800000000003</v>
      </c>
    </row>
    <row r="27" spans="1:16" x14ac:dyDescent="0.25">
      <c r="A27" t="s">
        <v>16</v>
      </c>
      <c r="B27" s="19">
        <v>1187172651</v>
      </c>
      <c r="C27">
        <v>1616</v>
      </c>
      <c r="D27">
        <v>884</v>
      </c>
      <c r="E27" s="1">
        <v>0.64639999999999997</v>
      </c>
      <c r="F27" s="1">
        <v>0.35360000000000003</v>
      </c>
      <c r="G27">
        <v>103</v>
      </c>
      <c r="H27">
        <v>7</v>
      </c>
      <c r="I27">
        <v>1600</v>
      </c>
      <c r="J27" s="20">
        <v>0.99009899999999995</v>
      </c>
      <c r="K27">
        <v>2</v>
      </c>
      <c r="L27">
        <v>695</v>
      </c>
      <c r="M27">
        <v>1374</v>
      </c>
      <c r="N27">
        <v>16</v>
      </c>
      <c r="O27">
        <v>1390</v>
      </c>
      <c r="P27" s="1">
        <v>0.86014900000000005</v>
      </c>
    </row>
    <row r="28" spans="1:16" x14ac:dyDescent="0.25">
      <c r="A28" t="s">
        <v>16</v>
      </c>
      <c r="B28" s="19">
        <v>1614887907</v>
      </c>
      <c r="C28">
        <v>1535</v>
      </c>
      <c r="D28">
        <v>965</v>
      </c>
      <c r="E28" s="1">
        <v>0.61399999999999999</v>
      </c>
      <c r="F28" s="1">
        <v>0.38600000000000001</v>
      </c>
      <c r="G28">
        <v>62</v>
      </c>
      <c r="H28">
        <v>8</v>
      </c>
      <c r="I28">
        <v>1462</v>
      </c>
      <c r="J28" s="20">
        <v>0.95244300000000004</v>
      </c>
      <c r="K28">
        <v>7</v>
      </c>
      <c r="L28">
        <v>178.28571400000001</v>
      </c>
      <c r="M28">
        <v>600</v>
      </c>
      <c r="N28">
        <v>1</v>
      </c>
      <c r="O28">
        <v>1248</v>
      </c>
      <c r="P28" s="1">
        <v>0.813029</v>
      </c>
    </row>
    <row r="29" spans="1:16" x14ac:dyDescent="0.25">
      <c r="A29" t="s">
        <v>16</v>
      </c>
      <c r="B29" s="19">
        <v>127994168</v>
      </c>
      <c r="C29">
        <v>1522</v>
      </c>
      <c r="D29">
        <v>978</v>
      </c>
      <c r="E29" s="1">
        <v>0.60880000000000001</v>
      </c>
      <c r="F29" s="1">
        <v>0.39119999999999999</v>
      </c>
      <c r="G29">
        <v>84</v>
      </c>
      <c r="H29">
        <v>12</v>
      </c>
      <c r="I29">
        <v>1452</v>
      </c>
      <c r="J29" s="20">
        <v>0.95400799999999997</v>
      </c>
      <c r="K29">
        <v>8</v>
      </c>
      <c r="L29">
        <v>155.5</v>
      </c>
      <c r="M29">
        <v>600</v>
      </c>
      <c r="N29">
        <v>2</v>
      </c>
      <c r="O29">
        <v>1244</v>
      </c>
      <c r="P29" s="1">
        <v>0.81734600000000002</v>
      </c>
    </row>
    <row r="30" spans="1:16" x14ac:dyDescent="0.25">
      <c r="A30" t="s">
        <v>16</v>
      </c>
      <c r="B30" s="19">
        <v>1773801381</v>
      </c>
      <c r="C30">
        <v>1425</v>
      </c>
      <c r="D30">
        <v>1075</v>
      </c>
      <c r="E30" s="1">
        <v>0.56999999999999995</v>
      </c>
      <c r="F30" s="1">
        <v>0.43</v>
      </c>
      <c r="G30">
        <v>56</v>
      </c>
      <c r="H30">
        <v>14</v>
      </c>
      <c r="I30">
        <v>1240</v>
      </c>
      <c r="J30" s="20">
        <v>0.87017500000000003</v>
      </c>
      <c r="K30">
        <v>8</v>
      </c>
      <c r="L30">
        <v>146.125</v>
      </c>
      <c r="M30">
        <v>1047</v>
      </c>
      <c r="N30">
        <v>2</v>
      </c>
      <c r="O30">
        <v>1169</v>
      </c>
      <c r="P30" s="1">
        <v>0.82035100000000005</v>
      </c>
    </row>
    <row r="31" spans="1:16" x14ac:dyDescent="0.25">
      <c r="A31" t="s">
        <v>16</v>
      </c>
      <c r="B31" s="19">
        <v>1033598346</v>
      </c>
      <c r="C31">
        <v>1584</v>
      </c>
      <c r="D31">
        <v>916</v>
      </c>
      <c r="E31" s="1">
        <v>0.63360000000000005</v>
      </c>
      <c r="F31" s="1">
        <v>0.3664</v>
      </c>
      <c r="G31">
        <v>57</v>
      </c>
      <c r="H31">
        <v>6</v>
      </c>
      <c r="I31">
        <v>1569</v>
      </c>
      <c r="J31" s="20">
        <v>0.99053000000000002</v>
      </c>
      <c r="K31">
        <v>2</v>
      </c>
      <c r="L31">
        <v>680</v>
      </c>
      <c r="M31">
        <v>1347</v>
      </c>
      <c r="N31">
        <v>13</v>
      </c>
      <c r="O31">
        <v>1360</v>
      </c>
      <c r="P31" s="1">
        <v>0.85858599999999996</v>
      </c>
    </row>
    <row r="32" spans="1:16" x14ac:dyDescent="0.25">
      <c r="A32" t="s">
        <v>16</v>
      </c>
      <c r="B32" s="19">
        <v>49005607</v>
      </c>
      <c r="C32">
        <v>1555</v>
      </c>
      <c r="D32">
        <v>945</v>
      </c>
      <c r="E32" s="1">
        <v>0.622</v>
      </c>
      <c r="F32" s="1">
        <v>0.378</v>
      </c>
      <c r="G32">
        <v>66</v>
      </c>
      <c r="H32">
        <v>10</v>
      </c>
      <c r="I32">
        <v>1334</v>
      </c>
      <c r="J32" s="20">
        <v>0.85787800000000003</v>
      </c>
      <c r="K32">
        <v>10</v>
      </c>
      <c r="L32">
        <v>126</v>
      </c>
      <c r="M32">
        <v>1017</v>
      </c>
      <c r="N32">
        <v>1</v>
      </c>
      <c r="O32">
        <v>1260</v>
      </c>
      <c r="P32" s="1">
        <v>0.81028900000000004</v>
      </c>
    </row>
    <row r="33" spans="1:16" x14ac:dyDescent="0.25">
      <c r="A33" t="s">
        <v>16</v>
      </c>
      <c r="B33" s="19">
        <v>352653684</v>
      </c>
      <c r="C33">
        <v>1457</v>
      </c>
      <c r="D33">
        <v>1043</v>
      </c>
      <c r="E33" s="1">
        <v>0.58279999999999998</v>
      </c>
      <c r="F33" s="1">
        <v>0.41720000000000002</v>
      </c>
      <c r="G33">
        <v>89</v>
      </c>
      <c r="H33">
        <v>18</v>
      </c>
      <c r="I33">
        <v>1168</v>
      </c>
      <c r="J33" s="20">
        <v>0.801647</v>
      </c>
      <c r="K33">
        <v>8</v>
      </c>
      <c r="L33">
        <v>149.25</v>
      </c>
      <c r="M33">
        <v>529</v>
      </c>
      <c r="N33">
        <v>2</v>
      </c>
      <c r="O33">
        <v>1194</v>
      </c>
      <c r="P33" s="1">
        <v>0.819492</v>
      </c>
    </row>
    <row r="34" spans="1:16" x14ac:dyDescent="0.25">
      <c r="A34" t="s">
        <v>16</v>
      </c>
      <c r="B34" s="19">
        <v>774531750</v>
      </c>
      <c r="C34">
        <v>1561</v>
      </c>
      <c r="D34">
        <v>939</v>
      </c>
      <c r="E34" s="1">
        <v>0.62439999999999996</v>
      </c>
      <c r="F34" s="1">
        <v>0.37559999999999999</v>
      </c>
      <c r="G34">
        <v>66</v>
      </c>
      <c r="H34">
        <v>10</v>
      </c>
      <c r="I34">
        <v>1118</v>
      </c>
      <c r="J34" s="20">
        <v>0.71620799999999996</v>
      </c>
      <c r="K34">
        <v>9</v>
      </c>
      <c r="L34">
        <v>142</v>
      </c>
      <c r="M34">
        <v>830</v>
      </c>
      <c r="N34">
        <v>6</v>
      </c>
      <c r="O34">
        <v>1278</v>
      </c>
      <c r="P34" s="1">
        <v>0.81870600000000004</v>
      </c>
    </row>
    <row r="35" spans="1:16" x14ac:dyDescent="0.25">
      <c r="A35" t="s">
        <v>16</v>
      </c>
      <c r="B35" s="19">
        <v>1907316831</v>
      </c>
      <c r="C35">
        <v>1647</v>
      </c>
      <c r="D35">
        <v>853</v>
      </c>
      <c r="E35" s="1">
        <v>0.65880000000000005</v>
      </c>
      <c r="F35" s="1">
        <v>0.3412</v>
      </c>
      <c r="G35">
        <v>59</v>
      </c>
      <c r="H35">
        <v>5</v>
      </c>
      <c r="I35">
        <v>1634</v>
      </c>
      <c r="J35" s="20">
        <v>0.99210699999999996</v>
      </c>
      <c r="K35">
        <v>3</v>
      </c>
      <c r="L35">
        <v>467</v>
      </c>
      <c r="M35">
        <v>984</v>
      </c>
      <c r="N35">
        <v>2</v>
      </c>
      <c r="O35">
        <v>1401</v>
      </c>
      <c r="P35" s="1">
        <v>0.85063800000000001</v>
      </c>
    </row>
    <row r="36" spans="1:16" x14ac:dyDescent="0.25">
      <c r="A36" t="s">
        <v>16</v>
      </c>
      <c r="B36" s="19">
        <v>1646093584</v>
      </c>
      <c r="C36">
        <v>1673</v>
      </c>
      <c r="D36">
        <v>827</v>
      </c>
      <c r="E36" s="1">
        <v>0.66920000000000002</v>
      </c>
      <c r="F36" s="1">
        <v>0.33079999999999998</v>
      </c>
      <c r="G36">
        <v>61</v>
      </c>
      <c r="H36">
        <v>6</v>
      </c>
      <c r="I36">
        <v>1650</v>
      </c>
      <c r="J36" s="20">
        <v>0.98625200000000002</v>
      </c>
      <c r="K36">
        <v>6</v>
      </c>
      <c r="L36">
        <v>242.16666699999999</v>
      </c>
      <c r="M36">
        <v>1430</v>
      </c>
      <c r="N36">
        <v>2</v>
      </c>
      <c r="O36">
        <v>1453</v>
      </c>
      <c r="P36" s="1">
        <v>0.86850000000000005</v>
      </c>
    </row>
    <row r="37" spans="1:16" x14ac:dyDescent="0.25">
      <c r="A37" t="s">
        <v>16</v>
      </c>
      <c r="B37" s="19">
        <v>2057125540</v>
      </c>
      <c r="C37">
        <v>1489</v>
      </c>
      <c r="D37">
        <v>1011</v>
      </c>
      <c r="E37" s="1">
        <v>0.59560000000000002</v>
      </c>
      <c r="F37" s="1">
        <v>0.40439999999999998</v>
      </c>
      <c r="G37">
        <v>131</v>
      </c>
      <c r="H37">
        <v>8</v>
      </c>
      <c r="I37">
        <v>1457</v>
      </c>
      <c r="J37" s="20">
        <v>0.97850899999999996</v>
      </c>
      <c r="K37">
        <v>6</v>
      </c>
      <c r="L37">
        <v>206.5</v>
      </c>
      <c r="M37">
        <v>1228</v>
      </c>
      <c r="N37">
        <v>1</v>
      </c>
      <c r="O37">
        <v>1239</v>
      </c>
      <c r="P37" s="1">
        <v>0.83210200000000001</v>
      </c>
    </row>
    <row r="38" spans="1:16" x14ac:dyDescent="0.25">
      <c r="A38" t="s">
        <v>16</v>
      </c>
      <c r="B38" s="19">
        <v>782609663</v>
      </c>
      <c r="C38">
        <v>1712</v>
      </c>
      <c r="D38">
        <v>788</v>
      </c>
      <c r="E38" s="1">
        <v>0.68479999999999996</v>
      </c>
      <c r="F38" s="1">
        <v>0.31519999999999998</v>
      </c>
      <c r="G38">
        <v>59</v>
      </c>
      <c r="H38">
        <v>6</v>
      </c>
      <c r="I38">
        <v>1702</v>
      </c>
      <c r="J38" s="20">
        <v>0.99415900000000001</v>
      </c>
      <c r="K38">
        <v>3</v>
      </c>
      <c r="L38">
        <v>487</v>
      </c>
      <c r="M38">
        <v>1329</v>
      </c>
      <c r="N38">
        <v>1</v>
      </c>
      <c r="O38">
        <v>1461</v>
      </c>
      <c r="P38" s="1">
        <v>0.85338800000000004</v>
      </c>
    </row>
    <row r="39" spans="1:16" x14ac:dyDescent="0.25">
      <c r="A39" t="s">
        <v>16</v>
      </c>
      <c r="B39" s="19">
        <v>168985322</v>
      </c>
      <c r="C39">
        <v>1645</v>
      </c>
      <c r="D39">
        <v>855</v>
      </c>
      <c r="E39" s="1">
        <v>0.65800000000000003</v>
      </c>
      <c r="F39" s="1">
        <v>0.34200000000000003</v>
      </c>
      <c r="G39">
        <v>56</v>
      </c>
      <c r="H39">
        <v>10</v>
      </c>
      <c r="I39">
        <v>1609</v>
      </c>
      <c r="J39" s="20">
        <v>0.97811599999999999</v>
      </c>
      <c r="K39">
        <v>8</v>
      </c>
      <c r="L39">
        <v>173.125</v>
      </c>
      <c r="M39">
        <v>1301</v>
      </c>
      <c r="N39">
        <v>1</v>
      </c>
      <c r="O39">
        <v>1385</v>
      </c>
      <c r="P39" s="1">
        <v>0.84194500000000005</v>
      </c>
    </row>
    <row r="40" spans="1:16" x14ac:dyDescent="0.25">
      <c r="A40" t="s">
        <v>16</v>
      </c>
      <c r="B40" s="19">
        <v>607856981</v>
      </c>
      <c r="C40">
        <v>1708</v>
      </c>
      <c r="D40">
        <v>792</v>
      </c>
      <c r="E40" s="1">
        <v>0.68320000000000003</v>
      </c>
      <c r="F40" s="1">
        <v>0.31680000000000003</v>
      </c>
      <c r="G40">
        <v>72</v>
      </c>
      <c r="H40">
        <v>5</v>
      </c>
      <c r="I40">
        <v>1691</v>
      </c>
      <c r="J40" s="20">
        <v>0.99004700000000001</v>
      </c>
      <c r="K40">
        <v>6</v>
      </c>
      <c r="L40">
        <v>244.66666699999999</v>
      </c>
      <c r="M40">
        <v>1351</v>
      </c>
      <c r="N40">
        <v>2</v>
      </c>
      <c r="O40">
        <v>1468</v>
      </c>
      <c r="P40" s="1">
        <v>0.85948500000000005</v>
      </c>
    </row>
    <row r="41" spans="1:16" x14ac:dyDescent="0.25">
      <c r="A41" t="s">
        <v>16</v>
      </c>
      <c r="B41" s="19">
        <v>1893763875</v>
      </c>
      <c r="C41">
        <v>1473</v>
      </c>
      <c r="D41">
        <v>1027</v>
      </c>
      <c r="E41" s="1">
        <v>0.58919999999999995</v>
      </c>
      <c r="F41" s="1">
        <v>0.4108</v>
      </c>
      <c r="G41">
        <v>72</v>
      </c>
      <c r="H41">
        <v>10</v>
      </c>
      <c r="I41">
        <v>1378</v>
      </c>
      <c r="J41" s="20">
        <v>0.93550599999999995</v>
      </c>
      <c r="K41">
        <v>7</v>
      </c>
      <c r="L41">
        <v>170.42857100000001</v>
      </c>
      <c r="M41">
        <v>462</v>
      </c>
      <c r="N41">
        <v>2</v>
      </c>
      <c r="O41">
        <v>1193</v>
      </c>
      <c r="P41" s="1">
        <v>0.80991199999999997</v>
      </c>
    </row>
    <row r="42" spans="1:16" x14ac:dyDescent="0.25">
      <c r="A42" t="s">
        <v>16</v>
      </c>
      <c r="B42" s="19">
        <v>622762104</v>
      </c>
      <c r="C42">
        <v>1608</v>
      </c>
      <c r="D42">
        <v>892</v>
      </c>
      <c r="E42" s="1">
        <v>0.64319999999999999</v>
      </c>
      <c r="F42" s="1">
        <v>0.35680000000000001</v>
      </c>
      <c r="G42">
        <v>78</v>
      </c>
      <c r="H42">
        <v>7</v>
      </c>
      <c r="I42">
        <v>1597</v>
      </c>
      <c r="J42" s="20">
        <v>0.99315900000000001</v>
      </c>
      <c r="K42">
        <v>5</v>
      </c>
      <c r="L42">
        <v>273.2</v>
      </c>
      <c r="M42">
        <v>1040</v>
      </c>
      <c r="N42">
        <v>12</v>
      </c>
      <c r="O42">
        <v>1366</v>
      </c>
      <c r="P42" s="1">
        <v>0.84950199999999998</v>
      </c>
    </row>
    <row r="43" spans="1:16" x14ac:dyDescent="0.25">
      <c r="A43" t="s">
        <v>16</v>
      </c>
      <c r="B43" s="19">
        <v>1014437511</v>
      </c>
      <c r="C43">
        <v>1576</v>
      </c>
      <c r="D43">
        <v>924</v>
      </c>
      <c r="E43" s="1">
        <v>0.63039999999999996</v>
      </c>
      <c r="F43" s="1">
        <v>0.36959999999999998</v>
      </c>
      <c r="G43">
        <v>59</v>
      </c>
      <c r="H43">
        <v>8</v>
      </c>
      <c r="I43">
        <v>1449</v>
      </c>
      <c r="J43" s="20">
        <v>0.91941600000000001</v>
      </c>
      <c r="K43">
        <v>5</v>
      </c>
      <c r="L43">
        <v>267</v>
      </c>
      <c r="M43">
        <v>1249</v>
      </c>
      <c r="N43">
        <v>2</v>
      </c>
      <c r="O43">
        <v>1335</v>
      </c>
      <c r="P43" s="1">
        <v>0.84708099999999997</v>
      </c>
    </row>
    <row r="44" spans="1:16" x14ac:dyDescent="0.25">
      <c r="A44" t="s">
        <v>16</v>
      </c>
      <c r="B44" s="19">
        <v>854116983</v>
      </c>
      <c r="C44">
        <v>1539</v>
      </c>
      <c r="D44">
        <v>961</v>
      </c>
      <c r="E44" s="1">
        <v>0.61560000000000004</v>
      </c>
      <c r="F44" s="1">
        <v>0.38440000000000002</v>
      </c>
      <c r="G44">
        <v>80</v>
      </c>
      <c r="H44">
        <v>5</v>
      </c>
      <c r="I44">
        <v>1510</v>
      </c>
      <c r="J44" s="20">
        <v>0.98115699999999995</v>
      </c>
      <c r="K44">
        <v>8</v>
      </c>
      <c r="L44">
        <v>161.75</v>
      </c>
      <c r="M44">
        <v>970</v>
      </c>
      <c r="N44">
        <v>2</v>
      </c>
      <c r="O44">
        <v>1294</v>
      </c>
      <c r="P44" s="1">
        <v>0.84080600000000005</v>
      </c>
    </row>
    <row r="45" spans="1:16" x14ac:dyDescent="0.25">
      <c r="A45" t="s">
        <v>16</v>
      </c>
      <c r="B45" s="19">
        <v>1286772989</v>
      </c>
      <c r="C45">
        <v>1600</v>
      </c>
      <c r="D45">
        <v>900</v>
      </c>
      <c r="E45" s="1">
        <v>0.64</v>
      </c>
      <c r="F45" s="1">
        <v>0.36</v>
      </c>
      <c r="G45">
        <v>72</v>
      </c>
      <c r="H45">
        <v>5</v>
      </c>
      <c r="I45">
        <v>1276</v>
      </c>
      <c r="J45" s="20">
        <v>0.79749999999999999</v>
      </c>
      <c r="K45">
        <v>3</v>
      </c>
      <c r="L45">
        <v>439</v>
      </c>
      <c r="M45">
        <v>1057</v>
      </c>
      <c r="N45">
        <v>1</v>
      </c>
      <c r="O45">
        <v>1317</v>
      </c>
      <c r="P45" s="1">
        <v>0.823125</v>
      </c>
    </row>
    <row r="46" spans="1:16" x14ac:dyDescent="0.25">
      <c r="A46" t="s">
        <v>16</v>
      </c>
      <c r="B46" s="19">
        <v>117977287</v>
      </c>
      <c r="C46">
        <v>1439</v>
      </c>
      <c r="D46">
        <v>1061</v>
      </c>
      <c r="E46" s="1">
        <v>0.5756</v>
      </c>
      <c r="F46" s="1">
        <v>0.4244</v>
      </c>
      <c r="G46">
        <v>66</v>
      </c>
      <c r="H46">
        <v>13</v>
      </c>
      <c r="I46">
        <v>748</v>
      </c>
      <c r="J46" s="20">
        <v>0.51980499999999996</v>
      </c>
      <c r="K46">
        <v>7</v>
      </c>
      <c r="L46">
        <v>167.57142899999999</v>
      </c>
      <c r="M46">
        <v>650</v>
      </c>
      <c r="N46">
        <v>2</v>
      </c>
      <c r="O46">
        <v>1173</v>
      </c>
      <c r="P46" s="1">
        <v>0.81514900000000001</v>
      </c>
    </row>
    <row r="47" spans="1:16" x14ac:dyDescent="0.25">
      <c r="A47" t="s">
        <v>16</v>
      </c>
      <c r="B47" s="19">
        <v>2062097794</v>
      </c>
      <c r="C47">
        <v>1535</v>
      </c>
      <c r="D47">
        <v>965</v>
      </c>
      <c r="E47" s="1">
        <v>0.61399999999999999</v>
      </c>
      <c r="F47" s="1">
        <v>0.38600000000000001</v>
      </c>
      <c r="G47">
        <v>57</v>
      </c>
      <c r="H47">
        <v>10</v>
      </c>
      <c r="I47">
        <v>1478</v>
      </c>
      <c r="J47" s="20">
        <v>0.962866</v>
      </c>
      <c r="K47">
        <v>5</v>
      </c>
      <c r="L47">
        <v>257.60000000000002</v>
      </c>
      <c r="M47">
        <v>1269</v>
      </c>
      <c r="N47">
        <v>2</v>
      </c>
      <c r="O47">
        <v>1288</v>
      </c>
      <c r="P47" s="1">
        <v>0.83908799999999995</v>
      </c>
    </row>
    <row r="48" spans="1:16" x14ac:dyDescent="0.25">
      <c r="A48" t="s">
        <v>16</v>
      </c>
      <c r="B48" s="19">
        <v>1636613331</v>
      </c>
      <c r="C48">
        <v>1571</v>
      </c>
      <c r="D48">
        <v>929</v>
      </c>
      <c r="E48" s="1">
        <v>0.62839999999999996</v>
      </c>
      <c r="F48" s="1">
        <v>0.37159999999999999</v>
      </c>
      <c r="G48">
        <v>66</v>
      </c>
      <c r="H48">
        <v>7</v>
      </c>
      <c r="I48">
        <v>1474</v>
      </c>
      <c r="J48" s="20">
        <v>0.93825599999999998</v>
      </c>
      <c r="K48">
        <v>7</v>
      </c>
      <c r="L48">
        <v>186.71428599999999</v>
      </c>
      <c r="M48">
        <v>1204</v>
      </c>
      <c r="N48">
        <v>1</v>
      </c>
      <c r="O48">
        <v>1307</v>
      </c>
      <c r="P48" s="1">
        <v>0.83195399999999997</v>
      </c>
    </row>
    <row r="49" spans="1:16" x14ac:dyDescent="0.25">
      <c r="A49" t="s">
        <v>16</v>
      </c>
      <c r="B49" s="19">
        <v>939771084</v>
      </c>
      <c r="C49">
        <v>1499</v>
      </c>
      <c r="D49">
        <v>1001</v>
      </c>
      <c r="E49" s="1">
        <v>0.59960000000000002</v>
      </c>
      <c r="F49" s="1">
        <v>0.40039999999999998</v>
      </c>
      <c r="G49">
        <v>62</v>
      </c>
      <c r="H49">
        <v>16</v>
      </c>
      <c r="I49">
        <v>1430</v>
      </c>
      <c r="J49" s="20">
        <v>0.95396899999999996</v>
      </c>
      <c r="K49">
        <v>7</v>
      </c>
      <c r="L49">
        <v>176</v>
      </c>
      <c r="M49">
        <v>1013</v>
      </c>
      <c r="N49">
        <v>1</v>
      </c>
      <c r="O49">
        <v>1232</v>
      </c>
      <c r="P49" s="1">
        <v>0.82188099999999997</v>
      </c>
    </row>
    <row r="50" spans="1:16" x14ac:dyDescent="0.25">
      <c r="A50" t="s">
        <v>16</v>
      </c>
      <c r="B50" s="19">
        <v>359917807</v>
      </c>
      <c r="C50">
        <v>1567</v>
      </c>
      <c r="D50">
        <v>933</v>
      </c>
      <c r="E50" s="1">
        <v>0.62680000000000002</v>
      </c>
      <c r="F50" s="1">
        <v>0.37319999999999998</v>
      </c>
      <c r="G50">
        <v>55</v>
      </c>
      <c r="H50">
        <v>9</v>
      </c>
      <c r="I50">
        <v>1488</v>
      </c>
      <c r="J50" s="20">
        <v>0.94958500000000001</v>
      </c>
      <c r="K50">
        <v>6</v>
      </c>
      <c r="L50">
        <v>219</v>
      </c>
      <c r="M50">
        <v>1090</v>
      </c>
      <c r="N50">
        <v>1</v>
      </c>
      <c r="O50">
        <v>1314</v>
      </c>
      <c r="P50" s="1">
        <v>0.83854499999999998</v>
      </c>
    </row>
    <row r="51" spans="1:16" x14ac:dyDescent="0.25">
      <c r="A51" t="s">
        <v>16</v>
      </c>
      <c r="B51" s="19">
        <v>138807242</v>
      </c>
      <c r="C51">
        <v>1539</v>
      </c>
      <c r="D51">
        <v>961</v>
      </c>
      <c r="E51" s="1">
        <v>0.61560000000000004</v>
      </c>
      <c r="F51" s="1">
        <v>0.38440000000000002</v>
      </c>
      <c r="G51">
        <v>68</v>
      </c>
      <c r="H51">
        <v>11</v>
      </c>
      <c r="I51">
        <v>1443</v>
      </c>
      <c r="J51" s="20">
        <v>0.93762199999999996</v>
      </c>
      <c r="K51">
        <v>6</v>
      </c>
      <c r="L51">
        <v>216.16666699999999</v>
      </c>
      <c r="M51">
        <v>1176</v>
      </c>
      <c r="N51">
        <v>5</v>
      </c>
      <c r="O51">
        <v>1297</v>
      </c>
      <c r="P51" s="1">
        <v>0.84275500000000003</v>
      </c>
    </row>
    <row r="52" spans="1:16" x14ac:dyDescent="0.25">
      <c r="A52" t="s">
        <v>26</v>
      </c>
      <c r="B52"/>
      <c r="C52">
        <f>SUBTOTAL(101,CA8_wall70_it2_neigh6[floors])</f>
        <v>1535.62</v>
      </c>
      <c r="D52">
        <f>SUBTOTAL(101,CA8_wall70_it2_neigh6[walls])</f>
        <v>964.38</v>
      </c>
      <c r="E52" s="2">
        <f>SUBTOTAL(101,CA8_wall70_it2_neigh6[floor_percent])</f>
        <v>0.61424800000000002</v>
      </c>
      <c r="F52" s="2">
        <f>SUBTOTAL(101,CA8_wall70_it2_neigh6[wall_percent])</f>
        <v>0.38575200000000004</v>
      </c>
      <c r="G52">
        <f>SUBTOTAL(101,CA8_wall70_it2_neigh6[longest_shortest_path])</f>
        <v>70.599999999999994</v>
      </c>
      <c r="H52">
        <f>SUBTOTAL(101,CA8_wall70_it2_neigh6[component_count])</f>
        <v>9.6</v>
      </c>
      <c r="I52">
        <f>SUBTOTAL(101,CA8_wall70_it2_neigh6[max_component_size])</f>
        <v>1402.04</v>
      </c>
      <c r="J52">
        <f>SUBTOTAL(101,CA8_wall70_it2_neigh6[connectivity_ratio])</f>
        <v>0.90959243999999984</v>
      </c>
      <c r="K52">
        <f>SUBTOTAL(101,CA8_wall70_it2_neigh6[room_count])</f>
        <v>6.86</v>
      </c>
      <c r="L52">
        <f>SUBTOTAL(101,CA8_wall70_it2_neigh6[avg_room_size])</f>
        <v>235.18651400000002</v>
      </c>
      <c r="M52">
        <f>SUBTOTAL(101,CA8_wall70_it2_neigh6[max_room_size])</f>
        <v>1000.24</v>
      </c>
      <c r="N52">
        <f>SUBTOTAL(101,CA8_wall70_it2_neigh6[min_room_size])</f>
        <v>3.34</v>
      </c>
      <c r="O52">
        <f>SUBTOTAL(101,CA8_wall70_it2_neigh6[room_tiles])</f>
        <v>1271.56</v>
      </c>
      <c r="P52" s="2">
        <f>SUBTOTAL(101,CA8_wall70_it2_neigh6[room_ratio])</f>
        <v>0.82681823999999982</v>
      </c>
    </row>
    <row r="53" spans="1:16" x14ac:dyDescent="0.25">
      <c r="A53" s="22" t="s">
        <v>27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5CA6-B9D5-40D7-8808-8618B7DC5DA4}">
  <dimension ref="A1:P53"/>
  <sheetViews>
    <sheetView topLeftCell="A19" workbookViewId="0">
      <selection activeCell="G54" sqref="G54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440898957</v>
      </c>
      <c r="C2">
        <v>445</v>
      </c>
      <c r="D2">
        <v>2055</v>
      </c>
      <c r="E2" s="1">
        <v>0.17799999999999999</v>
      </c>
      <c r="F2" s="1">
        <v>0.82199999999999995</v>
      </c>
      <c r="G2">
        <v>11</v>
      </c>
      <c r="H2">
        <v>56</v>
      </c>
      <c r="I2">
        <v>51</v>
      </c>
      <c r="J2" s="20">
        <v>0.114607</v>
      </c>
      <c r="K2">
        <v>21</v>
      </c>
      <c r="L2">
        <v>8.0476189999999992</v>
      </c>
      <c r="M2">
        <v>35</v>
      </c>
      <c r="N2">
        <v>1</v>
      </c>
      <c r="O2">
        <v>169</v>
      </c>
      <c r="P2" s="1">
        <v>0.37977499999999997</v>
      </c>
    </row>
    <row r="3" spans="1:16" x14ac:dyDescent="0.25">
      <c r="A3" t="s">
        <v>16</v>
      </c>
      <c r="B3" s="19">
        <v>2073482757</v>
      </c>
      <c r="C3">
        <v>361</v>
      </c>
      <c r="D3">
        <v>2139</v>
      </c>
      <c r="E3" s="1">
        <v>0.1444</v>
      </c>
      <c r="F3" s="1">
        <v>0.85560000000000003</v>
      </c>
      <c r="G3">
        <v>14</v>
      </c>
      <c r="H3">
        <v>55</v>
      </c>
      <c r="I3">
        <v>56</v>
      </c>
      <c r="J3" s="20">
        <v>0.15512500000000001</v>
      </c>
      <c r="K3">
        <v>14</v>
      </c>
      <c r="L3">
        <v>9.8571430000000007</v>
      </c>
      <c r="M3">
        <v>30</v>
      </c>
      <c r="N3">
        <v>1</v>
      </c>
      <c r="O3">
        <v>138</v>
      </c>
      <c r="P3" s="1">
        <v>0.38227100000000003</v>
      </c>
    </row>
    <row r="4" spans="1:16" x14ac:dyDescent="0.25">
      <c r="A4" t="s">
        <v>16</v>
      </c>
      <c r="B4" s="19">
        <v>585104155</v>
      </c>
      <c r="C4">
        <v>409</v>
      </c>
      <c r="D4">
        <v>2091</v>
      </c>
      <c r="E4" s="1">
        <v>0.1636</v>
      </c>
      <c r="F4" s="1">
        <v>0.83640000000000003</v>
      </c>
      <c r="G4">
        <v>17</v>
      </c>
      <c r="H4">
        <v>51</v>
      </c>
      <c r="I4">
        <v>64</v>
      </c>
      <c r="J4" s="20">
        <v>0.15647900000000001</v>
      </c>
      <c r="K4">
        <v>18</v>
      </c>
      <c r="L4">
        <v>10.055555999999999</v>
      </c>
      <c r="M4">
        <v>41</v>
      </c>
      <c r="N4">
        <v>1</v>
      </c>
      <c r="O4">
        <v>181</v>
      </c>
      <c r="P4" s="1">
        <v>0.44254300000000002</v>
      </c>
    </row>
    <row r="5" spans="1:16" x14ac:dyDescent="0.25">
      <c r="A5" t="s">
        <v>16</v>
      </c>
      <c r="B5" s="19">
        <v>517954445</v>
      </c>
      <c r="C5">
        <v>444</v>
      </c>
      <c r="D5">
        <v>2056</v>
      </c>
      <c r="E5" s="1">
        <v>0.17760000000000001</v>
      </c>
      <c r="F5" s="1">
        <v>0.82240000000000002</v>
      </c>
      <c r="G5">
        <v>13</v>
      </c>
      <c r="H5">
        <v>48</v>
      </c>
      <c r="I5">
        <v>64</v>
      </c>
      <c r="J5" s="20">
        <v>0.14414399999999999</v>
      </c>
      <c r="K5">
        <v>21</v>
      </c>
      <c r="L5">
        <v>9.7142859999999995</v>
      </c>
      <c r="M5">
        <v>41</v>
      </c>
      <c r="N5">
        <v>1</v>
      </c>
      <c r="O5">
        <v>204</v>
      </c>
      <c r="P5" s="1">
        <v>0.45945900000000001</v>
      </c>
    </row>
    <row r="6" spans="1:16" x14ac:dyDescent="0.25">
      <c r="A6" t="s">
        <v>16</v>
      </c>
      <c r="B6" s="19">
        <v>62893228</v>
      </c>
      <c r="C6">
        <v>270</v>
      </c>
      <c r="D6">
        <v>2230</v>
      </c>
      <c r="E6" s="1">
        <v>0.108</v>
      </c>
      <c r="F6" s="1">
        <v>0.89200000000000002</v>
      </c>
      <c r="G6">
        <v>10</v>
      </c>
      <c r="H6">
        <v>58</v>
      </c>
      <c r="I6">
        <v>27</v>
      </c>
      <c r="J6" s="20">
        <v>0.1</v>
      </c>
      <c r="K6">
        <v>11</v>
      </c>
      <c r="L6">
        <v>6</v>
      </c>
      <c r="M6">
        <v>14</v>
      </c>
      <c r="N6">
        <v>1</v>
      </c>
      <c r="O6">
        <v>66</v>
      </c>
      <c r="P6" s="1">
        <v>0.24444399999999999</v>
      </c>
    </row>
    <row r="7" spans="1:16" x14ac:dyDescent="0.25">
      <c r="A7" t="s">
        <v>16</v>
      </c>
      <c r="B7" s="19">
        <v>612731031</v>
      </c>
      <c r="C7">
        <v>395</v>
      </c>
      <c r="D7">
        <v>2105</v>
      </c>
      <c r="E7" s="1">
        <v>0.158</v>
      </c>
      <c r="F7" s="1">
        <v>0.84199999999999997</v>
      </c>
      <c r="G7">
        <v>20</v>
      </c>
      <c r="H7">
        <v>46</v>
      </c>
      <c r="I7">
        <v>76</v>
      </c>
      <c r="J7" s="20">
        <v>0.19240499999999999</v>
      </c>
      <c r="K7">
        <v>17</v>
      </c>
      <c r="L7">
        <v>10.764706</v>
      </c>
      <c r="M7">
        <v>31</v>
      </c>
      <c r="N7">
        <v>1</v>
      </c>
      <c r="O7">
        <v>183</v>
      </c>
      <c r="P7" s="1">
        <v>0.46329100000000001</v>
      </c>
    </row>
    <row r="8" spans="1:16" x14ac:dyDescent="0.25">
      <c r="A8" t="s">
        <v>16</v>
      </c>
      <c r="B8" s="19">
        <v>1420658776</v>
      </c>
      <c r="C8">
        <v>397</v>
      </c>
      <c r="D8">
        <v>2103</v>
      </c>
      <c r="E8" s="1">
        <v>0.1588</v>
      </c>
      <c r="F8" s="1">
        <v>0.84119999999999995</v>
      </c>
      <c r="G8">
        <v>14</v>
      </c>
      <c r="H8">
        <v>48</v>
      </c>
      <c r="I8">
        <v>55</v>
      </c>
      <c r="J8" s="20">
        <v>0.138539</v>
      </c>
      <c r="K8">
        <v>17</v>
      </c>
      <c r="L8">
        <v>10.529412000000001</v>
      </c>
      <c r="M8">
        <v>36</v>
      </c>
      <c r="N8">
        <v>1</v>
      </c>
      <c r="O8">
        <v>179</v>
      </c>
      <c r="P8" s="1">
        <v>0.45088200000000001</v>
      </c>
    </row>
    <row r="9" spans="1:16" x14ac:dyDescent="0.25">
      <c r="A9" t="s">
        <v>16</v>
      </c>
      <c r="B9" s="19">
        <v>2048561112</v>
      </c>
      <c r="C9">
        <v>494</v>
      </c>
      <c r="D9">
        <v>2006</v>
      </c>
      <c r="E9" s="1">
        <v>0.1976</v>
      </c>
      <c r="F9" s="1">
        <v>0.8024</v>
      </c>
      <c r="G9">
        <v>12</v>
      </c>
      <c r="H9">
        <v>39</v>
      </c>
      <c r="I9">
        <v>82</v>
      </c>
      <c r="J9" s="20">
        <v>0.165992</v>
      </c>
      <c r="K9">
        <v>19</v>
      </c>
      <c r="L9">
        <v>14.526316</v>
      </c>
      <c r="M9">
        <v>64</v>
      </c>
      <c r="N9">
        <v>2</v>
      </c>
      <c r="O9">
        <v>276</v>
      </c>
      <c r="P9" s="1">
        <v>0.55870399999999998</v>
      </c>
    </row>
    <row r="10" spans="1:16" x14ac:dyDescent="0.25">
      <c r="A10" t="s">
        <v>16</v>
      </c>
      <c r="B10" s="19">
        <v>1294469871</v>
      </c>
      <c r="C10">
        <v>359</v>
      </c>
      <c r="D10">
        <v>2141</v>
      </c>
      <c r="E10" s="1">
        <v>0.14360000000000001</v>
      </c>
      <c r="F10" s="1">
        <v>0.85640000000000005</v>
      </c>
      <c r="G10">
        <v>18</v>
      </c>
      <c r="H10">
        <v>38</v>
      </c>
      <c r="I10">
        <v>77</v>
      </c>
      <c r="J10" s="20">
        <v>0.21448500000000001</v>
      </c>
      <c r="K10">
        <v>14</v>
      </c>
      <c r="L10">
        <v>12.571429</v>
      </c>
      <c r="M10">
        <v>53</v>
      </c>
      <c r="N10">
        <v>4</v>
      </c>
      <c r="O10">
        <v>176</v>
      </c>
      <c r="P10" s="1">
        <v>0.49025099999999999</v>
      </c>
    </row>
    <row r="11" spans="1:16" x14ac:dyDescent="0.25">
      <c r="A11" t="s">
        <v>16</v>
      </c>
      <c r="B11" s="19">
        <v>1316505719</v>
      </c>
      <c r="C11">
        <v>320</v>
      </c>
      <c r="D11">
        <v>2180</v>
      </c>
      <c r="E11" s="1">
        <v>0.128</v>
      </c>
      <c r="F11" s="1">
        <v>0.872</v>
      </c>
      <c r="G11">
        <v>9</v>
      </c>
      <c r="H11">
        <v>41</v>
      </c>
      <c r="I11">
        <v>33</v>
      </c>
      <c r="J11" s="20">
        <v>0.10312499999999999</v>
      </c>
      <c r="K11">
        <v>14</v>
      </c>
      <c r="L11">
        <v>9.4285709999999998</v>
      </c>
      <c r="M11">
        <v>23</v>
      </c>
      <c r="N11">
        <v>1</v>
      </c>
      <c r="O11">
        <v>132</v>
      </c>
      <c r="P11" s="1">
        <v>0.41249999999999998</v>
      </c>
    </row>
    <row r="12" spans="1:16" x14ac:dyDescent="0.25">
      <c r="A12" t="s">
        <v>16</v>
      </c>
      <c r="B12" s="19">
        <v>1325408582</v>
      </c>
      <c r="C12">
        <v>376</v>
      </c>
      <c r="D12">
        <v>2124</v>
      </c>
      <c r="E12" s="1">
        <v>0.15040000000000001</v>
      </c>
      <c r="F12" s="1">
        <v>0.84960000000000002</v>
      </c>
      <c r="G12">
        <v>25</v>
      </c>
      <c r="H12">
        <v>39</v>
      </c>
      <c r="I12">
        <v>101</v>
      </c>
      <c r="J12" s="20">
        <v>0.26861699999999999</v>
      </c>
      <c r="K12">
        <v>17</v>
      </c>
      <c r="L12">
        <v>10.588234999999999</v>
      </c>
      <c r="M12">
        <v>38</v>
      </c>
      <c r="N12">
        <v>1</v>
      </c>
      <c r="O12">
        <v>180</v>
      </c>
      <c r="P12" s="1">
        <v>0.47872300000000001</v>
      </c>
    </row>
    <row r="13" spans="1:16" x14ac:dyDescent="0.25">
      <c r="A13" t="s">
        <v>16</v>
      </c>
      <c r="B13" s="19">
        <v>862974728</v>
      </c>
      <c r="C13">
        <v>370</v>
      </c>
      <c r="D13">
        <v>2130</v>
      </c>
      <c r="E13" s="1">
        <v>0.14799999999999999</v>
      </c>
      <c r="F13" s="1">
        <v>0.85199999999999998</v>
      </c>
      <c r="G13">
        <v>12</v>
      </c>
      <c r="H13">
        <v>40</v>
      </c>
      <c r="I13">
        <v>49</v>
      </c>
      <c r="J13" s="20">
        <v>0.13243199999999999</v>
      </c>
      <c r="K13">
        <v>18</v>
      </c>
      <c r="L13">
        <v>9.3333329999999997</v>
      </c>
      <c r="M13">
        <v>33</v>
      </c>
      <c r="N13">
        <v>1</v>
      </c>
      <c r="O13">
        <v>168</v>
      </c>
      <c r="P13" s="1">
        <v>0.45405400000000001</v>
      </c>
    </row>
    <row r="14" spans="1:16" x14ac:dyDescent="0.25">
      <c r="A14" t="s">
        <v>16</v>
      </c>
      <c r="B14" s="19">
        <v>1775001315</v>
      </c>
      <c r="C14">
        <v>370</v>
      </c>
      <c r="D14">
        <v>2130</v>
      </c>
      <c r="E14" s="1">
        <v>0.14799999999999999</v>
      </c>
      <c r="F14" s="1">
        <v>0.85199999999999998</v>
      </c>
      <c r="G14">
        <v>23</v>
      </c>
      <c r="H14">
        <v>52</v>
      </c>
      <c r="I14">
        <v>80</v>
      </c>
      <c r="J14" s="20">
        <v>0.21621599999999999</v>
      </c>
      <c r="K14">
        <v>18</v>
      </c>
      <c r="L14">
        <v>7.9444439999999998</v>
      </c>
      <c r="M14">
        <v>16</v>
      </c>
      <c r="N14">
        <v>2</v>
      </c>
      <c r="O14">
        <v>143</v>
      </c>
      <c r="P14" s="1">
        <v>0.386486</v>
      </c>
    </row>
    <row r="15" spans="1:16" x14ac:dyDescent="0.25">
      <c r="A15" t="s">
        <v>16</v>
      </c>
      <c r="B15" s="19">
        <v>148591468</v>
      </c>
      <c r="C15">
        <v>306</v>
      </c>
      <c r="D15">
        <v>2194</v>
      </c>
      <c r="E15" s="1">
        <v>0.12239999999999999</v>
      </c>
      <c r="F15" s="1">
        <v>0.87760000000000005</v>
      </c>
      <c r="G15">
        <v>13</v>
      </c>
      <c r="H15">
        <v>47</v>
      </c>
      <c r="I15">
        <v>48</v>
      </c>
      <c r="J15" s="20">
        <v>0.156863</v>
      </c>
      <c r="K15">
        <v>15</v>
      </c>
      <c r="L15">
        <v>8.1333330000000004</v>
      </c>
      <c r="M15">
        <v>32</v>
      </c>
      <c r="N15">
        <v>1</v>
      </c>
      <c r="O15">
        <v>122</v>
      </c>
      <c r="P15" s="1">
        <v>0.39869300000000002</v>
      </c>
    </row>
    <row r="16" spans="1:16" x14ac:dyDescent="0.25">
      <c r="A16" t="s">
        <v>16</v>
      </c>
      <c r="B16" s="19">
        <v>77911773</v>
      </c>
      <c r="C16">
        <v>301</v>
      </c>
      <c r="D16">
        <v>2199</v>
      </c>
      <c r="E16" s="1">
        <v>0.12039999999999999</v>
      </c>
      <c r="F16" s="1">
        <v>0.87960000000000005</v>
      </c>
      <c r="G16">
        <v>8</v>
      </c>
      <c r="H16">
        <v>54</v>
      </c>
      <c r="I16">
        <v>20</v>
      </c>
      <c r="J16" s="20">
        <v>6.6445000000000004E-2</v>
      </c>
      <c r="K16">
        <v>15</v>
      </c>
      <c r="L16">
        <v>5.4</v>
      </c>
      <c r="M16">
        <v>12</v>
      </c>
      <c r="N16">
        <v>1</v>
      </c>
      <c r="O16">
        <v>81</v>
      </c>
      <c r="P16" s="1">
        <v>0.26910299999999998</v>
      </c>
    </row>
    <row r="17" spans="1:16" x14ac:dyDescent="0.25">
      <c r="A17" t="s">
        <v>16</v>
      </c>
      <c r="B17" s="19">
        <v>591051357</v>
      </c>
      <c r="C17">
        <v>465</v>
      </c>
      <c r="D17">
        <v>2035</v>
      </c>
      <c r="E17" s="1">
        <v>0.186</v>
      </c>
      <c r="F17" s="1">
        <v>0.81399999999999995</v>
      </c>
      <c r="G17">
        <v>13</v>
      </c>
      <c r="H17">
        <v>37</v>
      </c>
      <c r="I17">
        <v>51</v>
      </c>
      <c r="J17" s="20">
        <v>0.109677</v>
      </c>
      <c r="K17">
        <v>16</v>
      </c>
      <c r="L17">
        <v>13.9375</v>
      </c>
      <c r="M17">
        <v>30</v>
      </c>
      <c r="N17">
        <v>4</v>
      </c>
      <c r="O17">
        <v>223</v>
      </c>
      <c r="P17" s="1">
        <v>0.47957</v>
      </c>
    </row>
    <row r="18" spans="1:16" x14ac:dyDescent="0.25">
      <c r="A18" t="s">
        <v>16</v>
      </c>
      <c r="B18" s="19">
        <v>699873560</v>
      </c>
      <c r="C18">
        <v>291</v>
      </c>
      <c r="D18">
        <v>2209</v>
      </c>
      <c r="E18" s="1">
        <v>0.1164</v>
      </c>
      <c r="F18" s="1">
        <v>0.88360000000000005</v>
      </c>
      <c r="G18">
        <v>10</v>
      </c>
      <c r="H18">
        <v>36</v>
      </c>
      <c r="I18">
        <v>52</v>
      </c>
      <c r="J18" s="20">
        <v>0.17869399999999999</v>
      </c>
      <c r="K18">
        <v>16</v>
      </c>
      <c r="L18">
        <v>8.125</v>
      </c>
      <c r="M18">
        <v>42</v>
      </c>
      <c r="N18">
        <v>1</v>
      </c>
      <c r="O18">
        <v>130</v>
      </c>
      <c r="P18" s="1">
        <v>0.44673499999999999</v>
      </c>
    </row>
    <row r="19" spans="1:16" x14ac:dyDescent="0.25">
      <c r="A19" t="s">
        <v>16</v>
      </c>
      <c r="B19" s="19">
        <v>1466082046</v>
      </c>
      <c r="C19">
        <v>385</v>
      </c>
      <c r="D19">
        <v>2115</v>
      </c>
      <c r="E19" s="1">
        <v>0.154</v>
      </c>
      <c r="F19" s="1">
        <v>0.84599999999999997</v>
      </c>
      <c r="G19">
        <v>14</v>
      </c>
      <c r="H19">
        <v>44</v>
      </c>
      <c r="I19">
        <v>51</v>
      </c>
      <c r="J19" s="20">
        <v>0.132468</v>
      </c>
      <c r="K19">
        <v>18</v>
      </c>
      <c r="L19">
        <v>8.8888890000000007</v>
      </c>
      <c r="M19">
        <v>36</v>
      </c>
      <c r="N19">
        <v>1</v>
      </c>
      <c r="O19">
        <v>160</v>
      </c>
      <c r="P19" s="1">
        <v>0.41558400000000001</v>
      </c>
    </row>
    <row r="20" spans="1:16" x14ac:dyDescent="0.25">
      <c r="A20" t="s">
        <v>16</v>
      </c>
      <c r="B20" s="19">
        <v>1895294837</v>
      </c>
      <c r="C20">
        <v>303</v>
      </c>
      <c r="D20">
        <v>2197</v>
      </c>
      <c r="E20" s="1">
        <v>0.1212</v>
      </c>
      <c r="F20" s="1">
        <v>0.87880000000000003</v>
      </c>
      <c r="G20">
        <v>17</v>
      </c>
      <c r="H20">
        <v>38</v>
      </c>
      <c r="I20">
        <v>77</v>
      </c>
      <c r="J20" s="20">
        <v>0.25412499999999999</v>
      </c>
      <c r="K20">
        <v>15</v>
      </c>
      <c r="L20">
        <v>8.4</v>
      </c>
      <c r="M20">
        <v>43</v>
      </c>
      <c r="N20">
        <v>1</v>
      </c>
      <c r="O20">
        <v>126</v>
      </c>
      <c r="P20" s="1">
        <v>0.41584199999999999</v>
      </c>
    </row>
    <row r="21" spans="1:16" x14ac:dyDescent="0.25">
      <c r="A21" t="s">
        <v>16</v>
      </c>
      <c r="B21" s="19">
        <v>1324894563</v>
      </c>
      <c r="C21">
        <v>344</v>
      </c>
      <c r="D21">
        <v>2156</v>
      </c>
      <c r="E21" s="1">
        <v>0.1376</v>
      </c>
      <c r="F21" s="1">
        <v>0.86240000000000006</v>
      </c>
      <c r="G21">
        <v>12</v>
      </c>
      <c r="H21">
        <v>44</v>
      </c>
      <c r="I21">
        <v>48</v>
      </c>
      <c r="J21" s="20">
        <v>0.13953499999999999</v>
      </c>
      <c r="K21">
        <v>20</v>
      </c>
      <c r="L21">
        <v>7.15</v>
      </c>
      <c r="M21">
        <v>33</v>
      </c>
      <c r="N21">
        <v>1</v>
      </c>
      <c r="O21">
        <v>143</v>
      </c>
      <c r="P21" s="1">
        <v>0.41569800000000001</v>
      </c>
    </row>
    <row r="22" spans="1:16" x14ac:dyDescent="0.25">
      <c r="A22" t="s">
        <v>16</v>
      </c>
      <c r="B22" s="19">
        <v>582786079</v>
      </c>
      <c r="C22">
        <v>333</v>
      </c>
      <c r="D22">
        <v>2167</v>
      </c>
      <c r="E22" s="1">
        <v>0.13320000000000001</v>
      </c>
      <c r="F22" s="1">
        <v>0.86680000000000001</v>
      </c>
      <c r="G22">
        <v>10</v>
      </c>
      <c r="H22">
        <v>42</v>
      </c>
      <c r="I22">
        <v>36</v>
      </c>
      <c r="J22" s="20">
        <v>0.108108</v>
      </c>
      <c r="K22">
        <v>18</v>
      </c>
      <c r="L22">
        <v>8.1111109999999993</v>
      </c>
      <c r="M22">
        <v>22</v>
      </c>
      <c r="N22">
        <v>1</v>
      </c>
      <c r="O22">
        <v>146</v>
      </c>
      <c r="P22" s="1">
        <v>0.43843799999999999</v>
      </c>
    </row>
    <row r="23" spans="1:16" x14ac:dyDescent="0.25">
      <c r="A23" t="s">
        <v>16</v>
      </c>
      <c r="B23" s="19">
        <v>1321434171</v>
      </c>
      <c r="C23">
        <v>320</v>
      </c>
      <c r="D23">
        <v>2180</v>
      </c>
      <c r="E23" s="1">
        <v>0.128</v>
      </c>
      <c r="F23" s="1">
        <v>0.872</v>
      </c>
      <c r="G23">
        <v>11</v>
      </c>
      <c r="H23">
        <v>38</v>
      </c>
      <c r="I23">
        <v>43</v>
      </c>
      <c r="J23" s="20">
        <v>0.13437499999999999</v>
      </c>
      <c r="K23">
        <v>16</v>
      </c>
      <c r="L23">
        <v>9.25</v>
      </c>
      <c r="M23">
        <v>28</v>
      </c>
      <c r="N23">
        <v>1</v>
      </c>
      <c r="O23">
        <v>148</v>
      </c>
      <c r="P23" s="1">
        <v>0.46250000000000002</v>
      </c>
    </row>
    <row r="24" spans="1:16" x14ac:dyDescent="0.25">
      <c r="A24" t="s">
        <v>16</v>
      </c>
      <c r="B24" s="19">
        <v>1822432372</v>
      </c>
      <c r="C24">
        <v>335</v>
      </c>
      <c r="D24">
        <v>2165</v>
      </c>
      <c r="E24" s="1">
        <v>0.13400000000000001</v>
      </c>
      <c r="F24" s="1">
        <v>0.86599999999999999</v>
      </c>
      <c r="G24">
        <v>15</v>
      </c>
      <c r="H24">
        <v>37</v>
      </c>
      <c r="I24">
        <v>61</v>
      </c>
      <c r="J24" s="20">
        <v>0.18209</v>
      </c>
      <c r="K24">
        <v>11</v>
      </c>
      <c r="L24">
        <v>15.272727</v>
      </c>
      <c r="M24">
        <v>45</v>
      </c>
      <c r="N24">
        <v>3</v>
      </c>
      <c r="O24">
        <v>168</v>
      </c>
      <c r="P24" s="1">
        <v>0.50149299999999997</v>
      </c>
    </row>
    <row r="25" spans="1:16" x14ac:dyDescent="0.25">
      <c r="A25" t="s">
        <v>16</v>
      </c>
      <c r="B25" s="19">
        <v>181879875</v>
      </c>
      <c r="C25">
        <v>452</v>
      </c>
      <c r="D25">
        <v>2048</v>
      </c>
      <c r="E25" s="1">
        <v>0.18079999999999999</v>
      </c>
      <c r="F25" s="1">
        <v>0.81920000000000004</v>
      </c>
      <c r="G25">
        <v>15</v>
      </c>
      <c r="H25">
        <v>47</v>
      </c>
      <c r="I25">
        <v>76</v>
      </c>
      <c r="J25" s="20">
        <v>0.16814200000000001</v>
      </c>
      <c r="K25">
        <v>18</v>
      </c>
      <c r="L25">
        <v>12.5</v>
      </c>
      <c r="M25">
        <v>58</v>
      </c>
      <c r="N25">
        <v>1</v>
      </c>
      <c r="O25">
        <v>225</v>
      </c>
      <c r="P25" s="1">
        <v>0.49778800000000001</v>
      </c>
    </row>
    <row r="26" spans="1:16" x14ac:dyDescent="0.25">
      <c r="A26" t="s">
        <v>16</v>
      </c>
      <c r="B26" s="19">
        <v>754144735</v>
      </c>
      <c r="C26">
        <v>384</v>
      </c>
      <c r="D26">
        <v>2116</v>
      </c>
      <c r="E26" s="1">
        <v>0.15359999999999999</v>
      </c>
      <c r="F26" s="1">
        <v>0.84640000000000004</v>
      </c>
      <c r="G26">
        <v>13</v>
      </c>
      <c r="H26">
        <v>42</v>
      </c>
      <c r="I26">
        <v>45</v>
      </c>
      <c r="J26" s="20">
        <v>0.117188</v>
      </c>
      <c r="K26">
        <v>16</v>
      </c>
      <c r="L26">
        <v>10.375</v>
      </c>
      <c r="M26">
        <v>30</v>
      </c>
      <c r="N26">
        <v>1</v>
      </c>
      <c r="O26">
        <v>166</v>
      </c>
      <c r="P26" s="1">
        <v>0.43229200000000001</v>
      </c>
    </row>
    <row r="27" spans="1:16" x14ac:dyDescent="0.25">
      <c r="A27" t="s">
        <v>16</v>
      </c>
      <c r="B27" s="19">
        <v>376302396</v>
      </c>
      <c r="C27">
        <v>335</v>
      </c>
      <c r="D27">
        <v>2165</v>
      </c>
      <c r="E27" s="1">
        <v>0.13400000000000001</v>
      </c>
      <c r="F27" s="1">
        <v>0.86599999999999999</v>
      </c>
      <c r="G27">
        <v>21</v>
      </c>
      <c r="H27">
        <v>30</v>
      </c>
      <c r="I27">
        <v>76</v>
      </c>
      <c r="J27" s="20">
        <v>0.22686600000000001</v>
      </c>
      <c r="K27">
        <v>17</v>
      </c>
      <c r="L27">
        <v>9.8823530000000002</v>
      </c>
      <c r="M27">
        <v>44</v>
      </c>
      <c r="N27">
        <v>1</v>
      </c>
      <c r="O27">
        <v>168</v>
      </c>
      <c r="P27" s="1">
        <v>0.50149299999999997</v>
      </c>
    </row>
    <row r="28" spans="1:16" x14ac:dyDescent="0.25">
      <c r="A28" t="s">
        <v>16</v>
      </c>
      <c r="B28" s="19">
        <v>149462708</v>
      </c>
      <c r="C28">
        <v>310</v>
      </c>
      <c r="D28">
        <v>2190</v>
      </c>
      <c r="E28" s="1">
        <v>0.124</v>
      </c>
      <c r="F28" s="1">
        <v>0.876</v>
      </c>
      <c r="G28">
        <v>12</v>
      </c>
      <c r="H28">
        <v>40</v>
      </c>
      <c r="I28">
        <v>55</v>
      </c>
      <c r="J28" s="20">
        <v>0.17741899999999999</v>
      </c>
      <c r="K28">
        <v>13</v>
      </c>
      <c r="L28">
        <v>12.307691999999999</v>
      </c>
      <c r="M28">
        <v>40</v>
      </c>
      <c r="N28">
        <v>1</v>
      </c>
      <c r="O28">
        <v>160</v>
      </c>
      <c r="P28" s="1">
        <v>0.51612899999999995</v>
      </c>
    </row>
    <row r="29" spans="1:16" x14ac:dyDescent="0.25">
      <c r="A29" t="s">
        <v>16</v>
      </c>
      <c r="B29" s="19">
        <v>1404067564</v>
      </c>
      <c r="C29">
        <v>497</v>
      </c>
      <c r="D29">
        <v>2003</v>
      </c>
      <c r="E29" s="1">
        <v>0.1988</v>
      </c>
      <c r="F29" s="1">
        <v>0.80120000000000002</v>
      </c>
      <c r="G29">
        <v>22</v>
      </c>
      <c r="H29">
        <v>39</v>
      </c>
      <c r="I29">
        <v>118</v>
      </c>
      <c r="J29" s="20">
        <v>0.237425</v>
      </c>
      <c r="K29">
        <v>17</v>
      </c>
      <c r="L29">
        <v>15.705882000000001</v>
      </c>
      <c r="M29">
        <v>54</v>
      </c>
      <c r="N29">
        <v>1</v>
      </c>
      <c r="O29">
        <v>267</v>
      </c>
      <c r="P29" s="1">
        <v>0.53722300000000001</v>
      </c>
    </row>
    <row r="30" spans="1:16" x14ac:dyDescent="0.25">
      <c r="A30" t="s">
        <v>16</v>
      </c>
      <c r="B30" s="19">
        <v>1416207795</v>
      </c>
      <c r="C30">
        <v>351</v>
      </c>
      <c r="D30">
        <v>2149</v>
      </c>
      <c r="E30" s="1">
        <v>0.1404</v>
      </c>
      <c r="F30" s="1">
        <v>0.85960000000000003</v>
      </c>
      <c r="G30">
        <v>21</v>
      </c>
      <c r="H30">
        <v>37</v>
      </c>
      <c r="I30">
        <v>82</v>
      </c>
      <c r="J30" s="20">
        <v>0.23361799999999999</v>
      </c>
      <c r="K30">
        <v>19</v>
      </c>
      <c r="L30">
        <v>9</v>
      </c>
      <c r="M30">
        <v>25</v>
      </c>
      <c r="N30">
        <v>1</v>
      </c>
      <c r="O30">
        <v>171</v>
      </c>
      <c r="P30" s="1">
        <v>0.48717899999999997</v>
      </c>
    </row>
    <row r="31" spans="1:16" x14ac:dyDescent="0.25">
      <c r="A31" t="s">
        <v>16</v>
      </c>
      <c r="B31" s="19">
        <v>354422873</v>
      </c>
      <c r="C31">
        <v>350</v>
      </c>
      <c r="D31">
        <v>2150</v>
      </c>
      <c r="E31" s="1">
        <v>0.14000000000000001</v>
      </c>
      <c r="F31" s="1">
        <v>0.86</v>
      </c>
      <c r="G31">
        <v>12</v>
      </c>
      <c r="H31">
        <v>52</v>
      </c>
      <c r="I31">
        <v>51</v>
      </c>
      <c r="J31" s="20">
        <v>0.14571400000000001</v>
      </c>
      <c r="K31">
        <v>15</v>
      </c>
      <c r="L31">
        <v>8.5333330000000007</v>
      </c>
      <c r="M31">
        <v>33</v>
      </c>
      <c r="N31">
        <v>1</v>
      </c>
      <c r="O31">
        <v>128</v>
      </c>
      <c r="P31" s="1">
        <v>0.36571399999999998</v>
      </c>
    </row>
    <row r="32" spans="1:16" x14ac:dyDescent="0.25">
      <c r="A32" t="s">
        <v>16</v>
      </c>
      <c r="B32" s="19">
        <v>866131572</v>
      </c>
      <c r="C32">
        <v>329</v>
      </c>
      <c r="D32">
        <v>2171</v>
      </c>
      <c r="E32" s="1">
        <v>0.13159999999999999</v>
      </c>
      <c r="F32" s="1">
        <v>0.86839999999999995</v>
      </c>
      <c r="G32">
        <v>18</v>
      </c>
      <c r="H32">
        <v>47</v>
      </c>
      <c r="I32">
        <v>78</v>
      </c>
      <c r="J32" s="20">
        <v>0.23708199999999999</v>
      </c>
      <c r="K32">
        <v>14</v>
      </c>
      <c r="L32">
        <v>8.7142859999999995</v>
      </c>
      <c r="M32">
        <v>44</v>
      </c>
      <c r="N32">
        <v>1</v>
      </c>
      <c r="O32">
        <v>122</v>
      </c>
      <c r="P32" s="1">
        <v>0.37082100000000001</v>
      </c>
    </row>
    <row r="33" spans="1:16" x14ac:dyDescent="0.25">
      <c r="A33" t="s">
        <v>16</v>
      </c>
      <c r="B33" s="19">
        <v>1763626632</v>
      </c>
      <c r="C33">
        <v>416</v>
      </c>
      <c r="D33">
        <v>2084</v>
      </c>
      <c r="E33" s="1">
        <v>0.16639999999999999</v>
      </c>
      <c r="F33" s="1">
        <v>0.83360000000000001</v>
      </c>
      <c r="G33">
        <v>12</v>
      </c>
      <c r="H33">
        <v>45</v>
      </c>
      <c r="I33">
        <v>44</v>
      </c>
      <c r="J33" s="20">
        <v>0.105769</v>
      </c>
      <c r="K33">
        <v>18</v>
      </c>
      <c r="L33">
        <v>11.166667</v>
      </c>
      <c r="M33">
        <v>27</v>
      </c>
      <c r="N33">
        <v>1</v>
      </c>
      <c r="O33">
        <v>201</v>
      </c>
      <c r="P33" s="1">
        <v>0.48317300000000002</v>
      </c>
    </row>
    <row r="34" spans="1:16" x14ac:dyDescent="0.25">
      <c r="A34" t="s">
        <v>16</v>
      </c>
      <c r="B34" s="19">
        <v>1157736306</v>
      </c>
      <c r="C34">
        <v>387</v>
      </c>
      <c r="D34">
        <v>2113</v>
      </c>
      <c r="E34" s="1">
        <v>0.15479999999999999</v>
      </c>
      <c r="F34" s="1">
        <v>0.84519999999999995</v>
      </c>
      <c r="G34">
        <v>13</v>
      </c>
      <c r="H34">
        <v>46</v>
      </c>
      <c r="I34">
        <v>45</v>
      </c>
      <c r="J34" s="20">
        <v>0.11627899999999999</v>
      </c>
      <c r="K34">
        <v>20</v>
      </c>
      <c r="L34">
        <v>7.7</v>
      </c>
      <c r="M34">
        <v>15</v>
      </c>
      <c r="N34">
        <v>1</v>
      </c>
      <c r="O34">
        <v>154</v>
      </c>
      <c r="P34" s="1">
        <v>0.39793299999999998</v>
      </c>
    </row>
    <row r="35" spans="1:16" x14ac:dyDescent="0.25">
      <c r="A35" t="s">
        <v>16</v>
      </c>
      <c r="B35" s="19">
        <v>2047254105</v>
      </c>
      <c r="C35">
        <v>306</v>
      </c>
      <c r="D35">
        <v>2194</v>
      </c>
      <c r="E35" s="1">
        <v>0.12239999999999999</v>
      </c>
      <c r="F35" s="1">
        <v>0.87760000000000005</v>
      </c>
      <c r="G35">
        <v>11</v>
      </c>
      <c r="H35">
        <v>52</v>
      </c>
      <c r="I35">
        <v>36</v>
      </c>
      <c r="J35" s="20">
        <v>0.117647</v>
      </c>
      <c r="K35">
        <v>13</v>
      </c>
      <c r="L35">
        <v>7.3076920000000003</v>
      </c>
      <c r="M35">
        <v>19</v>
      </c>
      <c r="N35">
        <v>1</v>
      </c>
      <c r="O35">
        <v>95</v>
      </c>
      <c r="P35" s="1">
        <v>0.31045800000000001</v>
      </c>
    </row>
    <row r="36" spans="1:16" x14ac:dyDescent="0.25">
      <c r="A36" t="s">
        <v>16</v>
      </c>
      <c r="B36" s="19">
        <v>1369498000</v>
      </c>
      <c r="C36">
        <v>374</v>
      </c>
      <c r="D36">
        <v>2126</v>
      </c>
      <c r="E36" s="1">
        <v>0.14960000000000001</v>
      </c>
      <c r="F36" s="1">
        <v>0.85040000000000004</v>
      </c>
      <c r="G36">
        <v>9</v>
      </c>
      <c r="H36">
        <v>47</v>
      </c>
      <c r="I36">
        <v>40</v>
      </c>
      <c r="J36" s="20">
        <v>0.10695200000000001</v>
      </c>
      <c r="K36">
        <v>17</v>
      </c>
      <c r="L36">
        <v>9.4705879999999993</v>
      </c>
      <c r="M36">
        <v>26</v>
      </c>
      <c r="N36">
        <v>2</v>
      </c>
      <c r="O36">
        <v>161</v>
      </c>
      <c r="P36" s="1">
        <v>0.430481</v>
      </c>
    </row>
    <row r="37" spans="1:16" x14ac:dyDescent="0.25">
      <c r="A37" t="s">
        <v>16</v>
      </c>
      <c r="B37" s="19">
        <v>531138670</v>
      </c>
      <c r="C37">
        <v>340</v>
      </c>
      <c r="D37">
        <v>2160</v>
      </c>
      <c r="E37" s="1">
        <v>0.13600000000000001</v>
      </c>
      <c r="F37" s="1">
        <v>0.86399999999999999</v>
      </c>
      <c r="G37">
        <v>13</v>
      </c>
      <c r="H37">
        <v>52</v>
      </c>
      <c r="I37">
        <v>54</v>
      </c>
      <c r="J37" s="20">
        <v>0.15882399999999999</v>
      </c>
      <c r="K37">
        <v>16</v>
      </c>
      <c r="L37">
        <v>6.875</v>
      </c>
      <c r="M37">
        <v>25</v>
      </c>
      <c r="N37">
        <v>1</v>
      </c>
      <c r="O37">
        <v>110</v>
      </c>
      <c r="P37" s="1">
        <v>0.32352900000000001</v>
      </c>
    </row>
    <row r="38" spans="1:16" x14ac:dyDescent="0.25">
      <c r="A38" t="s">
        <v>16</v>
      </c>
      <c r="B38" s="19">
        <v>1056363630</v>
      </c>
      <c r="C38">
        <v>420</v>
      </c>
      <c r="D38">
        <v>2080</v>
      </c>
      <c r="E38" s="1">
        <v>0.16800000000000001</v>
      </c>
      <c r="F38" s="1">
        <v>0.83199999999999996</v>
      </c>
      <c r="G38">
        <v>19</v>
      </c>
      <c r="H38">
        <v>38</v>
      </c>
      <c r="I38">
        <v>81</v>
      </c>
      <c r="J38" s="20">
        <v>0.192857</v>
      </c>
      <c r="K38">
        <v>16</v>
      </c>
      <c r="L38">
        <v>14.4375</v>
      </c>
      <c r="M38">
        <v>55</v>
      </c>
      <c r="N38">
        <v>1</v>
      </c>
      <c r="O38">
        <v>231</v>
      </c>
      <c r="P38" s="1">
        <v>0.55000000000000004</v>
      </c>
    </row>
    <row r="39" spans="1:16" x14ac:dyDescent="0.25">
      <c r="A39" t="s">
        <v>16</v>
      </c>
      <c r="B39" s="19">
        <v>1929344699</v>
      </c>
      <c r="C39">
        <v>344</v>
      </c>
      <c r="D39">
        <v>2156</v>
      </c>
      <c r="E39" s="1">
        <v>0.1376</v>
      </c>
      <c r="F39" s="1">
        <v>0.86240000000000006</v>
      </c>
      <c r="G39">
        <v>18</v>
      </c>
      <c r="H39">
        <v>48</v>
      </c>
      <c r="I39">
        <v>80</v>
      </c>
      <c r="J39" s="20">
        <v>0.23255799999999999</v>
      </c>
      <c r="K39">
        <v>16</v>
      </c>
      <c r="L39">
        <v>8.875</v>
      </c>
      <c r="M39">
        <v>54</v>
      </c>
      <c r="N39">
        <v>1</v>
      </c>
      <c r="O39">
        <v>142</v>
      </c>
      <c r="P39" s="1">
        <v>0.41279100000000002</v>
      </c>
    </row>
    <row r="40" spans="1:16" x14ac:dyDescent="0.25">
      <c r="A40" t="s">
        <v>16</v>
      </c>
      <c r="B40" s="19">
        <v>193688657</v>
      </c>
      <c r="C40">
        <v>317</v>
      </c>
      <c r="D40">
        <v>2183</v>
      </c>
      <c r="E40" s="1">
        <v>0.1268</v>
      </c>
      <c r="F40" s="1">
        <v>0.87319999999999998</v>
      </c>
      <c r="G40">
        <v>10</v>
      </c>
      <c r="H40">
        <v>45</v>
      </c>
      <c r="I40">
        <v>52</v>
      </c>
      <c r="J40" s="20">
        <v>0.16403799999999999</v>
      </c>
      <c r="K40">
        <v>15</v>
      </c>
      <c r="L40">
        <v>8.9333329999999993</v>
      </c>
      <c r="M40">
        <v>36</v>
      </c>
      <c r="N40">
        <v>1</v>
      </c>
      <c r="O40">
        <v>134</v>
      </c>
      <c r="P40" s="1">
        <v>0.42271300000000001</v>
      </c>
    </row>
    <row r="41" spans="1:16" x14ac:dyDescent="0.25">
      <c r="A41" t="s">
        <v>16</v>
      </c>
      <c r="B41" s="19">
        <v>1767303595</v>
      </c>
      <c r="C41">
        <v>399</v>
      </c>
      <c r="D41">
        <v>2101</v>
      </c>
      <c r="E41" s="1">
        <v>0.15959999999999999</v>
      </c>
      <c r="F41" s="1">
        <v>0.84040000000000004</v>
      </c>
      <c r="G41">
        <v>22</v>
      </c>
      <c r="H41">
        <v>38</v>
      </c>
      <c r="I41">
        <v>74</v>
      </c>
      <c r="J41" s="20">
        <v>0.18546399999999999</v>
      </c>
      <c r="K41">
        <v>16</v>
      </c>
      <c r="L41">
        <v>12.8125</v>
      </c>
      <c r="M41">
        <v>47</v>
      </c>
      <c r="N41">
        <v>1</v>
      </c>
      <c r="O41">
        <v>205</v>
      </c>
      <c r="P41" s="1">
        <v>0.51378400000000002</v>
      </c>
    </row>
    <row r="42" spans="1:16" x14ac:dyDescent="0.25">
      <c r="A42" t="s">
        <v>16</v>
      </c>
      <c r="B42" s="19">
        <v>721296887</v>
      </c>
      <c r="C42">
        <v>273</v>
      </c>
      <c r="D42">
        <v>2227</v>
      </c>
      <c r="E42" s="1">
        <v>0.10920000000000001</v>
      </c>
      <c r="F42" s="1">
        <v>0.89080000000000004</v>
      </c>
      <c r="G42">
        <v>14</v>
      </c>
      <c r="H42">
        <v>38</v>
      </c>
      <c r="I42">
        <v>55</v>
      </c>
      <c r="J42" s="20">
        <v>0.20146500000000001</v>
      </c>
      <c r="K42">
        <v>13</v>
      </c>
      <c r="L42">
        <v>7.8461540000000003</v>
      </c>
      <c r="M42">
        <v>38</v>
      </c>
      <c r="N42">
        <v>1</v>
      </c>
      <c r="O42">
        <v>102</v>
      </c>
      <c r="P42" s="1">
        <v>0.37362600000000001</v>
      </c>
    </row>
    <row r="43" spans="1:16" x14ac:dyDescent="0.25">
      <c r="A43" t="s">
        <v>16</v>
      </c>
      <c r="B43" s="19">
        <v>946386297</v>
      </c>
      <c r="C43">
        <v>289</v>
      </c>
      <c r="D43">
        <v>2211</v>
      </c>
      <c r="E43" s="1">
        <v>0.11559999999999999</v>
      </c>
      <c r="F43" s="1">
        <v>0.88439999999999996</v>
      </c>
      <c r="G43">
        <v>9</v>
      </c>
      <c r="H43">
        <v>44</v>
      </c>
      <c r="I43">
        <v>32</v>
      </c>
      <c r="J43" s="20">
        <v>0.11072700000000001</v>
      </c>
      <c r="K43">
        <v>14</v>
      </c>
      <c r="L43">
        <v>8.7857140000000005</v>
      </c>
      <c r="M43">
        <v>23</v>
      </c>
      <c r="N43">
        <v>1</v>
      </c>
      <c r="O43">
        <v>123</v>
      </c>
      <c r="P43" s="1">
        <v>0.42560599999999998</v>
      </c>
    </row>
    <row r="44" spans="1:16" x14ac:dyDescent="0.25">
      <c r="A44" t="s">
        <v>16</v>
      </c>
      <c r="B44" s="19">
        <v>1825573336</v>
      </c>
      <c r="C44">
        <v>349</v>
      </c>
      <c r="D44">
        <v>2151</v>
      </c>
      <c r="E44" s="1">
        <v>0.1396</v>
      </c>
      <c r="F44" s="1">
        <v>0.86040000000000005</v>
      </c>
      <c r="G44">
        <v>13</v>
      </c>
      <c r="H44">
        <v>49</v>
      </c>
      <c r="I44">
        <v>48</v>
      </c>
      <c r="J44" s="20">
        <v>0.13753599999999999</v>
      </c>
      <c r="K44">
        <v>16</v>
      </c>
      <c r="L44">
        <v>8.75</v>
      </c>
      <c r="M44">
        <v>29</v>
      </c>
      <c r="N44">
        <v>1</v>
      </c>
      <c r="O44">
        <v>140</v>
      </c>
      <c r="P44" s="1">
        <v>0.401146</v>
      </c>
    </row>
    <row r="45" spans="1:16" x14ac:dyDescent="0.25">
      <c r="A45" t="s">
        <v>16</v>
      </c>
      <c r="B45" s="19">
        <v>2119603667</v>
      </c>
      <c r="C45">
        <v>448</v>
      </c>
      <c r="D45">
        <v>2052</v>
      </c>
      <c r="E45" s="1">
        <v>0.1792</v>
      </c>
      <c r="F45" s="1">
        <v>0.82079999999999997</v>
      </c>
      <c r="G45">
        <v>13</v>
      </c>
      <c r="H45">
        <v>52</v>
      </c>
      <c r="I45">
        <v>57</v>
      </c>
      <c r="J45" s="20">
        <v>0.12723200000000001</v>
      </c>
      <c r="K45">
        <v>20</v>
      </c>
      <c r="L45">
        <v>10.1</v>
      </c>
      <c r="M45">
        <v>29</v>
      </c>
      <c r="N45">
        <v>1</v>
      </c>
      <c r="O45">
        <v>202</v>
      </c>
      <c r="P45" s="1">
        <v>0.45089299999999999</v>
      </c>
    </row>
    <row r="46" spans="1:16" x14ac:dyDescent="0.25">
      <c r="A46" t="s">
        <v>16</v>
      </c>
      <c r="B46" s="19">
        <v>1036244938</v>
      </c>
      <c r="C46">
        <v>289</v>
      </c>
      <c r="D46">
        <v>2211</v>
      </c>
      <c r="E46" s="1">
        <v>0.11559999999999999</v>
      </c>
      <c r="F46" s="1">
        <v>0.88439999999999996</v>
      </c>
      <c r="G46">
        <v>9</v>
      </c>
      <c r="H46">
        <v>49</v>
      </c>
      <c r="I46">
        <v>35</v>
      </c>
      <c r="J46" s="20">
        <v>0.12110700000000001</v>
      </c>
      <c r="K46">
        <v>14</v>
      </c>
      <c r="L46">
        <v>7</v>
      </c>
      <c r="M46">
        <v>23</v>
      </c>
      <c r="N46">
        <v>1</v>
      </c>
      <c r="O46">
        <v>98</v>
      </c>
      <c r="P46" s="1">
        <v>0.33910000000000001</v>
      </c>
    </row>
    <row r="47" spans="1:16" x14ac:dyDescent="0.25">
      <c r="A47" t="s">
        <v>16</v>
      </c>
      <c r="B47" s="19">
        <v>307872908</v>
      </c>
      <c r="C47">
        <v>382</v>
      </c>
      <c r="D47">
        <v>2118</v>
      </c>
      <c r="E47" s="1">
        <v>0.15279999999999999</v>
      </c>
      <c r="F47" s="1">
        <v>0.84719999999999995</v>
      </c>
      <c r="G47">
        <v>20</v>
      </c>
      <c r="H47">
        <v>36</v>
      </c>
      <c r="I47">
        <v>78</v>
      </c>
      <c r="J47" s="20">
        <v>0.20418800000000001</v>
      </c>
      <c r="K47">
        <v>14</v>
      </c>
      <c r="L47">
        <v>12.5</v>
      </c>
      <c r="M47">
        <v>38</v>
      </c>
      <c r="N47">
        <v>2</v>
      </c>
      <c r="O47">
        <v>175</v>
      </c>
      <c r="P47" s="1">
        <v>0.45811499999999999</v>
      </c>
    </row>
    <row r="48" spans="1:16" x14ac:dyDescent="0.25">
      <c r="A48" t="s">
        <v>16</v>
      </c>
      <c r="B48" s="19">
        <v>459545952</v>
      </c>
      <c r="C48">
        <v>329</v>
      </c>
      <c r="D48">
        <v>2171</v>
      </c>
      <c r="E48" s="1">
        <v>0.13159999999999999</v>
      </c>
      <c r="F48" s="1">
        <v>0.86839999999999995</v>
      </c>
      <c r="G48">
        <v>18</v>
      </c>
      <c r="H48">
        <v>43</v>
      </c>
      <c r="I48">
        <v>38</v>
      </c>
      <c r="J48" s="20">
        <v>0.11550199999999999</v>
      </c>
      <c r="K48">
        <v>20</v>
      </c>
      <c r="L48">
        <v>5.25</v>
      </c>
      <c r="M48">
        <v>19</v>
      </c>
      <c r="N48">
        <v>1</v>
      </c>
      <c r="O48">
        <v>105</v>
      </c>
      <c r="P48" s="1">
        <v>0.31914900000000002</v>
      </c>
    </row>
    <row r="49" spans="1:16" x14ac:dyDescent="0.25">
      <c r="A49" t="s">
        <v>16</v>
      </c>
      <c r="B49" s="19">
        <v>1877760197</v>
      </c>
      <c r="C49">
        <v>490</v>
      </c>
      <c r="D49">
        <v>2010</v>
      </c>
      <c r="E49" s="1">
        <v>0.19600000000000001</v>
      </c>
      <c r="F49" s="1">
        <v>0.80400000000000005</v>
      </c>
      <c r="G49">
        <v>18</v>
      </c>
      <c r="H49">
        <v>42</v>
      </c>
      <c r="I49">
        <v>87</v>
      </c>
      <c r="J49" s="20">
        <v>0.17755099999999999</v>
      </c>
      <c r="K49">
        <v>22</v>
      </c>
      <c r="L49">
        <v>11.727273</v>
      </c>
      <c r="M49">
        <v>40</v>
      </c>
      <c r="N49">
        <v>1</v>
      </c>
      <c r="O49">
        <v>258</v>
      </c>
      <c r="P49" s="1">
        <v>0.52653099999999997</v>
      </c>
    </row>
    <row r="50" spans="1:16" x14ac:dyDescent="0.25">
      <c r="A50" t="s">
        <v>16</v>
      </c>
      <c r="B50" s="19">
        <v>688043085</v>
      </c>
      <c r="C50">
        <v>403</v>
      </c>
      <c r="D50">
        <v>2097</v>
      </c>
      <c r="E50" s="1">
        <v>0.16120000000000001</v>
      </c>
      <c r="F50" s="1">
        <v>0.83879999999999999</v>
      </c>
      <c r="G50">
        <v>23</v>
      </c>
      <c r="H50">
        <v>35</v>
      </c>
      <c r="I50">
        <v>92</v>
      </c>
      <c r="J50" s="20">
        <v>0.22828799999999999</v>
      </c>
      <c r="K50">
        <v>20</v>
      </c>
      <c r="L50">
        <v>9.75</v>
      </c>
      <c r="M50">
        <v>50</v>
      </c>
      <c r="N50">
        <v>1</v>
      </c>
      <c r="O50">
        <v>195</v>
      </c>
      <c r="P50" s="1">
        <v>0.483871</v>
      </c>
    </row>
    <row r="51" spans="1:16" x14ac:dyDescent="0.25">
      <c r="A51" t="s">
        <v>16</v>
      </c>
      <c r="B51" s="19">
        <v>31405864</v>
      </c>
      <c r="C51">
        <v>351</v>
      </c>
      <c r="D51">
        <v>2149</v>
      </c>
      <c r="E51" s="1">
        <v>0.1404</v>
      </c>
      <c r="F51" s="1">
        <v>0.85960000000000003</v>
      </c>
      <c r="G51">
        <v>18</v>
      </c>
      <c r="H51">
        <v>33</v>
      </c>
      <c r="I51">
        <v>81</v>
      </c>
      <c r="J51" s="20">
        <v>0.230769</v>
      </c>
      <c r="K51">
        <v>12</v>
      </c>
      <c r="L51">
        <v>14.083333</v>
      </c>
      <c r="M51">
        <v>56</v>
      </c>
      <c r="N51">
        <v>1</v>
      </c>
      <c r="O51">
        <v>169</v>
      </c>
      <c r="P51" s="1">
        <v>0.48148099999999999</v>
      </c>
    </row>
    <row r="52" spans="1:16" x14ac:dyDescent="0.25">
      <c r="A52" t="s">
        <v>26</v>
      </c>
      <c r="B52"/>
      <c r="C52">
        <f>SUBTOTAL(101,CA8_wall70_it2_neigh5[floors])</f>
        <v>366.14</v>
      </c>
      <c r="D52">
        <f>SUBTOTAL(101,CA8_wall70_it2_neigh5[walls])</f>
        <v>2133.86</v>
      </c>
      <c r="E52" s="2">
        <f>SUBTOTAL(101,CA8_wall70_it2_neigh5[floor_percent])</f>
        <v>0.14645599999999998</v>
      </c>
      <c r="F52" s="2">
        <f>SUBTOTAL(101,CA8_wall70_it2_neigh5[wall_percent])</f>
        <v>0.85354400000000008</v>
      </c>
      <c r="G52">
        <f>SUBTOTAL(101,CA8_wall70_it2_neigh5[longest_shortest_path])</f>
        <v>14.74</v>
      </c>
      <c r="H52">
        <f>SUBTOTAL(101,CA8_wall70_it2_neigh5[component_count])</f>
        <v>43.88</v>
      </c>
      <c r="I52">
        <f>SUBTOTAL(101,CA8_wall70_it2_neigh5[max_component_size])</f>
        <v>59.84</v>
      </c>
      <c r="J52">
        <f>SUBTOTAL(101,CA8_wall70_it2_neigh5[connectivity_ratio])</f>
        <v>0.16285505999999997</v>
      </c>
      <c r="K52">
        <f>SUBTOTAL(101,CA8_wall70_it2_neigh5[room_count])</f>
        <v>16.399999999999999</v>
      </c>
      <c r="L52">
        <f>SUBTOTAL(101,CA8_wall70_it2_neigh5[avg_room_size])</f>
        <v>9.8483782000000009</v>
      </c>
      <c r="M52">
        <f>SUBTOTAL(101,CA8_wall70_it2_neigh5[max_room_size])</f>
        <v>35.1</v>
      </c>
      <c r="N52">
        <f>SUBTOTAL(101,CA8_wall70_it2_neigh5[min_room_size])</f>
        <v>1.24</v>
      </c>
      <c r="O52">
        <f>SUBTOTAL(101,CA8_wall70_it2_neigh5[room_tiles])</f>
        <v>160.97999999999999</v>
      </c>
      <c r="P52" s="2">
        <f>SUBTOTAL(101,CA8_wall70_it2_neigh5[room_ratio])</f>
        <v>0.43320115999999997</v>
      </c>
    </row>
    <row r="53" spans="1:16" x14ac:dyDescent="0.25">
      <c r="A53" s="22" t="s">
        <v>28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ADC7-BA58-41F5-9C69-DA0EB53EB9F3}">
  <dimension ref="A1:P53"/>
  <sheetViews>
    <sheetView topLeftCell="A34" workbookViewId="0">
      <selection activeCell="G56" sqref="G56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1548993451</v>
      </c>
      <c r="C2">
        <v>25</v>
      </c>
      <c r="D2">
        <v>2475</v>
      </c>
      <c r="E2" s="1">
        <v>0.01</v>
      </c>
      <c r="F2" s="1">
        <v>0.99</v>
      </c>
      <c r="G2">
        <v>7</v>
      </c>
      <c r="H2">
        <v>6</v>
      </c>
      <c r="I2">
        <v>17</v>
      </c>
      <c r="J2" s="20">
        <v>0.68</v>
      </c>
      <c r="K2">
        <v>1</v>
      </c>
      <c r="L2">
        <v>9</v>
      </c>
      <c r="M2">
        <v>9</v>
      </c>
      <c r="N2">
        <v>9</v>
      </c>
      <c r="O2">
        <v>9</v>
      </c>
      <c r="P2" s="1">
        <v>0.36</v>
      </c>
    </row>
    <row r="3" spans="1:16" x14ac:dyDescent="0.25">
      <c r="A3" t="s">
        <v>16</v>
      </c>
      <c r="B3" s="19">
        <v>271046868</v>
      </c>
      <c r="C3">
        <v>20</v>
      </c>
      <c r="D3">
        <v>2480</v>
      </c>
      <c r="E3" s="1">
        <v>8.0000000000000002E-3</v>
      </c>
      <c r="F3" s="1">
        <v>0.99199999999999999</v>
      </c>
      <c r="G3">
        <v>2</v>
      </c>
      <c r="H3">
        <v>10</v>
      </c>
      <c r="I3">
        <v>6</v>
      </c>
      <c r="J3" s="20">
        <v>0.3</v>
      </c>
      <c r="K3">
        <v>1</v>
      </c>
      <c r="L3">
        <v>2</v>
      </c>
      <c r="M3">
        <v>2</v>
      </c>
      <c r="N3">
        <v>2</v>
      </c>
      <c r="O3">
        <v>2</v>
      </c>
      <c r="P3" s="1">
        <v>0.1</v>
      </c>
    </row>
    <row r="4" spans="1:16" x14ac:dyDescent="0.25">
      <c r="A4" t="s">
        <v>16</v>
      </c>
      <c r="B4" s="19">
        <v>1773105484</v>
      </c>
      <c r="C4">
        <v>8</v>
      </c>
      <c r="D4">
        <v>2492</v>
      </c>
      <c r="E4" s="1">
        <v>3.2000000000000002E-3</v>
      </c>
      <c r="F4" s="1">
        <v>0.99680000000000002</v>
      </c>
      <c r="G4">
        <v>1</v>
      </c>
      <c r="H4">
        <v>7</v>
      </c>
      <c r="I4">
        <v>2</v>
      </c>
      <c r="J4" s="20">
        <v>0.25</v>
      </c>
      <c r="K4">
        <v>0</v>
      </c>
      <c r="L4">
        <v>0</v>
      </c>
      <c r="M4">
        <v>0</v>
      </c>
      <c r="N4">
        <v>0</v>
      </c>
      <c r="O4">
        <v>0</v>
      </c>
      <c r="P4" s="1">
        <v>0</v>
      </c>
    </row>
    <row r="5" spans="1:16" x14ac:dyDescent="0.25">
      <c r="A5" t="s">
        <v>16</v>
      </c>
      <c r="B5" s="19">
        <v>1393706454</v>
      </c>
      <c r="C5">
        <v>28</v>
      </c>
      <c r="D5">
        <v>2472</v>
      </c>
      <c r="E5" s="1">
        <v>1.12E-2</v>
      </c>
      <c r="F5" s="1">
        <v>0.98880000000000001</v>
      </c>
      <c r="G5">
        <v>4</v>
      </c>
      <c r="H5">
        <v>5</v>
      </c>
      <c r="I5">
        <v>15</v>
      </c>
      <c r="J5" s="20">
        <v>0.53571400000000002</v>
      </c>
      <c r="K5">
        <v>1</v>
      </c>
      <c r="L5">
        <v>8</v>
      </c>
      <c r="M5">
        <v>8</v>
      </c>
      <c r="N5">
        <v>8</v>
      </c>
      <c r="O5">
        <v>8</v>
      </c>
      <c r="P5" s="1">
        <v>0.28571400000000002</v>
      </c>
    </row>
    <row r="6" spans="1:16" x14ac:dyDescent="0.25">
      <c r="A6" t="s">
        <v>16</v>
      </c>
      <c r="B6" s="19">
        <v>2060263492</v>
      </c>
      <c r="C6">
        <v>16</v>
      </c>
      <c r="D6">
        <v>2484</v>
      </c>
      <c r="E6" s="1">
        <v>6.4000000000000003E-3</v>
      </c>
      <c r="F6" s="1">
        <v>0.99360000000000004</v>
      </c>
      <c r="G6">
        <v>2</v>
      </c>
      <c r="H6">
        <v>9</v>
      </c>
      <c r="I6">
        <v>4</v>
      </c>
      <c r="J6" s="20">
        <v>0.25</v>
      </c>
      <c r="K6">
        <v>0</v>
      </c>
      <c r="L6">
        <v>0</v>
      </c>
      <c r="M6">
        <v>0</v>
      </c>
      <c r="N6">
        <v>0</v>
      </c>
      <c r="O6">
        <v>0</v>
      </c>
      <c r="P6" s="1">
        <v>0</v>
      </c>
    </row>
    <row r="7" spans="1:16" x14ac:dyDescent="0.25">
      <c r="A7" t="s">
        <v>16</v>
      </c>
      <c r="B7" s="19">
        <v>96694332</v>
      </c>
      <c r="C7">
        <v>12</v>
      </c>
      <c r="D7">
        <v>2488</v>
      </c>
      <c r="E7" s="1">
        <v>4.7999999999999996E-3</v>
      </c>
      <c r="F7" s="1">
        <v>0.99519999999999997</v>
      </c>
      <c r="G7">
        <v>2</v>
      </c>
      <c r="H7">
        <v>7</v>
      </c>
      <c r="I7">
        <v>3</v>
      </c>
      <c r="J7" s="20">
        <v>0.25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</row>
    <row r="8" spans="1:16" x14ac:dyDescent="0.25">
      <c r="A8" t="s">
        <v>16</v>
      </c>
      <c r="B8" s="19">
        <v>870304811</v>
      </c>
      <c r="C8">
        <v>26</v>
      </c>
      <c r="D8">
        <v>2474</v>
      </c>
      <c r="E8" s="1">
        <v>1.04E-2</v>
      </c>
      <c r="F8" s="1">
        <v>0.98960000000000004</v>
      </c>
      <c r="G8">
        <v>3</v>
      </c>
      <c r="H8">
        <v>9</v>
      </c>
      <c r="I8">
        <v>13</v>
      </c>
      <c r="J8" s="20">
        <v>0.5</v>
      </c>
      <c r="K8">
        <v>1</v>
      </c>
      <c r="L8">
        <v>5</v>
      </c>
      <c r="M8">
        <v>5</v>
      </c>
      <c r="N8">
        <v>5</v>
      </c>
      <c r="O8">
        <v>5</v>
      </c>
      <c r="P8" s="1">
        <v>0.19230800000000001</v>
      </c>
    </row>
    <row r="9" spans="1:16" x14ac:dyDescent="0.25">
      <c r="A9" t="s">
        <v>16</v>
      </c>
      <c r="B9" s="19">
        <v>454668066</v>
      </c>
      <c r="C9">
        <v>7</v>
      </c>
      <c r="D9">
        <v>2493</v>
      </c>
      <c r="E9" s="1">
        <v>2.8E-3</v>
      </c>
      <c r="F9" s="1">
        <v>0.99719999999999998</v>
      </c>
      <c r="G9">
        <v>1</v>
      </c>
      <c r="H9">
        <v>5</v>
      </c>
      <c r="I9">
        <v>3</v>
      </c>
      <c r="J9" s="20">
        <v>0.42857099999999998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</row>
    <row r="10" spans="1:16" x14ac:dyDescent="0.25">
      <c r="A10" t="s">
        <v>16</v>
      </c>
      <c r="B10" s="19">
        <v>413977276</v>
      </c>
      <c r="C10">
        <v>8</v>
      </c>
      <c r="D10">
        <v>2492</v>
      </c>
      <c r="E10" s="1">
        <v>3.2000000000000002E-3</v>
      </c>
      <c r="F10" s="1">
        <v>0.99680000000000002</v>
      </c>
      <c r="G10">
        <v>2</v>
      </c>
      <c r="H10">
        <v>4</v>
      </c>
      <c r="I10">
        <v>4</v>
      </c>
      <c r="J10" s="20">
        <v>0.5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</row>
    <row r="11" spans="1:16" x14ac:dyDescent="0.25">
      <c r="A11" t="s">
        <v>16</v>
      </c>
      <c r="B11" s="19">
        <v>1577429122</v>
      </c>
      <c r="C11">
        <v>23</v>
      </c>
      <c r="D11">
        <v>2477</v>
      </c>
      <c r="E11" s="1">
        <v>9.1999999999999998E-3</v>
      </c>
      <c r="F11" s="1">
        <v>0.99080000000000001</v>
      </c>
      <c r="G11">
        <v>2</v>
      </c>
      <c r="H11">
        <v>8</v>
      </c>
      <c r="I11">
        <v>6</v>
      </c>
      <c r="J11" s="20">
        <v>0.26086999999999999</v>
      </c>
      <c r="K11">
        <v>1</v>
      </c>
      <c r="L11">
        <v>1</v>
      </c>
      <c r="M11">
        <v>1</v>
      </c>
      <c r="N11">
        <v>1</v>
      </c>
      <c r="O11">
        <v>1</v>
      </c>
      <c r="P11" s="1">
        <v>4.3478000000000003E-2</v>
      </c>
    </row>
    <row r="12" spans="1:16" x14ac:dyDescent="0.25">
      <c r="A12" t="s">
        <v>16</v>
      </c>
      <c r="B12" s="19">
        <v>1524414363</v>
      </c>
      <c r="C12">
        <v>5</v>
      </c>
      <c r="D12">
        <v>2495</v>
      </c>
      <c r="E12" s="1">
        <v>2E-3</v>
      </c>
      <c r="F12" s="1">
        <v>0.998</v>
      </c>
      <c r="G12">
        <v>0</v>
      </c>
      <c r="H12">
        <v>5</v>
      </c>
      <c r="I12">
        <v>1</v>
      </c>
      <c r="J12" s="20">
        <v>0.2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0</v>
      </c>
    </row>
    <row r="13" spans="1:16" x14ac:dyDescent="0.25">
      <c r="A13" t="s">
        <v>16</v>
      </c>
      <c r="B13" s="19">
        <v>2021453217</v>
      </c>
      <c r="C13">
        <v>8</v>
      </c>
      <c r="D13">
        <v>2492</v>
      </c>
      <c r="E13" s="1">
        <v>3.2000000000000002E-3</v>
      </c>
      <c r="F13" s="1">
        <v>0.99680000000000002</v>
      </c>
      <c r="G13">
        <v>2</v>
      </c>
      <c r="H13">
        <v>6</v>
      </c>
      <c r="I13">
        <v>3</v>
      </c>
      <c r="J13" s="20">
        <v>0.375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0</v>
      </c>
    </row>
    <row r="14" spans="1:16" x14ac:dyDescent="0.25">
      <c r="A14" t="s">
        <v>16</v>
      </c>
      <c r="B14" s="19">
        <v>205753334</v>
      </c>
      <c r="C14">
        <v>11</v>
      </c>
      <c r="D14">
        <v>2489</v>
      </c>
      <c r="E14" s="1">
        <v>4.4000000000000003E-3</v>
      </c>
      <c r="F14" s="1">
        <v>0.99560000000000004</v>
      </c>
      <c r="G14">
        <v>2</v>
      </c>
      <c r="H14">
        <v>7</v>
      </c>
      <c r="I14">
        <v>4</v>
      </c>
      <c r="J14" s="20">
        <v>0.36363600000000001</v>
      </c>
      <c r="K14">
        <v>0</v>
      </c>
      <c r="L14">
        <v>0</v>
      </c>
      <c r="M14">
        <v>0</v>
      </c>
      <c r="N14">
        <v>0</v>
      </c>
      <c r="O14">
        <v>0</v>
      </c>
      <c r="P14" s="1">
        <v>0</v>
      </c>
    </row>
    <row r="15" spans="1:16" x14ac:dyDescent="0.25">
      <c r="A15" t="s">
        <v>16</v>
      </c>
      <c r="B15" s="19">
        <v>1904637933</v>
      </c>
      <c r="C15">
        <v>8</v>
      </c>
      <c r="D15">
        <v>2492</v>
      </c>
      <c r="E15" s="1">
        <v>3.2000000000000002E-3</v>
      </c>
      <c r="F15" s="1">
        <v>0.99680000000000002</v>
      </c>
      <c r="G15">
        <v>1</v>
      </c>
      <c r="H15">
        <v>6</v>
      </c>
      <c r="I15">
        <v>2</v>
      </c>
      <c r="J15" s="20">
        <v>0.25</v>
      </c>
      <c r="K15">
        <v>0</v>
      </c>
      <c r="L15">
        <v>0</v>
      </c>
      <c r="M15">
        <v>0</v>
      </c>
      <c r="N15">
        <v>0</v>
      </c>
      <c r="O15">
        <v>0</v>
      </c>
      <c r="P15" s="1">
        <v>0</v>
      </c>
    </row>
    <row r="16" spans="1:16" x14ac:dyDescent="0.25">
      <c r="A16" t="s">
        <v>16</v>
      </c>
      <c r="B16" s="19">
        <v>1309821139</v>
      </c>
      <c r="C16">
        <v>13</v>
      </c>
      <c r="D16">
        <v>2487</v>
      </c>
      <c r="E16" s="1">
        <v>5.1999999999999998E-3</v>
      </c>
      <c r="F16" s="1">
        <v>0.99480000000000002</v>
      </c>
      <c r="G16">
        <v>3</v>
      </c>
      <c r="H16">
        <v>5</v>
      </c>
      <c r="I16">
        <v>8</v>
      </c>
      <c r="J16" s="20">
        <v>0.61538499999999996</v>
      </c>
      <c r="K16">
        <v>1</v>
      </c>
      <c r="L16">
        <v>2</v>
      </c>
      <c r="M16">
        <v>2</v>
      </c>
      <c r="N16">
        <v>2</v>
      </c>
      <c r="O16">
        <v>2</v>
      </c>
      <c r="P16" s="1">
        <v>0.15384600000000001</v>
      </c>
    </row>
    <row r="17" spans="1:16" x14ac:dyDescent="0.25">
      <c r="A17" t="s">
        <v>16</v>
      </c>
      <c r="B17" s="19">
        <v>923768021</v>
      </c>
      <c r="C17">
        <v>24</v>
      </c>
      <c r="D17">
        <v>2476</v>
      </c>
      <c r="E17" s="1">
        <v>9.5999999999999992E-3</v>
      </c>
      <c r="F17" s="1">
        <v>0.99039999999999995</v>
      </c>
      <c r="G17">
        <v>3</v>
      </c>
      <c r="H17">
        <v>7</v>
      </c>
      <c r="I17">
        <v>7</v>
      </c>
      <c r="J17" s="20">
        <v>0.29166700000000001</v>
      </c>
      <c r="K17">
        <v>2</v>
      </c>
      <c r="L17">
        <v>1</v>
      </c>
      <c r="M17">
        <v>1</v>
      </c>
      <c r="N17">
        <v>1</v>
      </c>
      <c r="O17">
        <v>2</v>
      </c>
      <c r="P17" s="1">
        <v>8.3333000000000004E-2</v>
      </c>
    </row>
    <row r="18" spans="1:16" x14ac:dyDescent="0.25">
      <c r="A18" t="s">
        <v>16</v>
      </c>
      <c r="B18" s="19">
        <v>1050101134</v>
      </c>
      <c r="C18">
        <v>14</v>
      </c>
      <c r="D18">
        <v>2486</v>
      </c>
      <c r="E18" s="1">
        <v>5.5999999999999999E-3</v>
      </c>
      <c r="F18" s="1">
        <v>0.99439999999999995</v>
      </c>
      <c r="G18">
        <v>2</v>
      </c>
      <c r="H18">
        <v>9</v>
      </c>
      <c r="I18">
        <v>3</v>
      </c>
      <c r="J18" s="20">
        <v>0.214286</v>
      </c>
      <c r="K18">
        <v>0</v>
      </c>
      <c r="L18">
        <v>0</v>
      </c>
      <c r="M18">
        <v>0</v>
      </c>
      <c r="N18">
        <v>0</v>
      </c>
      <c r="O18">
        <v>0</v>
      </c>
      <c r="P18" s="1">
        <v>0</v>
      </c>
    </row>
    <row r="19" spans="1:16" x14ac:dyDescent="0.25">
      <c r="A19" t="s">
        <v>16</v>
      </c>
      <c r="B19" s="19">
        <v>1870877976</v>
      </c>
      <c r="C19">
        <v>14</v>
      </c>
      <c r="D19">
        <v>2486</v>
      </c>
      <c r="E19" s="1">
        <v>5.5999999999999999E-3</v>
      </c>
      <c r="F19" s="1">
        <v>0.99439999999999995</v>
      </c>
      <c r="G19">
        <v>2</v>
      </c>
      <c r="H19">
        <v>5</v>
      </c>
      <c r="I19">
        <v>6</v>
      </c>
      <c r="J19" s="20">
        <v>0.42857099999999998</v>
      </c>
      <c r="K19">
        <v>1</v>
      </c>
      <c r="L19">
        <v>1</v>
      </c>
      <c r="M19">
        <v>1</v>
      </c>
      <c r="N19">
        <v>1</v>
      </c>
      <c r="O19">
        <v>1</v>
      </c>
      <c r="P19" s="1">
        <v>7.1429000000000006E-2</v>
      </c>
    </row>
    <row r="20" spans="1:16" x14ac:dyDescent="0.25">
      <c r="A20" t="s">
        <v>16</v>
      </c>
      <c r="B20" s="19">
        <v>1834037693</v>
      </c>
      <c r="C20">
        <v>14</v>
      </c>
      <c r="D20">
        <v>2486</v>
      </c>
      <c r="E20" s="1">
        <v>5.5999999999999999E-3</v>
      </c>
      <c r="F20" s="1">
        <v>0.99439999999999995</v>
      </c>
      <c r="G20">
        <v>2</v>
      </c>
      <c r="H20">
        <v>6</v>
      </c>
      <c r="I20">
        <v>5</v>
      </c>
      <c r="J20" s="20">
        <v>0.35714299999999999</v>
      </c>
      <c r="K20">
        <v>0</v>
      </c>
      <c r="L20">
        <v>0</v>
      </c>
      <c r="M20">
        <v>0</v>
      </c>
      <c r="N20">
        <v>0</v>
      </c>
      <c r="O20">
        <v>0</v>
      </c>
      <c r="P20" s="1">
        <v>0</v>
      </c>
    </row>
    <row r="21" spans="1:16" x14ac:dyDescent="0.25">
      <c r="A21" t="s">
        <v>16</v>
      </c>
      <c r="B21" s="19">
        <v>388846606</v>
      </c>
      <c r="C21">
        <v>14</v>
      </c>
      <c r="D21">
        <v>2486</v>
      </c>
      <c r="E21" s="1">
        <v>5.5999999999999999E-3</v>
      </c>
      <c r="F21" s="1">
        <v>0.99439999999999995</v>
      </c>
      <c r="G21">
        <v>1</v>
      </c>
      <c r="H21">
        <v>10</v>
      </c>
      <c r="I21">
        <v>3</v>
      </c>
      <c r="J21" s="20">
        <v>0.214286</v>
      </c>
      <c r="K21">
        <v>0</v>
      </c>
      <c r="L21">
        <v>0</v>
      </c>
      <c r="M21">
        <v>0</v>
      </c>
      <c r="N21">
        <v>0</v>
      </c>
      <c r="O21">
        <v>0</v>
      </c>
      <c r="P21" s="1">
        <v>0</v>
      </c>
    </row>
    <row r="22" spans="1:16" x14ac:dyDescent="0.25">
      <c r="A22" t="s">
        <v>16</v>
      </c>
      <c r="B22" s="19">
        <v>2144524000</v>
      </c>
      <c r="C22">
        <v>14</v>
      </c>
      <c r="D22">
        <v>2486</v>
      </c>
      <c r="E22" s="1">
        <v>5.5999999999999999E-3</v>
      </c>
      <c r="F22" s="1">
        <v>0.99439999999999995</v>
      </c>
      <c r="G22">
        <v>2</v>
      </c>
      <c r="H22">
        <v>8</v>
      </c>
      <c r="I22">
        <v>5</v>
      </c>
      <c r="J22" s="20">
        <v>0.35714299999999999</v>
      </c>
      <c r="K22">
        <v>0</v>
      </c>
      <c r="L22">
        <v>0</v>
      </c>
      <c r="M22">
        <v>0</v>
      </c>
      <c r="N22">
        <v>0</v>
      </c>
      <c r="O22">
        <v>0</v>
      </c>
      <c r="P22" s="1">
        <v>0</v>
      </c>
    </row>
    <row r="23" spans="1:16" x14ac:dyDescent="0.25">
      <c r="A23" t="s">
        <v>16</v>
      </c>
      <c r="B23" s="19">
        <v>1222507993</v>
      </c>
      <c r="C23">
        <v>18</v>
      </c>
      <c r="D23">
        <v>2482</v>
      </c>
      <c r="E23" s="1">
        <v>7.1999999999999998E-3</v>
      </c>
      <c r="F23" s="1">
        <v>0.99280000000000002</v>
      </c>
      <c r="G23">
        <v>3</v>
      </c>
      <c r="H23">
        <v>7</v>
      </c>
      <c r="I23">
        <v>7</v>
      </c>
      <c r="J23" s="20">
        <v>0.38888899999999998</v>
      </c>
      <c r="K23">
        <v>2</v>
      </c>
      <c r="L23">
        <v>1.5</v>
      </c>
      <c r="M23">
        <v>2</v>
      </c>
      <c r="N23">
        <v>1</v>
      </c>
      <c r="O23">
        <v>3</v>
      </c>
      <c r="P23" s="1">
        <v>0.16666700000000001</v>
      </c>
    </row>
    <row r="24" spans="1:16" x14ac:dyDescent="0.25">
      <c r="A24" t="s">
        <v>16</v>
      </c>
      <c r="B24" s="19">
        <v>559673005</v>
      </c>
      <c r="C24">
        <v>21</v>
      </c>
      <c r="D24">
        <v>2479</v>
      </c>
      <c r="E24" s="1">
        <v>8.3999999999999995E-3</v>
      </c>
      <c r="F24" s="1">
        <v>0.99160000000000004</v>
      </c>
      <c r="G24">
        <v>2</v>
      </c>
      <c r="H24">
        <v>7</v>
      </c>
      <c r="I24">
        <v>7</v>
      </c>
      <c r="J24" s="20">
        <v>0.33333299999999999</v>
      </c>
      <c r="K24">
        <v>1</v>
      </c>
      <c r="L24">
        <v>2</v>
      </c>
      <c r="M24">
        <v>2</v>
      </c>
      <c r="N24">
        <v>2</v>
      </c>
      <c r="O24">
        <v>2</v>
      </c>
      <c r="P24" s="1">
        <v>9.5238000000000003E-2</v>
      </c>
    </row>
    <row r="25" spans="1:16" x14ac:dyDescent="0.25">
      <c r="A25" t="s">
        <v>16</v>
      </c>
      <c r="B25" s="19">
        <v>1737585167</v>
      </c>
      <c r="C25">
        <v>2</v>
      </c>
      <c r="D25">
        <v>2498</v>
      </c>
      <c r="E25" s="1">
        <v>8.0000000000000004E-4</v>
      </c>
      <c r="F25" s="1">
        <v>0.99919999999999998</v>
      </c>
      <c r="G25">
        <v>1</v>
      </c>
      <c r="H25">
        <v>1</v>
      </c>
      <c r="I25">
        <v>2</v>
      </c>
      <c r="J25" s="20">
        <v>1</v>
      </c>
      <c r="K25">
        <v>0</v>
      </c>
      <c r="L25">
        <v>0</v>
      </c>
      <c r="M25">
        <v>0</v>
      </c>
      <c r="N25">
        <v>0</v>
      </c>
      <c r="O25">
        <v>0</v>
      </c>
      <c r="P25" s="1">
        <v>0</v>
      </c>
    </row>
    <row r="26" spans="1:16" x14ac:dyDescent="0.25">
      <c r="A26" t="s">
        <v>16</v>
      </c>
      <c r="B26" s="19">
        <v>92391394</v>
      </c>
      <c r="C26">
        <v>16</v>
      </c>
      <c r="D26">
        <v>2484</v>
      </c>
      <c r="E26" s="1">
        <v>6.4000000000000003E-3</v>
      </c>
      <c r="F26" s="1">
        <v>0.99360000000000004</v>
      </c>
      <c r="G26">
        <v>2</v>
      </c>
      <c r="H26">
        <v>6</v>
      </c>
      <c r="I26">
        <v>6</v>
      </c>
      <c r="J26" s="20">
        <v>0.375</v>
      </c>
      <c r="K26">
        <v>1</v>
      </c>
      <c r="L26">
        <v>1</v>
      </c>
      <c r="M26">
        <v>1</v>
      </c>
      <c r="N26">
        <v>1</v>
      </c>
      <c r="O26">
        <v>1</v>
      </c>
      <c r="P26" s="1">
        <v>6.25E-2</v>
      </c>
    </row>
    <row r="27" spans="1:16" x14ac:dyDescent="0.25">
      <c r="A27" t="s">
        <v>16</v>
      </c>
      <c r="B27" s="19">
        <v>586673134</v>
      </c>
      <c r="C27">
        <v>13</v>
      </c>
      <c r="D27">
        <v>2487</v>
      </c>
      <c r="E27" s="1">
        <v>5.1999999999999998E-3</v>
      </c>
      <c r="F27" s="1">
        <v>0.99480000000000002</v>
      </c>
      <c r="G27">
        <v>2</v>
      </c>
      <c r="H27">
        <v>8</v>
      </c>
      <c r="I27">
        <v>3</v>
      </c>
      <c r="J27" s="20">
        <v>0.230769</v>
      </c>
      <c r="K27">
        <v>0</v>
      </c>
      <c r="L27">
        <v>0</v>
      </c>
      <c r="M27">
        <v>0</v>
      </c>
      <c r="N27">
        <v>0</v>
      </c>
      <c r="O27">
        <v>0</v>
      </c>
      <c r="P27" s="1">
        <v>0</v>
      </c>
    </row>
    <row r="28" spans="1:16" x14ac:dyDescent="0.25">
      <c r="A28" t="s">
        <v>16</v>
      </c>
      <c r="B28" s="19">
        <v>361659560</v>
      </c>
      <c r="C28">
        <v>13</v>
      </c>
      <c r="D28">
        <v>2487</v>
      </c>
      <c r="E28" s="1">
        <v>5.1999999999999998E-3</v>
      </c>
      <c r="F28" s="1">
        <v>0.99480000000000002</v>
      </c>
      <c r="G28">
        <v>2</v>
      </c>
      <c r="H28">
        <v>7</v>
      </c>
      <c r="I28">
        <v>3</v>
      </c>
      <c r="J28" s="20">
        <v>0.230769</v>
      </c>
      <c r="K28">
        <v>0</v>
      </c>
      <c r="L28">
        <v>0</v>
      </c>
      <c r="M28">
        <v>0</v>
      </c>
      <c r="N28">
        <v>0</v>
      </c>
      <c r="O28">
        <v>0</v>
      </c>
      <c r="P28" s="1">
        <v>0</v>
      </c>
    </row>
    <row r="29" spans="1:16" x14ac:dyDescent="0.25">
      <c r="A29" t="s">
        <v>16</v>
      </c>
      <c r="B29" s="19">
        <v>1219150965</v>
      </c>
      <c r="C29">
        <v>24</v>
      </c>
      <c r="D29">
        <v>2476</v>
      </c>
      <c r="E29" s="1">
        <v>9.5999999999999992E-3</v>
      </c>
      <c r="F29" s="1">
        <v>0.99039999999999995</v>
      </c>
      <c r="G29">
        <v>3</v>
      </c>
      <c r="H29">
        <v>6</v>
      </c>
      <c r="I29">
        <v>7</v>
      </c>
      <c r="J29" s="20">
        <v>0.29166700000000001</v>
      </c>
      <c r="K29">
        <v>2</v>
      </c>
      <c r="L29">
        <v>1</v>
      </c>
      <c r="M29">
        <v>1</v>
      </c>
      <c r="N29">
        <v>1</v>
      </c>
      <c r="O29">
        <v>2</v>
      </c>
      <c r="P29" s="1">
        <v>8.3333000000000004E-2</v>
      </c>
    </row>
    <row r="30" spans="1:16" x14ac:dyDescent="0.25">
      <c r="A30" t="s">
        <v>16</v>
      </c>
      <c r="B30" s="19">
        <v>1671369394</v>
      </c>
      <c r="C30">
        <v>15</v>
      </c>
      <c r="D30">
        <v>2485</v>
      </c>
      <c r="E30" s="1">
        <v>6.0000000000000001E-3</v>
      </c>
      <c r="F30" s="1">
        <v>0.99399999999999999</v>
      </c>
      <c r="G30">
        <v>3</v>
      </c>
      <c r="H30">
        <v>4</v>
      </c>
      <c r="I30">
        <v>6</v>
      </c>
      <c r="J30" s="20">
        <v>0.4</v>
      </c>
      <c r="K30">
        <v>0</v>
      </c>
      <c r="L30">
        <v>0</v>
      </c>
      <c r="M30">
        <v>0</v>
      </c>
      <c r="N30">
        <v>0</v>
      </c>
      <c r="O30">
        <v>0</v>
      </c>
      <c r="P30" s="1">
        <v>0</v>
      </c>
    </row>
    <row r="31" spans="1:16" x14ac:dyDescent="0.25">
      <c r="A31" t="s">
        <v>16</v>
      </c>
      <c r="B31" s="19">
        <v>163537204</v>
      </c>
      <c r="C31">
        <v>33</v>
      </c>
      <c r="D31">
        <v>2467</v>
      </c>
      <c r="E31" s="1">
        <v>1.32E-2</v>
      </c>
      <c r="F31" s="1">
        <v>0.98680000000000001</v>
      </c>
      <c r="G31">
        <v>4</v>
      </c>
      <c r="H31">
        <v>13</v>
      </c>
      <c r="I31">
        <v>10</v>
      </c>
      <c r="J31" s="20">
        <v>0.30303000000000002</v>
      </c>
      <c r="K31">
        <v>1</v>
      </c>
      <c r="L31">
        <v>3</v>
      </c>
      <c r="M31">
        <v>3</v>
      </c>
      <c r="N31">
        <v>3</v>
      </c>
      <c r="O31">
        <v>3</v>
      </c>
      <c r="P31" s="1">
        <v>9.0909000000000004E-2</v>
      </c>
    </row>
    <row r="32" spans="1:16" x14ac:dyDescent="0.25">
      <c r="A32" t="s">
        <v>16</v>
      </c>
      <c r="B32" s="19">
        <v>1429218173</v>
      </c>
      <c r="C32">
        <v>4</v>
      </c>
      <c r="D32">
        <v>2496</v>
      </c>
      <c r="E32" s="1">
        <v>1.6000000000000001E-3</v>
      </c>
      <c r="F32" s="1">
        <v>0.99839999999999995</v>
      </c>
      <c r="G32">
        <v>0</v>
      </c>
      <c r="H32">
        <v>4</v>
      </c>
      <c r="I32">
        <v>1</v>
      </c>
      <c r="J32" s="20">
        <v>0.25</v>
      </c>
      <c r="K32">
        <v>0</v>
      </c>
      <c r="L32">
        <v>0</v>
      </c>
      <c r="M32">
        <v>0</v>
      </c>
      <c r="N32">
        <v>0</v>
      </c>
      <c r="O32">
        <v>0</v>
      </c>
      <c r="P32" s="1">
        <v>0</v>
      </c>
    </row>
    <row r="33" spans="1:16" x14ac:dyDescent="0.25">
      <c r="A33" t="s">
        <v>16</v>
      </c>
      <c r="B33" s="19">
        <v>602955042</v>
      </c>
      <c r="C33">
        <v>26</v>
      </c>
      <c r="D33">
        <v>2474</v>
      </c>
      <c r="E33" s="1">
        <v>1.04E-2</v>
      </c>
      <c r="F33" s="1">
        <v>0.98960000000000004</v>
      </c>
      <c r="G33">
        <v>3</v>
      </c>
      <c r="H33">
        <v>12</v>
      </c>
      <c r="I33">
        <v>8</v>
      </c>
      <c r="J33" s="20">
        <v>0.30769200000000002</v>
      </c>
      <c r="K33">
        <v>1</v>
      </c>
      <c r="L33">
        <v>2</v>
      </c>
      <c r="M33">
        <v>2</v>
      </c>
      <c r="N33">
        <v>2</v>
      </c>
      <c r="O33">
        <v>2</v>
      </c>
      <c r="P33" s="1">
        <v>7.6923000000000005E-2</v>
      </c>
    </row>
    <row r="34" spans="1:16" x14ac:dyDescent="0.25">
      <c r="A34" t="s">
        <v>16</v>
      </c>
      <c r="B34" s="19">
        <v>485792283</v>
      </c>
      <c r="C34">
        <v>18</v>
      </c>
      <c r="D34">
        <v>2482</v>
      </c>
      <c r="E34" s="1">
        <v>7.1999999999999998E-3</v>
      </c>
      <c r="F34" s="1">
        <v>0.99280000000000002</v>
      </c>
      <c r="G34">
        <v>3</v>
      </c>
      <c r="H34">
        <v>8</v>
      </c>
      <c r="I34">
        <v>6</v>
      </c>
      <c r="J34" s="20">
        <v>0.33333299999999999</v>
      </c>
      <c r="K34">
        <v>0</v>
      </c>
      <c r="L34">
        <v>0</v>
      </c>
      <c r="M34">
        <v>0</v>
      </c>
      <c r="N34">
        <v>0</v>
      </c>
      <c r="O34">
        <v>0</v>
      </c>
      <c r="P34" s="1">
        <v>0</v>
      </c>
    </row>
    <row r="35" spans="1:16" x14ac:dyDescent="0.25">
      <c r="A35" t="s">
        <v>16</v>
      </c>
      <c r="B35" s="19">
        <v>921838543</v>
      </c>
      <c r="C35">
        <v>53</v>
      </c>
      <c r="D35">
        <v>2447</v>
      </c>
      <c r="E35" s="1">
        <v>2.12E-2</v>
      </c>
      <c r="F35" s="1">
        <v>0.9788</v>
      </c>
      <c r="G35">
        <v>6</v>
      </c>
      <c r="H35">
        <v>10</v>
      </c>
      <c r="I35">
        <v>16</v>
      </c>
      <c r="J35" s="20">
        <v>0.30188700000000002</v>
      </c>
      <c r="K35">
        <v>3</v>
      </c>
      <c r="L35">
        <v>3.6666669999999999</v>
      </c>
      <c r="M35">
        <v>6</v>
      </c>
      <c r="N35">
        <v>1</v>
      </c>
      <c r="O35">
        <v>11</v>
      </c>
      <c r="P35" s="1">
        <v>0.20754700000000001</v>
      </c>
    </row>
    <row r="36" spans="1:16" x14ac:dyDescent="0.25">
      <c r="A36" t="s">
        <v>16</v>
      </c>
      <c r="B36" s="19">
        <v>1917293346</v>
      </c>
      <c r="C36">
        <v>9</v>
      </c>
      <c r="D36">
        <v>2491</v>
      </c>
      <c r="E36" s="1">
        <v>3.5999999999999999E-3</v>
      </c>
      <c r="F36" s="1">
        <v>0.99639999999999995</v>
      </c>
      <c r="G36">
        <v>1</v>
      </c>
      <c r="H36">
        <v>7</v>
      </c>
      <c r="I36">
        <v>2</v>
      </c>
      <c r="J36" s="20">
        <v>0.222222</v>
      </c>
      <c r="K36">
        <v>0</v>
      </c>
      <c r="L36">
        <v>0</v>
      </c>
      <c r="M36">
        <v>0</v>
      </c>
      <c r="N36">
        <v>0</v>
      </c>
      <c r="O36">
        <v>0</v>
      </c>
      <c r="P36" s="1">
        <v>0</v>
      </c>
    </row>
    <row r="37" spans="1:16" x14ac:dyDescent="0.25">
      <c r="A37" t="s">
        <v>16</v>
      </c>
      <c r="B37" s="19">
        <v>1418004599</v>
      </c>
      <c r="C37">
        <v>20</v>
      </c>
      <c r="D37">
        <v>2480</v>
      </c>
      <c r="E37" s="1">
        <v>8.0000000000000002E-3</v>
      </c>
      <c r="F37" s="1">
        <v>0.99199999999999999</v>
      </c>
      <c r="G37">
        <v>2</v>
      </c>
      <c r="H37">
        <v>9</v>
      </c>
      <c r="I37">
        <v>4</v>
      </c>
      <c r="J37" s="20">
        <v>0.2</v>
      </c>
      <c r="K37">
        <v>0</v>
      </c>
      <c r="L37">
        <v>0</v>
      </c>
      <c r="M37">
        <v>0</v>
      </c>
      <c r="N37">
        <v>0</v>
      </c>
      <c r="O37">
        <v>0</v>
      </c>
      <c r="P37" s="1">
        <v>0</v>
      </c>
    </row>
    <row r="38" spans="1:16" x14ac:dyDescent="0.25">
      <c r="A38" t="s">
        <v>16</v>
      </c>
      <c r="B38" s="19">
        <v>2145117402</v>
      </c>
      <c r="C38">
        <v>16</v>
      </c>
      <c r="D38">
        <v>2484</v>
      </c>
      <c r="E38" s="1">
        <v>6.4000000000000003E-3</v>
      </c>
      <c r="F38" s="1">
        <v>0.99360000000000004</v>
      </c>
      <c r="G38">
        <v>4</v>
      </c>
      <c r="H38">
        <v>5</v>
      </c>
      <c r="I38">
        <v>8</v>
      </c>
      <c r="J38" s="20">
        <v>0.5</v>
      </c>
      <c r="K38">
        <v>1</v>
      </c>
      <c r="L38">
        <v>2</v>
      </c>
      <c r="M38">
        <v>2</v>
      </c>
      <c r="N38">
        <v>2</v>
      </c>
      <c r="O38">
        <v>2</v>
      </c>
      <c r="P38" s="1">
        <v>0.125</v>
      </c>
    </row>
    <row r="39" spans="1:16" x14ac:dyDescent="0.25">
      <c r="A39" t="s">
        <v>16</v>
      </c>
      <c r="B39" s="19">
        <v>34489661</v>
      </c>
      <c r="C39">
        <v>23</v>
      </c>
      <c r="D39">
        <v>2477</v>
      </c>
      <c r="E39" s="1">
        <v>9.1999999999999998E-3</v>
      </c>
      <c r="F39" s="1">
        <v>0.99080000000000001</v>
      </c>
      <c r="G39">
        <v>5</v>
      </c>
      <c r="H39">
        <v>6</v>
      </c>
      <c r="I39">
        <v>13</v>
      </c>
      <c r="J39" s="20">
        <v>0.56521699999999997</v>
      </c>
      <c r="K39">
        <v>1</v>
      </c>
      <c r="L39">
        <v>4</v>
      </c>
      <c r="M39">
        <v>4</v>
      </c>
      <c r="N39">
        <v>4</v>
      </c>
      <c r="O39">
        <v>4</v>
      </c>
      <c r="P39" s="1">
        <v>0.17391300000000001</v>
      </c>
    </row>
    <row r="40" spans="1:16" x14ac:dyDescent="0.25">
      <c r="A40" t="s">
        <v>16</v>
      </c>
      <c r="B40" s="19">
        <v>641492102</v>
      </c>
      <c r="C40">
        <v>30</v>
      </c>
      <c r="D40">
        <v>2470</v>
      </c>
      <c r="E40" s="1">
        <v>1.2E-2</v>
      </c>
      <c r="F40" s="1">
        <v>0.98799999999999999</v>
      </c>
      <c r="G40">
        <v>2</v>
      </c>
      <c r="H40">
        <v>17</v>
      </c>
      <c r="I40">
        <v>5</v>
      </c>
      <c r="J40" s="20">
        <v>0.16666700000000001</v>
      </c>
      <c r="K40">
        <v>0</v>
      </c>
      <c r="L40">
        <v>0</v>
      </c>
      <c r="M40">
        <v>0</v>
      </c>
      <c r="N40">
        <v>0</v>
      </c>
      <c r="O40">
        <v>0</v>
      </c>
      <c r="P40" s="1">
        <v>0</v>
      </c>
    </row>
    <row r="41" spans="1:16" x14ac:dyDescent="0.25">
      <c r="A41" t="s">
        <v>16</v>
      </c>
      <c r="B41" s="19">
        <v>1427520727</v>
      </c>
      <c r="C41">
        <v>16</v>
      </c>
      <c r="D41">
        <v>2484</v>
      </c>
      <c r="E41" s="1">
        <v>6.4000000000000003E-3</v>
      </c>
      <c r="F41" s="1">
        <v>0.99360000000000004</v>
      </c>
      <c r="G41">
        <v>2</v>
      </c>
      <c r="H41">
        <v>7</v>
      </c>
      <c r="I41">
        <v>6</v>
      </c>
      <c r="J41" s="20">
        <v>0.375</v>
      </c>
      <c r="K41">
        <v>1</v>
      </c>
      <c r="L41">
        <v>1</v>
      </c>
      <c r="M41">
        <v>1</v>
      </c>
      <c r="N41">
        <v>1</v>
      </c>
      <c r="O41">
        <v>1</v>
      </c>
      <c r="P41" s="1">
        <v>6.25E-2</v>
      </c>
    </row>
    <row r="42" spans="1:16" x14ac:dyDescent="0.25">
      <c r="A42" t="s">
        <v>16</v>
      </c>
      <c r="B42" s="19">
        <v>994584703</v>
      </c>
      <c r="C42">
        <v>6</v>
      </c>
      <c r="D42">
        <v>2494</v>
      </c>
      <c r="E42" s="1">
        <v>2.3999999999999998E-3</v>
      </c>
      <c r="F42" s="1">
        <v>0.99760000000000004</v>
      </c>
      <c r="G42">
        <v>1</v>
      </c>
      <c r="H42">
        <v>5</v>
      </c>
      <c r="I42">
        <v>2</v>
      </c>
      <c r="J42" s="20">
        <v>0.33333299999999999</v>
      </c>
      <c r="K42">
        <v>0</v>
      </c>
      <c r="L42">
        <v>0</v>
      </c>
      <c r="M42">
        <v>0</v>
      </c>
      <c r="N42">
        <v>0</v>
      </c>
      <c r="O42">
        <v>0</v>
      </c>
      <c r="P42" s="1">
        <v>0</v>
      </c>
    </row>
    <row r="43" spans="1:16" x14ac:dyDescent="0.25">
      <c r="A43" t="s">
        <v>16</v>
      </c>
      <c r="B43" s="19">
        <v>41030815</v>
      </c>
      <c r="C43">
        <v>24</v>
      </c>
      <c r="D43">
        <v>2476</v>
      </c>
      <c r="E43" s="1">
        <v>9.5999999999999992E-3</v>
      </c>
      <c r="F43" s="1">
        <v>0.99039999999999995</v>
      </c>
      <c r="G43">
        <v>3</v>
      </c>
      <c r="H43">
        <v>11</v>
      </c>
      <c r="I43">
        <v>8</v>
      </c>
      <c r="J43" s="20">
        <v>0.33333299999999999</v>
      </c>
      <c r="K43">
        <v>1</v>
      </c>
      <c r="L43">
        <v>2</v>
      </c>
      <c r="M43">
        <v>2</v>
      </c>
      <c r="N43">
        <v>2</v>
      </c>
      <c r="O43">
        <v>2</v>
      </c>
      <c r="P43" s="1">
        <v>8.3333000000000004E-2</v>
      </c>
    </row>
    <row r="44" spans="1:16" x14ac:dyDescent="0.25">
      <c r="A44" t="s">
        <v>16</v>
      </c>
      <c r="B44" s="19">
        <v>2074603471</v>
      </c>
      <c r="C44">
        <v>8</v>
      </c>
      <c r="D44">
        <v>2492</v>
      </c>
      <c r="E44" s="1">
        <v>3.2000000000000002E-3</v>
      </c>
      <c r="F44" s="1">
        <v>0.99680000000000002</v>
      </c>
      <c r="G44">
        <v>1</v>
      </c>
      <c r="H44">
        <v>6</v>
      </c>
      <c r="I44">
        <v>2</v>
      </c>
      <c r="J44" s="20">
        <v>0.25</v>
      </c>
      <c r="K44">
        <v>0</v>
      </c>
      <c r="L44">
        <v>0</v>
      </c>
      <c r="M44">
        <v>0</v>
      </c>
      <c r="N44">
        <v>0</v>
      </c>
      <c r="O44">
        <v>0</v>
      </c>
      <c r="P44" s="1">
        <v>0</v>
      </c>
    </row>
    <row r="45" spans="1:16" x14ac:dyDescent="0.25">
      <c r="A45" t="s">
        <v>16</v>
      </c>
      <c r="B45" s="19">
        <v>2024553423</v>
      </c>
      <c r="C45">
        <v>12</v>
      </c>
      <c r="D45">
        <v>2488</v>
      </c>
      <c r="E45" s="1">
        <v>4.7999999999999996E-3</v>
      </c>
      <c r="F45" s="1">
        <v>0.99519999999999997</v>
      </c>
      <c r="G45">
        <v>2</v>
      </c>
      <c r="H45">
        <v>6</v>
      </c>
      <c r="I45">
        <v>5</v>
      </c>
      <c r="J45" s="20">
        <v>0.41666700000000001</v>
      </c>
      <c r="K45">
        <v>0</v>
      </c>
      <c r="L45">
        <v>0</v>
      </c>
      <c r="M45">
        <v>0</v>
      </c>
      <c r="N45">
        <v>0</v>
      </c>
      <c r="O45">
        <v>0</v>
      </c>
      <c r="P45" s="1">
        <v>0</v>
      </c>
    </row>
    <row r="46" spans="1:16" x14ac:dyDescent="0.25">
      <c r="A46" t="s">
        <v>16</v>
      </c>
      <c r="B46" s="19">
        <v>2138174703</v>
      </c>
      <c r="C46">
        <v>19</v>
      </c>
      <c r="D46">
        <v>2481</v>
      </c>
      <c r="E46" s="1">
        <v>7.6E-3</v>
      </c>
      <c r="F46" s="1">
        <v>0.99239999999999995</v>
      </c>
      <c r="G46">
        <v>2</v>
      </c>
      <c r="H46">
        <v>9</v>
      </c>
      <c r="I46">
        <v>7</v>
      </c>
      <c r="J46" s="20">
        <v>0.368421</v>
      </c>
      <c r="K46">
        <v>1</v>
      </c>
      <c r="L46">
        <v>2</v>
      </c>
      <c r="M46">
        <v>2</v>
      </c>
      <c r="N46">
        <v>2</v>
      </c>
      <c r="O46">
        <v>2</v>
      </c>
      <c r="P46" s="1">
        <v>0.105263</v>
      </c>
    </row>
    <row r="47" spans="1:16" x14ac:dyDescent="0.25">
      <c r="A47" t="s">
        <v>16</v>
      </c>
      <c r="B47" s="19">
        <v>796262771</v>
      </c>
      <c r="C47">
        <v>20</v>
      </c>
      <c r="D47">
        <v>2480</v>
      </c>
      <c r="E47" s="1">
        <v>8.0000000000000002E-3</v>
      </c>
      <c r="F47" s="1">
        <v>0.99199999999999999</v>
      </c>
      <c r="G47">
        <v>2</v>
      </c>
      <c r="H47">
        <v>10</v>
      </c>
      <c r="I47">
        <v>5</v>
      </c>
      <c r="J47" s="20">
        <v>0.25</v>
      </c>
      <c r="K47">
        <v>0</v>
      </c>
      <c r="L47">
        <v>0</v>
      </c>
      <c r="M47">
        <v>0</v>
      </c>
      <c r="N47">
        <v>0</v>
      </c>
      <c r="O47">
        <v>0</v>
      </c>
      <c r="P47" s="1">
        <v>0</v>
      </c>
    </row>
    <row r="48" spans="1:16" x14ac:dyDescent="0.25">
      <c r="A48" t="s">
        <v>16</v>
      </c>
      <c r="B48" s="19">
        <v>406879819</v>
      </c>
      <c r="C48">
        <v>41</v>
      </c>
      <c r="D48">
        <v>2459</v>
      </c>
      <c r="E48" s="1">
        <v>1.6400000000000001E-2</v>
      </c>
      <c r="F48" s="1">
        <v>0.98360000000000003</v>
      </c>
      <c r="G48">
        <v>3</v>
      </c>
      <c r="H48">
        <v>12</v>
      </c>
      <c r="I48">
        <v>8</v>
      </c>
      <c r="J48" s="20">
        <v>0.19512199999999999</v>
      </c>
      <c r="K48">
        <v>3</v>
      </c>
      <c r="L48">
        <v>2</v>
      </c>
      <c r="M48">
        <v>3</v>
      </c>
      <c r="N48">
        <v>1</v>
      </c>
      <c r="O48">
        <v>6</v>
      </c>
      <c r="P48" s="1">
        <v>0.146341</v>
      </c>
    </row>
    <row r="49" spans="1:16" x14ac:dyDescent="0.25">
      <c r="A49" t="s">
        <v>16</v>
      </c>
      <c r="B49" s="19">
        <v>1665268597</v>
      </c>
      <c r="C49">
        <v>5</v>
      </c>
      <c r="D49">
        <v>2495</v>
      </c>
      <c r="E49" s="1">
        <v>2E-3</v>
      </c>
      <c r="F49" s="1">
        <v>0.998</v>
      </c>
      <c r="G49">
        <v>0</v>
      </c>
      <c r="H49">
        <v>5</v>
      </c>
      <c r="I49">
        <v>1</v>
      </c>
      <c r="J49" s="20">
        <v>0.2</v>
      </c>
      <c r="K49">
        <v>0</v>
      </c>
      <c r="L49">
        <v>0</v>
      </c>
      <c r="M49">
        <v>0</v>
      </c>
      <c r="N49">
        <v>0</v>
      </c>
      <c r="O49">
        <v>0</v>
      </c>
      <c r="P49" s="1">
        <v>0</v>
      </c>
    </row>
    <row r="50" spans="1:16" x14ac:dyDescent="0.25">
      <c r="A50" t="s">
        <v>16</v>
      </c>
      <c r="B50" s="19">
        <v>1246123013</v>
      </c>
      <c r="C50">
        <v>32</v>
      </c>
      <c r="D50">
        <v>2468</v>
      </c>
      <c r="E50" s="1">
        <v>1.2800000000000001E-2</v>
      </c>
      <c r="F50" s="1">
        <v>0.98719999999999997</v>
      </c>
      <c r="G50">
        <v>2</v>
      </c>
      <c r="H50">
        <v>16</v>
      </c>
      <c r="I50">
        <v>5</v>
      </c>
      <c r="J50" s="20">
        <v>0.15625</v>
      </c>
      <c r="K50">
        <v>0</v>
      </c>
      <c r="L50">
        <v>0</v>
      </c>
      <c r="M50">
        <v>0</v>
      </c>
      <c r="N50">
        <v>0</v>
      </c>
      <c r="O50">
        <v>0</v>
      </c>
      <c r="P50" s="1">
        <v>0</v>
      </c>
    </row>
    <row r="51" spans="1:16" x14ac:dyDescent="0.25">
      <c r="A51" t="s">
        <v>16</v>
      </c>
      <c r="B51" s="19">
        <v>1247275087</v>
      </c>
      <c r="C51">
        <v>27</v>
      </c>
      <c r="D51">
        <v>2473</v>
      </c>
      <c r="E51" s="1">
        <v>1.0800000000000001E-2</v>
      </c>
      <c r="F51" s="1">
        <v>0.98919999999999997</v>
      </c>
      <c r="G51">
        <v>4</v>
      </c>
      <c r="H51">
        <v>7</v>
      </c>
      <c r="I51">
        <v>12</v>
      </c>
      <c r="J51" s="20">
        <v>0.44444400000000001</v>
      </c>
      <c r="K51">
        <v>1</v>
      </c>
      <c r="L51">
        <v>6</v>
      </c>
      <c r="M51">
        <v>6</v>
      </c>
      <c r="N51">
        <v>6</v>
      </c>
      <c r="O51">
        <v>6</v>
      </c>
      <c r="P51" s="1">
        <v>0.222222</v>
      </c>
    </row>
    <row r="52" spans="1:16" x14ac:dyDescent="0.25">
      <c r="A52" t="s">
        <v>26</v>
      </c>
      <c r="C52">
        <f>SUBTOTAL(101,CA8_wall70_it2_neigh4[floors])</f>
        <v>17.52</v>
      </c>
      <c r="D52">
        <f>SUBTOTAL(101,CA8_wall70_it2_neigh4[walls])</f>
        <v>2482.48</v>
      </c>
      <c r="E52" s="2">
        <f>SUBTOTAL(101,CA8_wall70_it2_neigh4[floor_percent])</f>
        <v>7.0079999999999995E-3</v>
      </c>
      <c r="F52" s="2">
        <f>SUBTOTAL(101,CA8_wall70_it2_neigh4[wall_percent])</f>
        <v>0.99299199999999965</v>
      </c>
      <c r="G52">
        <f>SUBTOTAL(101,CA8_wall70_it2_neigh4[longest_shortest_path])</f>
        <v>2.3199999999999998</v>
      </c>
      <c r="H52">
        <f>SUBTOTAL(101,CA8_wall70_it2_neigh4[component_count])</f>
        <v>7.5</v>
      </c>
      <c r="I52">
        <f>SUBTOTAL(101,CA8_wall70_it2_neigh4[max_component_size])</f>
        <v>5.9</v>
      </c>
      <c r="J52">
        <f>SUBTOTAL(101,CA8_wall70_it2_neigh4[connectivity_ratio])</f>
        <v>0.34690634000000004</v>
      </c>
      <c r="K52">
        <f>SUBTOTAL(101,CA8_wall70_it2_neigh4[room_count])</f>
        <v>0.57999999999999996</v>
      </c>
      <c r="L52">
        <f>SUBTOTAL(101,CA8_wall70_it2_neigh4[avg_room_size])</f>
        <v>1.24333334</v>
      </c>
      <c r="M52">
        <f>SUBTOTAL(101,CA8_wall70_it2_neigh4[max_room_size])</f>
        <v>1.32</v>
      </c>
      <c r="N52">
        <f>SUBTOTAL(101,CA8_wall70_it2_neigh4[min_room_size])</f>
        <v>1.1599999999999999</v>
      </c>
      <c r="O52">
        <f>SUBTOTAL(101,CA8_wall70_it2_neigh4[room_tiles])</f>
        <v>1.54</v>
      </c>
      <c r="P52" s="2">
        <f>SUBTOTAL(101,CA8_wall70_it2_neigh4[room_ratio])</f>
        <v>5.9835940000000004E-2</v>
      </c>
    </row>
    <row r="53" spans="1:16" x14ac:dyDescent="0.25">
      <c r="A53" s="22" t="s">
        <v>29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A953-8DA5-4A8D-AE45-A467480AA718}">
  <dimension ref="A1:P53"/>
  <sheetViews>
    <sheetView topLeftCell="A28" workbookViewId="0">
      <selection activeCell="A53" sqref="A53:F53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563234237</v>
      </c>
      <c r="C2">
        <v>2431</v>
      </c>
      <c r="D2">
        <v>69</v>
      </c>
      <c r="E2" s="1">
        <v>0.97240000000000004</v>
      </c>
      <c r="F2" s="1">
        <v>2.76E-2</v>
      </c>
      <c r="G2">
        <v>49</v>
      </c>
      <c r="H2">
        <v>1</v>
      </c>
      <c r="I2">
        <v>2431</v>
      </c>
      <c r="J2" s="20">
        <v>1</v>
      </c>
      <c r="K2">
        <v>1</v>
      </c>
      <c r="L2">
        <v>2396</v>
      </c>
      <c r="M2">
        <v>2396</v>
      </c>
      <c r="N2">
        <v>2396</v>
      </c>
      <c r="O2">
        <v>2396</v>
      </c>
      <c r="P2" s="1">
        <v>0.98560300000000001</v>
      </c>
    </row>
    <row r="3" spans="1:16" x14ac:dyDescent="0.25">
      <c r="A3" t="s">
        <v>16</v>
      </c>
      <c r="B3" s="19">
        <v>1997071601</v>
      </c>
      <c r="C3">
        <v>2396</v>
      </c>
      <c r="D3">
        <v>104</v>
      </c>
      <c r="E3" s="1">
        <v>0.95840000000000003</v>
      </c>
      <c r="F3" s="1">
        <v>4.1599999999999998E-2</v>
      </c>
      <c r="G3">
        <v>50</v>
      </c>
      <c r="H3">
        <v>1</v>
      </c>
      <c r="I3">
        <v>2396</v>
      </c>
      <c r="J3" s="20">
        <v>1</v>
      </c>
      <c r="K3">
        <v>1</v>
      </c>
      <c r="L3">
        <v>2344</v>
      </c>
      <c r="M3">
        <v>2344</v>
      </c>
      <c r="N3">
        <v>2344</v>
      </c>
      <c r="O3">
        <v>2344</v>
      </c>
      <c r="P3" s="1">
        <v>0.97829699999999997</v>
      </c>
    </row>
    <row r="4" spans="1:16" x14ac:dyDescent="0.25">
      <c r="A4" t="s">
        <v>16</v>
      </c>
      <c r="B4" s="19">
        <v>2097024649</v>
      </c>
      <c r="C4">
        <v>2432</v>
      </c>
      <c r="D4">
        <v>68</v>
      </c>
      <c r="E4" s="1">
        <v>0.9728</v>
      </c>
      <c r="F4" s="1">
        <v>2.7199999999999998E-2</v>
      </c>
      <c r="G4">
        <v>49</v>
      </c>
      <c r="H4">
        <v>1</v>
      </c>
      <c r="I4">
        <v>2432</v>
      </c>
      <c r="J4" s="20">
        <v>1</v>
      </c>
      <c r="K4">
        <v>1</v>
      </c>
      <c r="L4">
        <v>2397</v>
      </c>
      <c r="M4">
        <v>2397</v>
      </c>
      <c r="N4">
        <v>2397</v>
      </c>
      <c r="O4">
        <v>2397</v>
      </c>
      <c r="P4" s="1">
        <v>0.98560899999999996</v>
      </c>
    </row>
    <row r="5" spans="1:16" x14ac:dyDescent="0.25">
      <c r="A5" t="s">
        <v>16</v>
      </c>
      <c r="B5" s="19">
        <v>1618450477</v>
      </c>
      <c r="C5">
        <v>2449</v>
      </c>
      <c r="D5">
        <v>51</v>
      </c>
      <c r="E5" s="1">
        <v>0.97960000000000003</v>
      </c>
      <c r="F5" s="1">
        <v>2.0400000000000001E-2</v>
      </c>
      <c r="G5">
        <v>49</v>
      </c>
      <c r="H5">
        <v>1</v>
      </c>
      <c r="I5">
        <v>2449</v>
      </c>
      <c r="J5" s="20">
        <v>1</v>
      </c>
      <c r="K5">
        <v>1</v>
      </c>
      <c r="L5">
        <v>2421</v>
      </c>
      <c r="M5">
        <v>2421</v>
      </c>
      <c r="N5">
        <v>2421</v>
      </c>
      <c r="O5">
        <v>2421</v>
      </c>
      <c r="P5" s="1">
        <v>0.98856699999999997</v>
      </c>
    </row>
    <row r="6" spans="1:16" x14ac:dyDescent="0.25">
      <c r="A6" t="s">
        <v>16</v>
      </c>
      <c r="B6" s="19">
        <v>1420807670</v>
      </c>
      <c r="C6">
        <v>2418</v>
      </c>
      <c r="D6">
        <v>82</v>
      </c>
      <c r="E6" s="1">
        <v>0.96719999999999995</v>
      </c>
      <c r="F6" s="1">
        <v>3.2800000000000003E-2</v>
      </c>
      <c r="G6">
        <v>49</v>
      </c>
      <c r="H6">
        <v>1</v>
      </c>
      <c r="I6">
        <v>2418</v>
      </c>
      <c r="J6" s="20">
        <v>1</v>
      </c>
      <c r="K6">
        <v>1</v>
      </c>
      <c r="L6">
        <v>2378</v>
      </c>
      <c r="M6">
        <v>2378</v>
      </c>
      <c r="N6">
        <v>2378</v>
      </c>
      <c r="O6">
        <v>2378</v>
      </c>
      <c r="P6" s="1">
        <v>0.98345700000000003</v>
      </c>
    </row>
    <row r="7" spans="1:16" x14ac:dyDescent="0.25">
      <c r="A7" t="s">
        <v>16</v>
      </c>
      <c r="B7" s="19">
        <v>95765303</v>
      </c>
      <c r="C7">
        <v>2453</v>
      </c>
      <c r="D7">
        <v>47</v>
      </c>
      <c r="E7" s="1">
        <v>0.98119999999999996</v>
      </c>
      <c r="F7" s="1">
        <v>1.8800000000000001E-2</v>
      </c>
      <c r="G7">
        <v>49</v>
      </c>
      <c r="H7">
        <v>1</v>
      </c>
      <c r="I7">
        <v>2453</v>
      </c>
      <c r="J7" s="20">
        <v>1</v>
      </c>
      <c r="K7">
        <v>1</v>
      </c>
      <c r="L7">
        <v>2421</v>
      </c>
      <c r="M7">
        <v>2421</v>
      </c>
      <c r="N7">
        <v>2421</v>
      </c>
      <c r="O7">
        <v>2421</v>
      </c>
      <c r="P7" s="1">
        <v>0.98695500000000003</v>
      </c>
    </row>
    <row r="8" spans="1:16" x14ac:dyDescent="0.25">
      <c r="A8" t="s">
        <v>16</v>
      </c>
      <c r="B8" s="19">
        <v>1223372645</v>
      </c>
      <c r="C8">
        <v>2415</v>
      </c>
      <c r="D8">
        <v>85</v>
      </c>
      <c r="E8" s="1">
        <v>0.96599999999999997</v>
      </c>
      <c r="F8" s="1">
        <v>3.4000000000000002E-2</v>
      </c>
      <c r="G8">
        <v>50</v>
      </c>
      <c r="H8">
        <v>1</v>
      </c>
      <c r="I8">
        <v>2415</v>
      </c>
      <c r="J8" s="20">
        <v>1</v>
      </c>
      <c r="K8">
        <v>1</v>
      </c>
      <c r="L8">
        <v>2374</v>
      </c>
      <c r="M8">
        <v>2374</v>
      </c>
      <c r="N8">
        <v>2374</v>
      </c>
      <c r="O8">
        <v>2374</v>
      </c>
      <c r="P8" s="1">
        <v>0.98302299999999998</v>
      </c>
    </row>
    <row r="9" spans="1:16" x14ac:dyDescent="0.25">
      <c r="A9" t="s">
        <v>16</v>
      </c>
      <c r="B9" s="19">
        <v>749953934</v>
      </c>
      <c r="C9">
        <v>2416</v>
      </c>
      <c r="D9">
        <v>84</v>
      </c>
      <c r="E9" s="1">
        <v>0.96640000000000004</v>
      </c>
      <c r="F9" s="1">
        <v>3.3599999999999998E-2</v>
      </c>
      <c r="G9">
        <v>50</v>
      </c>
      <c r="H9">
        <v>1</v>
      </c>
      <c r="I9">
        <v>2416</v>
      </c>
      <c r="J9" s="20">
        <v>1</v>
      </c>
      <c r="K9">
        <v>1</v>
      </c>
      <c r="L9">
        <v>2383</v>
      </c>
      <c r="M9">
        <v>2383</v>
      </c>
      <c r="N9">
        <v>2383</v>
      </c>
      <c r="O9">
        <v>2383</v>
      </c>
      <c r="P9" s="1">
        <v>0.98634100000000002</v>
      </c>
    </row>
    <row r="10" spans="1:16" x14ac:dyDescent="0.25">
      <c r="A10" t="s">
        <v>16</v>
      </c>
      <c r="B10" s="19">
        <v>783878347</v>
      </c>
      <c r="C10">
        <v>2414</v>
      </c>
      <c r="D10">
        <v>86</v>
      </c>
      <c r="E10" s="1">
        <v>0.96560000000000001</v>
      </c>
      <c r="F10" s="1">
        <v>3.44E-2</v>
      </c>
      <c r="G10">
        <v>51</v>
      </c>
      <c r="H10">
        <v>1</v>
      </c>
      <c r="I10">
        <v>2414</v>
      </c>
      <c r="J10" s="20">
        <v>1</v>
      </c>
      <c r="K10">
        <v>1</v>
      </c>
      <c r="L10">
        <v>2371</v>
      </c>
      <c r="M10">
        <v>2371</v>
      </c>
      <c r="N10">
        <v>2371</v>
      </c>
      <c r="O10">
        <v>2371</v>
      </c>
      <c r="P10" s="1">
        <v>0.98218700000000003</v>
      </c>
    </row>
    <row r="11" spans="1:16" x14ac:dyDescent="0.25">
      <c r="A11" t="s">
        <v>16</v>
      </c>
      <c r="B11" s="19">
        <v>624601329</v>
      </c>
      <c r="C11">
        <v>2377</v>
      </c>
      <c r="D11">
        <v>123</v>
      </c>
      <c r="E11" s="1">
        <v>0.95079999999999998</v>
      </c>
      <c r="F11" s="1">
        <v>4.9200000000000001E-2</v>
      </c>
      <c r="G11">
        <v>51</v>
      </c>
      <c r="H11">
        <v>1</v>
      </c>
      <c r="I11">
        <v>2377</v>
      </c>
      <c r="J11" s="20">
        <v>1</v>
      </c>
      <c r="K11">
        <v>1</v>
      </c>
      <c r="L11">
        <v>2328</v>
      </c>
      <c r="M11">
        <v>2328</v>
      </c>
      <c r="N11">
        <v>2328</v>
      </c>
      <c r="O11">
        <v>2328</v>
      </c>
      <c r="P11" s="1">
        <v>0.97938599999999998</v>
      </c>
    </row>
    <row r="12" spans="1:16" x14ac:dyDescent="0.25">
      <c r="A12" t="s">
        <v>16</v>
      </c>
      <c r="B12" s="19">
        <v>130277815</v>
      </c>
      <c r="C12">
        <v>2427</v>
      </c>
      <c r="D12">
        <v>73</v>
      </c>
      <c r="E12" s="1">
        <v>0.9708</v>
      </c>
      <c r="F12" s="1">
        <v>2.92E-2</v>
      </c>
      <c r="G12">
        <v>50</v>
      </c>
      <c r="H12">
        <v>1</v>
      </c>
      <c r="I12">
        <v>2427</v>
      </c>
      <c r="J12" s="20">
        <v>1</v>
      </c>
      <c r="K12">
        <v>1</v>
      </c>
      <c r="L12">
        <v>2389</v>
      </c>
      <c r="M12">
        <v>2389</v>
      </c>
      <c r="N12">
        <v>2389</v>
      </c>
      <c r="O12">
        <v>2389</v>
      </c>
      <c r="P12" s="1">
        <v>0.98434299999999997</v>
      </c>
    </row>
    <row r="13" spans="1:16" x14ac:dyDescent="0.25">
      <c r="A13" t="s">
        <v>16</v>
      </c>
      <c r="B13" s="19">
        <v>363687025</v>
      </c>
      <c r="C13">
        <v>2417</v>
      </c>
      <c r="D13">
        <v>83</v>
      </c>
      <c r="E13" s="1">
        <v>0.96679999999999999</v>
      </c>
      <c r="F13" s="1">
        <v>3.32E-2</v>
      </c>
      <c r="G13">
        <v>49</v>
      </c>
      <c r="H13">
        <v>1</v>
      </c>
      <c r="I13">
        <v>2417</v>
      </c>
      <c r="J13" s="20">
        <v>1</v>
      </c>
      <c r="K13">
        <v>1</v>
      </c>
      <c r="L13">
        <v>2373</v>
      </c>
      <c r="M13">
        <v>2373</v>
      </c>
      <c r="N13">
        <v>2373</v>
      </c>
      <c r="O13">
        <v>2373</v>
      </c>
      <c r="P13" s="1">
        <v>0.981796</v>
      </c>
    </row>
    <row r="14" spans="1:16" x14ac:dyDescent="0.25">
      <c r="A14" t="s">
        <v>16</v>
      </c>
      <c r="B14" s="19">
        <v>1943782159</v>
      </c>
      <c r="C14">
        <v>2454</v>
      </c>
      <c r="D14">
        <v>46</v>
      </c>
      <c r="E14" s="1">
        <v>0.98160000000000003</v>
      </c>
      <c r="F14" s="1">
        <v>1.84E-2</v>
      </c>
      <c r="G14">
        <v>49</v>
      </c>
      <c r="H14">
        <v>1</v>
      </c>
      <c r="I14">
        <v>2454</v>
      </c>
      <c r="J14" s="20">
        <v>1</v>
      </c>
      <c r="K14">
        <v>1</v>
      </c>
      <c r="L14">
        <v>2421</v>
      </c>
      <c r="M14">
        <v>2421</v>
      </c>
      <c r="N14">
        <v>2421</v>
      </c>
      <c r="O14">
        <v>2421</v>
      </c>
      <c r="P14" s="1">
        <v>0.98655300000000001</v>
      </c>
    </row>
    <row r="15" spans="1:16" x14ac:dyDescent="0.25">
      <c r="A15" t="s">
        <v>16</v>
      </c>
      <c r="B15" s="19">
        <v>998743733</v>
      </c>
      <c r="C15">
        <v>2412</v>
      </c>
      <c r="D15">
        <v>88</v>
      </c>
      <c r="E15" s="1">
        <v>0.96479999999999999</v>
      </c>
      <c r="F15" s="1">
        <v>3.5200000000000002E-2</v>
      </c>
      <c r="G15">
        <v>51</v>
      </c>
      <c r="H15">
        <v>1</v>
      </c>
      <c r="I15">
        <v>2412</v>
      </c>
      <c r="J15" s="20">
        <v>1</v>
      </c>
      <c r="K15">
        <v>1</v>
      </c>
      <c r="L15">
        <v>2372</v>
      </c>
      <c r="M15">
        <v>2372</v>
      </c>
      <c r="N15">
        <v>2372</v>
      </c>
      <c r="O15">
        <v>2372</v>
      </c>
      <c r="P15" s="1">
        <v>0.98341599999999996</v>
      </c>
    </row>
    <row r="16" spans="1:16" x14ac:dyDescent="0.25">
      <c r="A16" t="s">
        <v>16</v>
      </c>
      <c r="B16" s="19">
        <v>1802229723</v>
      </c>
      <c r="C16">
        <v>2374</v>
      </c>
      <c r="D16">
        <v>126</v>
      </c>
      <c r="E16" s="1">
        <v>0.9496</v>
      </c>
      <c r="F16" s="1">
        <v>5.04E-2</v>
      </c>
      <c r="G16">
        <v>50</v>
      </c>
      <c r="H16">
        <v>1</v>
      </c>
      <c r="I16">
        <v>2374</v>
      </c>
      <c r="J16" s="20">
        <v>1</v>
      </c>
      <c r="K16">
        <v>1</v>
      </c>
      <c r="L16">
        <v>2315</v>
      </c>
      <c r="M16">
        <v>2315</v>
      </c>
      <c r="N16">
        <v>2315</v>
      </c>
      <c r="O16">
        <v>2315</v>
      </c>
      <c r="P16" s="1">
        <v>0.97514699999999999</v>
      </c>
    </row>
    <row r="17" spans="1:16" x14ac:dyDescent="0.25">
      <c r="A17" t="s">
        <v>16</v>
      </c>
      <c r="B17" s="19">
        <v>775253051</v>
      </c>
      <c r="C17">
        <v>2444</v>
      </c>
      <c r="D17">
        <v>56</v>
      </c>
      <c r="E17" s="1">
        <v>0.97760000000000002</v>
      </c>
      <c r="F17" s="1">
        <v>2.24E-2</v>
      </c>
      <c r="G17">
        <v>49</v>
      </c>
      <c r="H17">
        <v>1</v>
      </c>
      <c r="I17">
        <v>2444</v>
      </c>
      <c r="J17" s="20">
        <v>1</v>
      </c>
      <c r="K17">
        <v>1</v>
      </c>
      <c r="L17">
        <v>2416</v>
      </c>
      <c r="M17">
        <v>2416</v>
      </c>
      <c r="N17">
        <v>2416</v>
      </c>
      <c r="O17">
        <v>2416</v>
      </c>
      <c r="P17" s="1">
        <v>0.98854299999999995</v>
      </c>
    </row>
    <row r="18" spans="1:16" x14ac:dyDescent="0.25">
      <c r="A18" t="s">
        <v>16</v>
      </c>
      <c r="B18" s="19">
        <v>1890865856</v>
      </c>
      <c r="C18">
        <v>2388</v>
      </c>
      <c r="D18">
        <v>112</v>
      </c>
      <c r="E18" s="1">
        <v>0.95520000000000005</v>
      </c>
      <c r="F18" s="1">
        <v>4.48E-2</v>
      </c>
      <c r="G18">
        <v>49</v>
      </c>
      <c r="H18">
        <v>1</v>
      </c>
      <c r="I18">
        <v>2388</v>
      </c>
      <c r="J18" s="20">
        <v>1</v>
      </c>
      <c r="K18">
        <v>1</v>
      </c>
      <c r="L18">
        <v>2336</v>
      </c>
      <c r="M18">
        <v>2336</v>
      </c>
      <c r="N18">
        <v>2336</v>
      </c>
      <c r="O18">
        <v>2336</v>
      </c>
      <c r="P18" s="1">
        <v>0.97822399999999998</v>
      </c>
    </row>
    <row r="19" spans="1:16" x14ac:dyDescent="0.25">
      <c r="A19" t="s">
        <v>16</v>
      </c>
      <c r="B19" s="19">
        <v>1711297176</v>
      </c>
      <c r="C19">
        <v>2388</v>
      </c>
      <c r="D19">
        <v>112</v>
      </c>
      <c r="E19" s="1">
        <v>0.95520000000000005</v>
      </c>
      <c r="F19" s="1">
        <v>4.48E-2</v>
      </c>
      <c r="G19">
        <v>49</v>
      </c>
      <c r="H19">
        <v>1</v>
      </c>
      <c r="I19">
        <v>2388</v>
      </c>
      <c r="J19" s="20">
        <v>1</v>
      </c>
      <c r="K19">
        <v>1</v>
      </c>
      <c r="L19">
        <v>2340</v>
      </c>
      <c r="M19">
        <v>2340</v>
      </c>
      <c r="N19">
        <v>2340</v>
      </c>
      <c r="O19">
        <v>2340</v>
      </c>
      <c r="P19" s="1">
        <v>0.97989899999999996</v>
      </c>
    </row>
    <row r="20" spans="1:16" x14ac:dyDescent="0.25">
      <c r="A20" t="s">
        <v>16</v>
      </c>
      <c r="B20" s="19">
        <v>1240054160</v>
      </c>
      <c r="C20">
        <v>2405</v>
      </c>
      <c r="D20">
        <v>95</v>
      </c>
      <c r="E20" s="1">
        <v>0.96199999999999997</v>
      </c>
      <c r="F20" s="1">
        <v>3.7999999999999999E-2</v>
      </c>
      <c r="G20">
        <v>51</v>
      </c>
      <c r="H20">
        <v>1</v>
      </c>
      <c r="I20">
        <v>2405</v>
      </c>
      <c r="J20" s="20">
        <v>1</v>
      </c>
      <c r="K20">
        <v>1</v>
      </c>
      <c r="L20">
        <v>2361</v>
      </c>
      <c r="M20">
        <v>2361</v>
      </c>
      <c r="N20">
        <v>2361</v>
      </c>
      <c r="O20">
        <v>2361</v>
      </c>
      <c r="P20" s="1">
        <v>0.98170500000000005</v>
      </c>
    </row>
    <row r="21" spans="1:16" x14ac:dyDescent="0.25">
      <c r="A21" t="s">
        <v>16</v>
      </c>
      <c r="B21" s="19">
        <v>1763916322</v>
      </c>
      <c r="C21">
        <v>2416</v>
      </c>
      <c r="D21">
        <v>84</v>
      </c>
      <c r="E21" s="1">
        <v>0.96640000000000004</v>
      </c>
      <c r="F21" s="1">
        <v>3.3599999999999998E-2</v>
      </c>
      <c r="G21">
        <v>50</v>
      </c>
      <c r="H21">
        <v>1</v>
      </c>
      <c r="I21">
        <v>2416</v>
      </c>
      <c r="J21" s="20">
        <v>1</v>
      </c>
      <c r="K21">
        <v>1</v>
      </c>
      <c r="L21">
        <v>2373</v>
      </c>
      <c r="M21">
        <v>2373</v>
      </c>
      <c r="N21">
        <v>2373</v>
      </c>
      <c r="O21">
        <v>2373</v>
      </c>
      <c r="P21" s="1">
        <v>0.98220200000000002</v>
      </c>
    </row>
    <row r="22" spans="1:16" x14ac:dyDescent="0.25">
      <c r="A22" t="s">
        <v>16</v>
      </c>
      <c r="B22" s="19">
        <v>1421889738</v>
      </c>
      <c r="C22">
        <v>2425</v>
      </c>
      <c r="D22">
        <v>75</v>
      </c>
      <c r="E22" s="1">
        <v>0.97</v>
      </c>
      <c r="F22" s="1">
        <v>0.03</v>
      </c>
      <c r="G22">
        <v>49</v>
      </c>
      <c r="H22">
        <v>1</v>
      </c>
      <c r="I22">
        <v>2425</v>
      </c>
      <c r="J22" s="20">
        <v>1</v>
      </c>
      <c r="K22">
        <v>1</v>
      </c>
      <c r="L22">
        <v>2393</v>
      </c>
      <c r="M22">
        <v>2393</v>
      </c>
      <c r="N22">
        <v>2393</v>
      </c>
      <c r="O22">
        <v>2393</v>
      </c>
      <c r="P22" s="1">
        <v>0.98680400000000001</v>
      </c>
    </row>
    <row r="23" spans="1:16" x14ac:dyDescent="0.25">
      <c r="A23" t="s">
        <v>16</v>
      </c>
      <c r="B23" s="19">
        <v>1239010051</v>
      </c>
      <c r="C23">
        <v>2428</v>
      </c>
      <c r="D23">
        <v>72</v>
      </c>
      <c r="E23" s="1">
        <v>0.97119999999999995</v>
      </c>
      <c r="F23" s="1">
        <v>2.8799999999999999E-2</v>
      </c>
      <c r="G23">
        <v>52</v>
      </c>
      <c r="H23">
        <v>1</v>
      </c>
      <c r="I23">
        <v>2428</v>
      </c>
      <c r="J23" s="20">
        <v>1</v>
      </c>
      <c r="K23">
        <v>1</v>
      </c>
      <c r="L23">
        <v>2391</v>
      </c>
      <c r="M23">
        <v>2391</v>
      </c>
      <c r="N23">
        <v>2391</v>
      </c>
      <c r="O23">
        <v>2391</v>
      </c>
      <c r="P23" s="1">
        <v>0.984761</v>
      </c>
    </row>
    <row r="24" spans="1:16" x14ac:dyDescent="0.25">
      <c r="A24" t="s">
        <v>16</v>
      </c>
      <c r="B24" s="19">
        <v>637679757</v>
      </c>
      <c r="C24">
        <v>2388</v>
      </c>
      <c r="D24">
        <v>112</v>
      </c>
      <c r="E24" s="1">
        <v>0.95520000000000005</v>
      </c>
      <c r="F24" s="1">
        <v>4.48E-2</v>
      </c>
      <c r="G24">
        <v>50</v>
      </c>
      <c r="H24">
        <v>1</v>
      </c>
      <c r="I24">
        <v>2388</v>
      </c>
      <c r="J24" s="20">
        <v>1</v>
      </c>
      <c r="K24">
        <v>1</v>
      </c>
      <c r="L24">
        <v>2338</v>
      </c>
      <c r="M24">
        <v>2338</v>
      </c>
      <c r="N24">
        <v>2338</v>
      </c>
      <c r="O24">
        <v>2338</v>
      </c>
      <c r="P24" s="1">
        <v>0.97906199999999999</v>
      </c>
    </row>
    <row r="25" spans="1:16" x14ac:dyDescent="0.25">
      <c r="A25" t="s">
        <v>16</v>
      </c>
      <c r="B25" s="19">
        <v>1699378288</v>
      </c>
      <c r="C25">
        <v>2441</v>
      </c>
      <c r="D25">
        <v>59</v>
      </c>
      <c r="E25" s="1">
        <v>0.97640000000000005</v>
      </c>
      <c r="F25" s="1">
        <v>2.3599999999999999E-2</v>
      </c>
      <c r="G25">
        <v>49</v>
      </c>
      <c r="H25">
        <v>1</v>
      </c>
      <c r="I25">
        <v>2441</v>
      </c>
      <c r="J25" s="20">
        <v>1</v>
      </c>
      <c r="K25">
        <v>1</v>
      </c>
      <c r="L25">
        <v>2403</v>
      </c>
      <c r="M25">
        <v>2403</v>
      </c>
      <c r="N25">
        <v>2403</v>
      </c>
      <c r="O25">
        <v>2403</v>
      </c>
      <c r="P25" s="1">
        <v>0.984433</v>
      </c>
    </row>
    <row r="26" spans="1:16" x14ac:dyDescent="0.25">
      <c r="A26" t="s">
        <v>16</v>
      </c>
      <c r="B26" s="19">
        <v>1275948235</v>
      </c>
      <c r="C26">
        <v>2394</v>
      </c>
      <c r="D26">
        <v>106</v>
      </c>
      <c r="E26" s="1">
        <v>0.95760000000000001</v>
      </c>
      <c r="F26" s="1">
        <v>4.24E-2</v>
      </c>
      <c r="G26">
        <v>49</v>
      </c>
      <c r="H26">
        <v>1</v>
      </c>
      <c r="I26">
        <v>2394</v>
      </c>
      <c r="J26" s="20">
        <v>1</v>
      </c>
      <c r="K26">
        <v>1</v>
      </c>
      <c r="L26">
        <v>2349</v>
      </c>
      <c r="M26">
        <v>2349</v>
      </c>
      <c r="N26">
        <v>2349</v>
      </c>
      <c r="O26">
        <v>2349</v>
      </c>
      <c r="P26" s="1">
        <v>0.98120300000000005</v>
      </c>
    </row>
    <row r="27" spans="1:16" x14ac:dyDescent="0.25">
      <c r="A27" t="s">
        <v>16</v>
      </c>
      <c r="B27" s="19">
        <v>629016763</v>
      </c>
      <c r="C27">
        <v>2415</v>
      </c>
      <c r="D27">
        <v>85</v>
      </c>
      <c r="E27" s="1">
        <v>0.96599999999999997</v>
      </c>
      <c r="F27" s="1">
        <v>3.4000000000000002E-2</v>
      </c>
      <c r="G27">
        <v>49</v>
      </c>
      <c r="H27">
        <v>1</v>
      </c>
      <c r="I27">
        <v>2415</v>
      </c>
      <c r="J27" s="20">
        <v>1</v>
      </c>
      <c r="K27">
        <v>1</v>
      </c>
      <c r="L27">
        <v>2381</v>
      </c>
      <c r="M27">
        <v>2381</v>
      </c>
      <c r="N27">
        <v>2381</v>
      </c>
      <c r="O27">
        <v>2381</v>
      </c>
      <c r="P27" s="1">
        <v>0.98592100000000005</v>
      </c>
    </row>
    <row r="28" spans="1:16" x14ac:dyDescent="0.25">
      <c r="A28" t="s">
        <v>16</v>
      </c>
      <c r="B28" s="19">
        <v>2111552515</v>
      </c>
      <c r="C28">
        <v>2450</v>
      </c>
      <c r="D28">
        <v>50</v>
      </c>
      <c r="E28" s="1">
        <v>0.98</v>
      </c>
      <c r="F28" s="1">
        <v>0.02</v>
      </c>
      <c r="G28">
        <v>49</v>
      </c>
      <c r="H28">
        <v>1</v>
      </c>
      <c r="I28">
        <v>2450</v>
      </c>
      <c r="J28" s="20">
        <v>1</v>
      </c>
      <c r="K28">
        <v>1</v>
      </c>
      <c r="L28">
        <v>2414</v>
      </c>
      <c r="M28">
        <v>2414</v>
      </c>
      <c r="N28">
        <v>2414</v>
      </c>
      <c r="O28">
        <v>2414</v>
      </c>
      <c r="P28" s="1">
        <v>0.98530600000000002</v>
      </c>
    </row>
    <row r="29" spans="1:16" x14ac:dyDescent="0.25">
      <c r="A29" t="s">
        <v>16</v>
      </c>
      <c r="B29" s="19">
        <v>434999809</v>
      </c>
      <c r="C29">
        <v>2451</v>
      </c>
      <c r="D29">
        <v>49</v>
      </c>
      <c r="E29" s="1">
        <v>0.98040000000000005</v>
      </c>
      <c r="F29" s="1">
        <v>1.9599999999999999E-2</v>
      </c>
      <c r="G29">
        <v>49</v>
      </c>
      <c r="H29">
        <v>1</v>
      </c>
      <c r="I29">
        <v>2451</v>
      </c>
      <c r="J29" s="20">
        <v>1</v>
      </c>
      <c r="K29">
        <v>1</v>
      </c>
      <c r="L29">
        <v>2424</v>
      </c>
      <c r="M29">
        <v>2424</v>
      </c>
      <c r="N29">
        <v>2424</v>
      </c>
      <c r="O29">
        <v>2424</v>
      </c>
      <c r="P29" s="1">
        <v>0.98898399999999997</v>
      </c>
    </row>
    <row r="30" spans="1:16" x14ac:dyDescent="0.25">
      <c r="A30" t="s">
        <v>16</v>
      </c>
      <c r="B30" s="19">
        <v>282013099</v>
      </c>
      <c r="C30">
        <v>2365</v>
      </c>
      <c r="D30">
        <v>135</v>
      </c>
      <c r="E30" s="1">
        <v>0.94599999999999995</v>
      </c>
      <c r="F30" s="1">
        <v>5.3999999999999999E-2</v>
      </c>
      <c r="G30">
        <v>50</v>
      </c>
      <c r="H30">
        <v>1</v>
      </c>
      <c r="I30">
        <v>2365</v>
      </c>
      <c r="J30" s="20">
        <v>1</v>
      </c>
      <c r="K30">
        <v>1</v>
      </c>
      <c r="L30">
        <v>2314</v>
      </c>
      <c r="M30">
        <v>2314</v>
      </c>
      <c r="N30">
        <v>2314</v>
      </c>
      <c r="O30">
        <v>2314</v>
      </c>
      <c r="P30" s="1">
        <v>0.97843599999999997</v>
      </c>
    </row>
    <row r="31" spans="1:16" x14ac:dyDescent="0.25">
      <c r="A31" t="s">
        <v>16</v>
      </c>
      <c r="B31" s="19">
        <v>179967197</v>
      </c>
      <c r="C31">
        <v>2380</v>
      </c>
      <c r="D31">
        <v>120</v>
      </c>
      <c r="E31" s="1">
        <v>0.95199999999999996</v>
      </c>
      <c r="F31" s="1">
        <v>4.8000000000000001E-2</v>
      </c>
      <c r="G31">
        <v>49</v>
      </c>
      <c r="H31">
        <v>1</v>
      </c>
      <c r="I31">
        <v>2380</v>
      </c>
      <c r="J31" s="20">
        <v>1</v>
      </c>
      <c r="K31">
        <v>1</v>
      </c>
      <c r="L31">
        <v>2343</v>
      </c>
      <c r="M31">
        <v>2343</v>
      </c>
      <c r="N31">
        <v>2343</v>
      </c>
      <c r="O31">
        <v>2343</v>
      </c>
      <c r="P31" s="1">
        <v>0.98445400000000005</v>
      </c>
    </row>
    <row r="32" spans="1:16" x14ac:dyDescent="0.25">
      <c r="A32" t="s">
        <v>16</v>
      </c>
      <c r="B32" s="19">
        <v>1670277241</v>
      </c>
      <c r="C32">
        <v>2408</v>
      </c>
      <c r="D32">
        <v>92</v>
      </c>
      <c r="E32" s="1">
        <v>0.96319999999999995</v>
      </c>
      <c r="F32" s="1">
        <v>3.6799999999999999E-2</v>
      </c>
      <c r="G32">
        <v>49</v>
      </c>
      <c r="H32">
        <v>1</v>
      </c>
      <c r="I32">
        <v>2408</v>
      </c>
      <c r="J32" s="20">
        <v>1</v>
      </c>
      <c r="K32">
        <v>1</v>
      </c>
      <c r="L32">
        <v>2367</v>
      </c>
      <c r="M32">
        <v>2367</v>
      </c>
      <c r="N32">
        <v>2367</v>
      </c>
      <c r="O32">
        <v>2367</v>
      </c>
      <c r="P32" s="1">
        <v>0.98297299999999999</v>
      </c>
    </row>
    <row r="33" spans="1:16" x14ac:dyDescent="0.25">
      <c r="A33" t="s">
        <v>16</v>
      </c>
      <c r="B33" s="19">
        <v>506541444</v>
      </c>
      <c r="C33">
        <v>2382</v>
      </c>
      <c r="D33">
        <v>118</v>
      </c>
      <c r="E33" s="1">
        <v>0.95279999999999998</v>
      </c>
      <c r="F33" s="1">
        <v>4.7199999999999999E-2</v>
      </c>
      <c r="G33">
        <v>49</v>
      </c>
      <c r="H33">
        <v>1</v>
      </c>
      <c r="I33">
        <v>2382</v>
      </c>
      <c r="J33" s="20">
        <v>1</v>
      </c>
      <c r="K33">
        <v>1</v>
      </c>
      <c r="L33">
        <v>2338</v>
      </c>
      <c r="M33">
        <v>2338</v>
      </c>
      <c r="N33">
        <v>2338</v>
      </c>
      <c r="O33">
        <v>2338</v>
      </c>
      <c r="P33" s="1">
        <v>0.98152799999999996</v>
      </c>
    </row>
    <row r="34" spans="1:16" x14ac:dyDescent="0.25">
      <c r="A34" t="s">
        <v>16</v>
      </c>
      <c r="B34" s="19">
        <v>445837744</v>
      </c>
      <c r="C34">
        <v>2430</v>
      </c>
      <c r="D34">
        <v>70</v>
      </c>
      <c r="E34" s="1">
        <v>0.97199999999999998</v>
      </c>
      <c r="F34" s="1">
        <v>2.8000000000000001E-2</v>
      </c>
      <c r="G34">
        <v>49</v>
      </c>
      <c r="H34">
        <v>1</v>
      </c>
      <c r="I34">
        <v>2430</v>
      </c>
      <c r="J34" s="20">
        <v>1</v>
      </c>
      <c r="K34">
        <v>1</v>
      </c>
      <c r="L34">
        <v>2395</v>
      </c>
      <c r="M34">
        <v>2395</v>
      </c>
      <c r="N34">
        <v>2395</v>
      </c>
      <c r="O34">
        <v>2395</v>
      </c>
      <c r="P34" s="1">
        <v>0.98559699999999995</v>
      </c>
    </row>
    <row r="35" spans="1:16" x14ac:dyDescent="0.25">
      <c r="A35" t="s">
        <v>16</v>
      </c>
      <c r="B35" s="19">
        <v>415510634</v>
      </c>
      <c r="C35">
        <v>2412</v>
      </c>
      <c r="D35">
        <v>88</v>
      </c>
      <c r="E35" s="1">
        <v>0.96479999999999999</v>
      </c>
      <c r="F35" s="1">
        <v>3.5200000000000002E-2</v>
      </c>
      <c r="G35">
        <v>49</v>
      </c>
      <c r="H35">
        <v>1</v>
      </c>
      <c r="I35">
        <v>2412</v>
      </c>
      <c r="J35" s="20">
        <v>1</v>
      </c>
      <c r="K35">
        <v>1</v>
      </c>
      <c r="L35">
        <v>2366</v>
      </c>
      <c r="M35">
        <v>2366</v>
      </c>
      <c r="N35">
        <v>2366</v>
      </c>
      <c r="O35">
        <v>2366</v>
      </c>
      <c r="P35" s="1">
        <v>0.98092900000000005</v>
      </c>
    </row>
    <row r="36" spans="1:16" x14ac:dyDescent="0.25">
      <c r="A36" t="s">
        <v>16</v>
      </c>
      <c r="B36" s="19">
        <v>719565716</v>
      </c>
      <c r="C36">
        <v>2398</v>
      </c>
      <c r="D36">
        <v>102</v>
      </c>
      <c r="E36" s="1">
        <v>0.95920000000000005</v>
      </c>
      <c r="F36" s="1">
        <v>4.0800000000000003E-2</v>
      </c>
      <c r="G36">
        <v>50</v>
      </c>
      <c r="H36">
        <v>1</v>
      </c>
      <c r="I36">
        <v>2398</v>
      </c>
      <c r="J36" s="20">
        <v>1</v>
      </c>
      <c r="K36">
        <v>1</v>
      </c>
      <c r="L36">
        <v>2358</v>
      </c>
      <c r="M36">
        <v>2358</v>
      </c>
      <c r="N36">
        <v>2358</v>
      </c>
      <c r="O36">
        <v>2358</v>
      </c>
      <c r="P36" s="1">
        <v>0.98331900000000005</v>
      </c>
    </row>
    <row r="37" spans="1:16" x14ac:dyDescent="0.25">
      <c r="A37" t="s">
        <v>16</v>
      </c>
      <c r="B37" s="19">
        <v>1558508023</v>
      </c>
      <c r="C37">
        <v>2426</v>
      </c>
      <c r="D37">
        <v>74</v>
      </c>
      <c r="E37" s="1">
        <v>0.97040000000000004</v>
      </c>
      <c r="F37" s="1">
        <v>2.9600000000000001E-2</v>
      </c>
      <c r="G37">
        <v>49</v>
      </c>
      <c r="H37">
        <v>1</v>
      </c>
      <c r="I37">
        <v>2426</v>
      </c>
      <c r="J37" s="20">
        <v>1</v>
      </c>
      <c r="K37">
        <v>1</v>
      </c>
      <c r="L37">
        <v>2382</v>
      </c>
      <c r="M37">
        <v>2382</v>
      </c>
      <c r="N37">
        <v>2382</v>
      </c>
      <c r="O37">
        <v>2382</v>
      </c>
      <c r="P37" s="1">
        <v>0.98186300000000004</v>
      </c>
    </row>
    <row r="38" spans="1:16" x14ac:dyDescent="0.25">
      <c r="A38" t="s">
        <v>16</v>
      </c>
      <c r="B38" s="19">
        <v>655869211</v>
      </c>
      <c r="C38">
        <v>2416</v>
      </c>
      <c r="D38">
        <v>84</v>
      </c>
      <c r="E38" s="1">
        <v>0.96640000000000004</v>
      </c>
      <c r="F38" s="1">
        <v>3.3599999999999998E-2</v>
      </c>
      <c r="G38">
        <v>49</v>
      </c>
      <c r="H38">
        <v>1</v>
      </c>
      <c r="I38">
        <v>2416</v>
      </c>
      <c r="J38" s="20">
        <v>1</v>
      </c>
      <c r="K38">
        <v>1</v>
      </c>
      <c r="L38">
        <v>2378</v>
      </c>
      <c r="M38">
        <v>2378</v>
      </c>
      <c r="N38">
        <v>2378</v>
      </c>
      <c r="O38">
        <v>2378</v>
      </c>
      <c r="P38" s="1">
        <v>0.98427200000000004</v>
      </c>
    </row>
    <row r="39" spans="1:16" x14ac:dyDescent="0.25">
      <c r="A39" t="s">
        <v>16</v>
      </c>
      <c r="B39" s="19">
        <v>1408756499</v>
      </c>
      <c r="C39">
        <v>2427</v>
      </c>
      <c r="D39">
        <v>73</v>
      </c>
      <c r="E39" s="1">
        <v>0.9708</v>
      </c>
      <c r="F39" s="1">
        <v>2.92E-2</v>
      </c>
      <c r="G39">
        <v>49</v>
      </c>
      <c r="H39">
        <v>1</v>
      </c>
      <c r="I39">
        <v>2427</v>
      </c>
      <c r="J39" s="20">
        <v>1</v>
      </c>
      <c r="K39">
        <v>1</v>
      </c>
      <c r="L39">
        <v>2388</v>
      </c>
      <c r="M39">
        <v>2388</v>
      </c>
      <c r="N39">
        <v>2388</v>
      </c>
      <c r="O39">
        <v>2388</v>
      </c>
      <c r="P39" s="1">
        <v>0.983931</v>
      </c>
    </row>
    <row r="40" spans="1:16" x14ac:dyDescent="0.25">
      <c r="A40" t="s">
        <v>16</v>
      </c>
      <c r="B40" s="19">
        <v>801361862</v>
      </c>
      <c r="C40">
        <v>2409</v>
      </c>
      <c r="D40">
        <v>91</v>
      </c>
      <c r="E40" s="1">
        <v>0.96360000000000001</v>
      </c>
      <c r="F40" s="1">
        <v>3.6400000000000002E-2</v>
      </c>
      <c r="G40">
        <v>50</v>
      </c>
      <c r="H40">
        <v>1</v>
      </c>
      <c r="I40">
        <v>2409</v>
      </c>
      <c r="J40" s="20">
        <v>1</v>
      </c>
      <c r="K40">
        <v>1</v>
      </c>
      <c r="L40">
        <v>2373</v>
      </c>
      <c r="M40">
        <v>2373</v>
      </c>
      <c r="N40">
        <v>2373</v>
      </c>
      <c r="O40">
        <v>2373</v>
      </c>
      <c r="P40" s="1">
        <v>0.98505600000000004</v>
      </c>
    </row>
    <row r="41" spans="1:16" x14ac:dyDescent="0.25">
      <c r="A41" t="s">
        <v>16</v>
      </c>
      <c r="B41" s="19">
        <v>1985126986</v>
      </c>
      <c r="C41">
        <v>2433</v>
      </c>
      <c r="D41">
        <v>67</v>
      </c>
      <c r="E41" s="1">
        <v>0.97319999999999995</v>
      </c>
      <c r="F41" s="1">
        <v>2.6800000000000001E-2</v>
      </c>
      <c r="G41">
        <v>49</v>
      </c>
      <c r="H41">
        <v>1</v>
      </c>
      <c r="I41">
        <v>2433</v>
      </c>
      <c r="J41" s="20">
        <v>1</v>
      </c>
      <c r="K41">
        <v>1</v>
      </c>
      <c r="L41">
        <v>2400</v>
      </c>
      <c r="M41">
        <v>2400</v>
      </c>
      <c r="N41">
        <v>2400</v>
      </c>
      <c r="O41">
        <v>2400</v>
      </c>
      <c r="P41" s="1">
        <v>0.98643599999999998</v>
      </c>
    </row>
    <row r="42" spans="1:16" x14ac:dyDescent="0.25">
      <c r="A42" t="s">
        <v>16</v>
      </c>
      <c r="B42" s="19">
        <v>1733111595</v>
      </c>
      <c r="C42">
        <v>2423</v>
      </c>
      <c r="D42">
        <v>77</v>
      </c>
      <c r="E42" s="1">
        <v>0.96919999999999995</v>
      </c>
      <c r="F42" s="1">
        <v>3.0800000000000001E-2</v>
      </c>
      <c r="G42">
        <v>51</v>
      </c>
      <c r="H42">
        <v>4</v>
      </c>
      <c r="I42">
        <v>2420</v>
      </c>
      <c r="J42" s="20">
        <v>0.99876200000000004</v>
      </c>
      <c r="K42">
        <v>1</v>
      </c>
      <c r="L42">
        <v>2370</v>
      </c>
      <c r="M42">
        <v>2370</v>
      </c>
      <c r="N42">
        <v>2370</v>
      </c>
      <c r="O42">
        <v>2370</v>
      </c>
      <c r="P42" s="1">
        <v>0.97812600000000005</v>
      </c>
    </row>
    <row r="43" spans="1:16" x14ac:dyDescent="0.25">
      <c r="A43" t="s">
        <v>16</v>
      </c>
      <c r="B43" s="19">
        <v>20756999</v>
      </c>
      <c r="C43">
        <v>2432</v>
      </c>
      <c r="D43">
        <v>68</v>
      </c>
      <c r="E43" s="1">
        <v>0.9728</v>
      </c>
      <c r="F43" s="1">
        <v>2.7199999999999998E-2</v>
      </c>
      <c r="G43">
        <v>49</v>
      </c>
      <c r="H43">
        <v>1</v>
      </c>
      <c r="I43">
        <v>2432</v>
      </c>
      <c r="J43" s="20">
        <v>1</v>
      </c>
      <c r="K43">
        <v>1</v>
      </c>
      <c r="L43">
        <v>2394</v>
      </c>
      <c r="M43">
        <v>2394</v>
      </c>
      <c r="N43">
        <v>2394</v>
      </c>
      <c r="O43">
        <v>2394</v>
      </c>
      <c r="P43" s="1">
        <v>0.984375</v>
      </c>
    </row>
    <row r="44" spans="1:16" x14ac:dyDescent="0.25">
      <c r="A44" t="s">
        <v>16</v>
      </c>
      <c r="B44" s="19">
        <v>811755412</v>
      </c>
      <c r="C44">
        <v>2416</v>
      </c>
      <c r="D44">
        <v>84</v>
      </c>
      <c r="E44" s="1">
        <v>0.96640000000000004</v>
      </c>
      <c r="F44" s="1">
        <v>3.3599999999999998E-2</v>
      </c>
      <c r="G44">
        <v>49</v>
      </c>
      <c r="H44">
        <v>1</v>
      </c>
      <c r="I44">
        <v>2416</v>
      </c>
      <c r="J44" s="20">
        <v>1</v>
      </c>
      <c r="K44">
        <v>1</v>
      </c>
      <c r="L44">
        <v>2378</v>
      </c>
      <c r="M44">
        <v>2378</v>
      </c>
      <c r="N44">
        <v>2378</v>
      </c>
      <c r="O44">
        <v>2378</v>
      </c>
      <c r="P44" s="1">
        <v>0.98427200000000004</v>
      </c>
    </row>
    <row r="45" spans="1:16" x14ac:dyDescent="0.25">
      <c r="A45" t="s">
        <v>16</v>
      </c>
      <c r="B45" s="19">
        <v>2023535944</v>
      </c>
      <c r="C45">
        <v>2370</v>
      </c>
      <c r="D45">
        <v>130</v>
      </c>
      <c r="E45" s="1">
        <v>0.94799999999999995</v>
      </c>
      <c r="F45" s="1">
        <v>5.1999999999999998E-2</v>
      </c>
      <c r="G45">
        <v>50</v>
      </c>
      <c r="H45">
        <v>1</v>
      </c>
      <c r="I45">
        <v>2370</v>
      </c>
      <c r="J45" s="20">
        <v>1</v>
      </c>
      <c r="K45">
        <v>1</v>
      </c>
      <c r="L45">
        <v>2317</v>
      </c>
      <c r="M45">
        <v>2317</v>
      </c>
      <c r="N45">
        <v>2317</v>
      </c>
      <c r="O45">
        <v>2317</v>
      </c>
      <c r="P45" s="1">
        <v>0.97763699999999998</v>
      </c>
    </row>
    <row r="46" spans="1:16" x14ac:dyDescent="0.25">
      <c r="A46" t="s">
        <v>16</v>
      </c>
      <c r="B46" s="19">
        <v>2036907749</v>
      </c>
      <c r="C46">
        <v>2418</v>
      </c>
      <c r="D46">
        <v>82</v>
      </c>
      <c r="E46" s="1">
        <v>0.96719999999999995</v>
      </c>
      <c r="F46" s="1">
        <v>3.2800000000000003E-2</v>
      </c>
      <c r="G46">
        <v>50</v>
      </c>
      <c r="H46">
        <v>1</v>
      </c>
      <c r="I46">
        <v>2418</v>
      </c>
      <c r="J46" s="20">
        <v>1</v>
      </c>
      <c r="K46">
        <v>1</v>
      </c>
      <c r="L46">
        <v>2371</v>
      </c>
      <c r="M46">
        <v>2371</v>
      </c>
      <c r="N46">
        <v>2371</v>
      </c>
      <c r="O46">
        <v>2371</v>
      </c>
      <c r="P46" s="1">
        <v>0.98056200000000004</v>
      </c>
    </row>
    <row r="47" spans="1:16" x14ac:dyDescent="0.25">
      <c r="A47" t="s">
        <v>16</v>
      </c>
      <c r="B47" s="19">
        <v>1647627361</v>
      </c>
      <c r="C47">
        <v>2374</v>
      </c>
      <c r="D47">
        <v>126</v>
      </c>
      <c r="E47" s="1">
        <v>0.9496</v>
      </c>
      <c r="F47" s="1">
        <v>5.04E-2</v>
      </c>
      <c r="G47">
        <v>51</v>
      </c>
      <c r="H47">
        <v>1</v>
      </c>
      <c r="I47">
        <v>2374</v>
      </c>
      <c r="J47" s="20">
        <v>1</v>
      </c>
      <c r="K47">
        <v>1</v>
      </c>
      <c r="L47">
        <v>2340</v>
      </c>
      <c r="M47">
        <v>2340</v>
      </c>
      <c r="N47">
        <v>2340</v>
      </c>
      <c r="O47">
        <v>2340</v>
      </c>
      <c r="P47" s="1">
        <v>0.98567800000000005</v>
      </c>
    </row>
    <row r="48" spans="1:16" x14ac:dyDescent="0.25">
      <c r="A48" t="s">
        <v>16</v>
      </c>
      <c r="B48" s="19">
        <v>299527235</v>
      </c>
      <c r="C48">
        <v>2423</v>
      </c>
      <c r="D48">
        <v>77</v>
      </c>
      <c r="E48" s="1">
        <v>0.96919999999999995</v>
      </c>
      <c r="F48" s="1">
        <v>3.0800000000000001E-2</v>
      </c>
      <c r="G48">
        <v>49</v>
      </c>
      <c r="H48">
        <v>1</v>
      </c>
      <c r="I48">
        <v>2423</v>
      </c>
      <c r="J48" s="20">
        <v>1</v>
      </c>
      <c r="K48">
        <v>1</v>
      </c>
      <c r="L48">
        <v>2383</v>
      </c>
      <c r="M48">
        <v>2383</v>
      </c>
      <c r="N48">
        <v>2383</v>
      </c>
      <c r="O48">
        <v>2383</v>
      </c>
      <c r="P48" s="1">
        <v>0.98349200000000003</v>
      </c>
    </row>
    <row r="49" spans="1:16" x14ac:dyDescent="0.25">
      <c r="A49" t="s">
        <v>16</v>
      </c>
      <c r="B49" s="19">
        <v>1300423488</v>
      </c>
      <c r="C49">
        <v>2406</v>
      </c>
      <c r="D49">
        <v>94</v>
      </c>
      <c r="E49" s="1">
        <v>0.96240000000000003</v>
      </c>
      <c r="F49" s="1">
        <v>3.7600000000000001E-2</v>
      </c>
      <c r="G49">
        <v>49</v>
      </c>
      <c r="H49">
        <v>1</v>
      </c>
      <c r="I49">
        <v>2406</v>
      </c>
      <c r="J49" s="20">
        <v>1</v>
      </c>
      <c r="K49">
        <v>1</v>
      </c>
      <c r="L49">
        <v>2361</v>
      </c>
      <c r="M49">
        <v>2361</v>
      </c>
      <c r="N49">
        <v>2361</v>
      </c>
      <c r="O49">
        <v>2361</v>
      </c>
      <c r="P49" s="1">
        <v>0.98129699999999997</v>
      </c>
    </row>
    <row r="50" spans="1:16" x14ac:dyDescent="0.25">
      <c r="A50" t="s">
        <v>16</v>
      </c>
      <c r="B50" s="19">
        <v>828822324</v>
      </c>
      <c r="C50">
        <v>2450</v>
      </c>
      <c r="D50">
        <v>50</v>
      </c>
      <c r="E50" s="1">
        <v>0.98</v>
      </c>
      <c r="F50" s="1">
        <v>0.02</v>
      </c>
      <c r="G50">
        <v>49</v>
      </c>
      <c r="H50">
        <v>1</v>
      </c>
      <c r="I50">
        <v>2450</v>
      </c>
      <c r="J50" s="20">
        <v>1</v>
      </c>
      <c r="K50">
        <v>1</v>
      </c>
      <c r="L50">
        <v>2417</v>
      </c>
      <c r="M50">
        <v>2417</v>
      </c>
      <c r="N50">
        <v>2417</v>
      </c>
      <c r="O50">
        <v>2417</v>
      </c>
      <c r="P50" s="1">
        <v>0.98653100000000005</v>
      </c>
    </row>
    <row r="51" spans="1:16" x14ac:dyDescent="0.25">
      <c r="A51" t="s">
        <v>16</v>
      </c>
      <c r="B51" s="19">
        <v>1751131770</v>
      </c>
      <c r="C51">
        <v>2392</v>
      </c>
      <c r="D51">
        <v>108</v>
      </c>
      <c r="E51" s="1">
        <v>0.95679999999999998</v>
      </c>
      <c r="F51" s="1">
        <v>4.3200000000000002E-2</v>
      </c>
      <c r="G51">
        <v>50</v>
      </c>
      <c r="H51">
        <v>1</v>
      </c>
      <c r="I51">
        <v>2392</v>
      </c>
      <c r="J51" s="20">
        <v>1</v>
      </c>
      <c r="K51">
        <v>1</v>
      </c>
      <c r="L51">
        <v>2346</v>
      </c>
      <c r="M51">
        <v>2346</v>
      </c>
      <c r="N51">
        <v>2346</v>
      </c>
      <c r="O51">
        <v>2346</v>
      </c>
      <c r="P51" s="1">
        <v>0.980769</v>
      </c>
    </row>
    <row r="52" spans="1:16" x14ac:dyDescent="0.25">
      <c r="A52" t="s">
        <v>26</v>
      </c>
      <c r="B52"/>
      <c r="C52">
        <f>SUBTOTAL(101,CA8_wall50_it2_neigh6[floors])</f>
        <v>2414.16</v>
      </c>
      <c r="D52">
        <f>SUBTOTAL(101,CA8_wall50_it2_neigh6[walls])</f>
        <v>85.84</v>
      </c>
      <c r="E52" s="2">
        <f>SUBTOTAL(101,CA8_wall50_it2_neigh6[floor_percent])</f>
        <v>0.96566399999999997</v>
      </c>
      <c r="F52" s="2">
        <f>SUBTOTAL(101,CA8_wall50_it2_neigh6[wall_percent])</f>
        <v>3.4335999999999992E-2</v>
      </c>
      <c r="G52">
        <f>SUBTOTAL(101,CA8_wall50_it2_neigh6[longest_shortest_path])</f>
        <v>49.56</v>
      </c>
      <c r="H52">
        <f>SUBTOTAL(101,CA8_wall50_it2_neigh6[component_count])</f>
        <v>1.06</v>
      </c>
      <c r="I52">
        <f>SUBTOTAL(101,CA8_wall50_it2_neigh6[max_component_size])</f>
        <v>2414.1</v>
      </c>
      <c r="J52">
        <f>SUBTOTAL(101,CA8_wall50_it2_neigh6[connectivity_ratio])</f>
        <v>0.99997523999999993</v>
      </c>
      <c r="K52">
        <f>SUBTOTAL(101,CA8_wall50_it2_neigh6[room_count])</f>
        <v>1</v>
      </c>
      <c r="L52">
        <f>SUBTOTAL(101,CA8_wall50_it2_neigh6[avg_room_size])</f>
        <v>2373.62</v>
      </c>
      <c r="M52">
        <f>SUBTOTAL(101,CA8_wall50_it2_neigh6[max_room_size])</f>
        <v>2373.62</v>
      </c>
      <c r="N52">
        <f>SUBTOTAL(101,CA8_wall50_it2_neigh6[min_room_size])</f>
        <v>2373.62</v>
      </c>
      <c r="O52">
        <f>SUBTOTAL(101,CA8_wall50_it2_neigh6[room_tiles])</f>
        <v>2373.62</v>
      </c>
      <c r="P52" s="2">
        <f>SUBTOTAL(101,CA8_wall50_it2_neigh6[room_ratio])</f>
        <v>0.98318519999999987</v>
      </c>
    </row>
    <row r="53" spans="1:16" x14ac:dyDescent="0.25">
      <c r="A53" s="22" t="s">
        <v>30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77CA-776D-4BD3-AF16-BF8D7A8955B0}">
  <dimension ref="A1:P53"/>
  <sheetViews>
    <sheetView topLeftCell="A19" workbookViewId="0">
      <selection activeCell="G54" sqref="G54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31591128</v>
      </c>
      <c r="C2">
        <v>1729</v>
      </c>
      <c r="D2">
        <v>771</v>
      </c>
      <c r="E2" s="1">
        <v>0.69159999999999999</v>
      </c>
      <c r="F2" s="1">
        <v>0.30840000000000001</v>
      </c>
      <c r="G2">
        <v>65</v>
      </c>
      <c r="H2">
        <v>4</v>
      </c>
      <c r="I2">
        <v>1686</v>
      </c>
      <c r="J2" s="20">
        <v>0.97513000000000005</v>
      </c>
      <c r="K2">
        <v>3</v>
      </c>
      <c r="L2">
        <v>496</v>
      </c>
      <c r="M2">
        <v>1456</v>
      </c>
      <c r="N2">
        <v>2</v>
      </c>
      <c r="O2">
        <v>1488</v>
      </c>
      <c r="P2" s="1">
        <v>0.86061299999999996</v>
      </c>
    </row>
    <row r="3" spans="1:16" x14ac:dyDescent="0.25">
      <c r="A3" t="s">
        <v>16</v>
      </c>
      <c r="B3" s="19">
        <v>60408631</v>
      </c>
      <c r="C3">
        <v>1805</v>
      </c>
      <c r="D3">
        <v>695</v>
      </c>
      <c r="E3" s="1">
        <v>0.72199999999999998</v>
      </c>
      <c r="F3" s="1">
        <v>0.27800000000000002</v>
      </c>
      <c r="G3">
        <v>62</v>
      </c>
      <c r="H3">
        <v>4</v>
      </c>
      <c r="I3">
        <v>1800</v>
      </c>
      <c r="J3" s="20">
        <v>0.99722999999999995</v>
      </c>
      <c r="K3">
        <v>1</v>
      </c>
      <c r="L3">
        <v>1604</v>
      </c>
      <c r="M3">
        <v>1604</v>
      </c>
      <c r="N3">
        <v>1604</v>
      </c>
      <c r="O3">
        <v>1604</v>
      </c>
      <c r="P3" s="1">
        <v>0.88864299999999996</v>
      </c>
    </row>
    <row r="4" spans="1:16" x14ac:dyDescent="0.25">
      <c r="A4" t="s">
        <v>16</v>
      </c>
      <c r="B4" s="19">
        <v>2063611765</v>
      </c>
      <c r="C4">
        <v>1703</v>
      </c>
      <c r="D4">
        <v>797</v>
      </c>
      <c r="E4" s="1">
        <v>0.68120000000000003</v>
      </c>
      <c r="F4" s="1">
        <v>0.31879999999999997</v>
      </c>
      <c r="G4">
        <v>64</v>
      </c>
      <c r="H4">
        <v>5</v>
      </c>
      <c r="I4">
        <v>1676</v>
      </c>
      <c r="J4" s="20">
        <v>0.98414599999999997</v>
      </c>
      <c r="K4">
        <v>3</v>
      </c>
      <c r="L4">
        <v>491.66666700000002</v>
      </c>
      <c r="M4">
        <v>1448</v>
      </c>
      <c r="N4">
        <v>11</v>
      </c>
      <c r="O4">
        <v>1475</v>
      </c>
      <c r="P4" s="1">
        <v>0.86611899999999997</v>
      </c>
    </row>
    <row r="5" spans="1:16" x14ac:dyDescent="0.25">
      <c r="A5" t="s">
        <v>16</v>
      </c>
      <c r="B5" s="19">
        <v>9259367</v>
      </c>
      <c r="C5">
        <v>1817</v>
      </c>
      <c r="D5">
        <v>683</v>
      </c>
      <c r="E5" s="1">
        <v>0.7268</v>
      </c>
      <c r="F5" s="1">
        <v>0.2732</v>
      </c>
      <c r="G5">
        <v>54</v>
      </c>
      <c r="H5">
        <v>3</v>
      </c>
      <c r="I5">
        <v>1811</v>
      </c>
      <c r="J5" s="20">
        <v>0.99669799999999997</v>
      </c>
      <c r="K5">
        <v>1</v>
      </c>
      <c r="L5">
        <v>1629</v>
      </c>
      <c r="M5">
        <v>1629</v>
      </c>
      <c r="N5">
        <v>1629</v>
      </c>
      <c r="O5">
        <v>1629</v>
      </c>
      <c r="P5" s="1">
        <v>0.89653300000000002</v>
      </c>
    </row>
    <row r="6" spans="1:16" x14ac:dyDescent="0.25">
      <c r="A6" t="s">
        <v>16</v>
      </c>
      <c r="B6" s="19">
        <v>520275809</v>
      </c>
      <c r="C6">
        <v>1699</v>
      </c>
      <c r="D6">
        <v>801</v>
      </c>
      <c r="E6" s="1">
        <v>0.67959999999999998</v>
      </c>
      <c r="F6" s="1">
        <v>0.32040000000000002</v>
      </c>
      <c r="G6">
        <v>62</v>
      </c>
      <c r="H6">
        <v>3</v>
      </c>
      <c r="I6">
        <v>1690</v>
      </c>
      <c r="J6" s="20">
        <v>0.994703</v>
      </c>
      <c r="K6">
        <v>2</v>
      </c>
      <c r="L6">
        <v>729</v>
      </c>
      <c r="M6">
        <v>1457</v>
      </c>
      <c r="N6">
        <v>1</v>
      </c>
      <c r="O6">
        <v>1458</v>
      </c>
      <c r="P6" s="1">
        <v>0.85815200000000003</v>
      </c>
    </row>
    <row r="7" spans="1:16" x14ac:dyDescent="0.25">
      <c r="A7" t="s">
        <v>16</v>
      </c>
      <c r="B7" s="19">
        <v>558396850</v>
      </c>
      <c r="C7">
        <v>1768</v>
      </c>
      <c r="D7">
        <v>732</v>
      </c>
      <c r="E7" s="1">
        <v>0.70720000000000005</v>
      </c>
      <c r="F7" s="1">
        <v>0.2928</v>
      </c>
      <c r="G7">
        <v>54</v>
      </c>
      <c r="H7">
        <v>9</v>
      </c>
      <c r="I7">
        <v>1637</v>
      </c>
      <c r="J7" s="20">
        <v>0.92590499999999998</v>
      </c>
      <c r="K7">
        <v>6</v>
      </c>
      <c r="L7">
        <v>259.66666700000002</v>
      </c>
      <c r="M7">
        <v>1469</v>
      </c>
      <c r="N7">
        <v>1</v>
      </c>
      <c r="O7">
        <v>1558</v>
      </c>
      <c r="P7" s="1">
        <v>0.88122199999999995</v>
      </c>
    </row>
    <row r="8" spans="1:16" x14ac:dyDescent="0.25">
      <c r="A8" t="s">
        <v>16</v>
      </c>
      <c r="B8" s="19">
        <v>1013294706</v>
      </c>
      <c r="C8">
        <v>1856</v>
      </c>
      <c r="D8">
        <v>644</v>
      </c>
      <c r="E8" s="1">
        <v>0.74239999999999995</v>
      </c>
      <c r="F8" s="1">
        <v>0.2576</v>
      </c>
      <c r="G8">
        <v>55</v>
      </c>
      <c r="H8">
        <v>2</v>
      </c>
      <c r="I8">
        <v>1851</v>
      </c>
      <c r="J8" s="20">
        <v>0.99730600000000003</v>
      </c>
      <c r="K8">
        <v>2</v>
      </c>
      <c r="L8">
        <v>841.5</v>
      </c>
      <c r="M8">
        <v>1682</v>
      </c>
      <c r="N8">
        <v>1</v>
      </c>
      <c r="O8">
        <v>1683</v>
      </c>
      <c r="P8" s="1">
        <v>0.90678899999999996</v>
      </c>
    </row>
    <row r="9" spans="1:16" x14ac:dyDescent="0.25">
      <c r="A9" t="s">
        <v>16</v>
      </c>
      <c r="B9" s="19">
        <v>1266468741</v>
      </c>
      <c r="C9">
        <v>1708</v>
      </c>
      <c r="D9">
        <v>792</v>
      </c>
      <c r="E9" s="1">
        <v>0.68320000000000003</v>
      </c>
      <c r="F9" s="1">
        <v>0.31680000000000003</v>
      </c>
      <c r="G9">
        <v>77</v>
      </c>
      <c r="H9">
        <v>3</v>
      </c>
      <c r="I9">
        <v>1675</v>
      </c>
      <c r="J9" s="20">
        <v>0.98067899999999997</v>
      </c>
      <c r="K9">
        <v>2</v>
      </c>
      <c r="L9">
        <v>739.5</v>
      </c>
      <c r="M9">
        <v>1457</v>
      </c>
      <c r="N9">
        <v>22</v>
      </c>
      <c r="O9">
        <v>1479</v>
      </c>
      <c r="P9" s="1">
        <v>0.86592499999999994</v>
      </c>
    </row>
    <row r="10" spans="1:16" x14ac:dyDescent="0.25">
      <c r="A10" t="s">
        <v>16</v>
      </c>
      <c r="B10" s="19">
        <v>904859920</v>
      </c>
      <c r="C10">
        <v>1879</v>
      </c>
      <c r="D10">
        <v>621</v>
      </c>
      <c r="E10" s="1">
        <v>0.75160000000000005</v>
      </c>
      <c r="F10" s="1">
        <v>0.24840000000000001</v>
      </c>
      <c r="G10">
        <v>55</v>
      </c>
      <c r="H10">
        <v>1</v>
      </c>
      <c r="I10">
        <v>1879</v>
      </c>
      <c r="J10" s="20">
        <v>1</v>
      </c>
      <c r="K10">
        <v>1</v>
      </c>
      <c r="L10">
        <v>1690</v>
      </c>
      <c r="M10">
        <v>1690</v>
      </c>
      <c r="N10">
        <v>1690</v>
      </c>
      <c r="O10">
        <v>1690</v>
      </c>
      <c r="P10" s="1">
        <v>0.89941499999999996</v>
      </c>
    </row>
    <row r="11" spans="1:16" x14ac:dyDescent="0.25">
      <c r="A11" t="s">
        <v>16</v>
      </c>
      <c r="B11" s="19">
        <v>1922699699</v>
      </c>
      <c r="C11">
        <v>1866</v>
      </c>
      <c r="D11">
        <v>634</v>
      </c>
      <c r="E11" s="1">
        <v>0.74639999999999995</v>
      </c>
      <c r="F11" s="1">
        <v>0.25359999999999999</v>
      </c>
      <c r="G11">
        <v>53</v>
      </c>
      <c r="H11">
        <v>6</v>
      </c>
      <c r="I11">
        <v>1860</v>
      </c>
      <c r="J11" s="20">
        <v>0.99678500000000003</v>
      </c>
      <c r="K11">
        <v>2</v>
      </c>
      <c r="L11">
        <v>834</v>
      </c>
      <c r="M11">
        <v>1658</v>
      </c>
      <c r="N11">
        <v>10</v>
      </c>
      <c r="O11">
        <v>1668</v>
      </c>
      <c r="P11" s="1">
        <v>0.89389099999999999</v>
      </c>
    </row>
    <row r="12" spans="1:16" x14ac:dyDescent="0.25">
      <c r="A12" t="s">
        <v>16</v>
      </c>
      <c r="B12" s="19">
        <v>130471507</v>
      </c>
      <c r="C12">
        <v>1751</v>
      </c>
      <c r="D12">
        <v>749</v>
      </c>
      <c r="E12" s="1">
        <v>0.70040000000000002</v>
      </c>
      <c r="F12" s="1">
        <v>0.29959999999999998</v>
      </c>
      <c r="G12">
        <v>55</v>
      </c>
      <c r="H12">
        <v>1</v>
      </c>
      <c r="I12">
        <v>1751</v>
      </c>
      <c r="J12" s="20">
        <v>1</v>
      </c>
      <c r="K12">
        <v>3</v>
      </c>
      <c r="L12">
        <v>511</v>
      </c>
      <c r="M12">
        <v>1488</v>
      </c>
      <c r="N12">
        <v>16</v>
      </c>
      <c r="O12">
        <v>1533</v>
      </c>
      <c r="P12" s="1">
        <v>0.87549999999999994</v>
      </c>
    </row>
    <row r="13" spans="1:16" x14ac:dyDescent="0.25">
      <c r="A13" t="s">
        <v>16</v>
      </c>
      <c r="B13" s="19">
        <v>609325393</v>
      </c>
      <c r="C13">
        <v>1608</v>
      </c>
      <c r="D13">
        <v>892</v>
      </c>
      <c r="E13" s="1">
        <v>0.64319999999999999</v>
      </c>
      <c r="F13" s="1">
        <v>0.35680000000000001</v>
      </c>
      <c r="G13">
        <v>63</v>
      </c>
      <c r="H13">
        <v>8</v>
      </c>
      <c r="I13">
        <v>1535</v>
      </c>
      <c r="J13" s="20">
        <v>0.95460199999999995</v>
      </c>
      <c r="K13">
        <v>6</v>
      </c>
      <c r="L13">
        <v>230.83333300000001</v>
      </c>
      <c r="M13">
        <v>1256</v>
      </c>
      <c r="N13">
        <v>2</v>
      </c>
      <c r="O13">
        <v>1385</v>
      </c>
      <c r="P13" s="1">
        <v>0.86131800000000003</v>
      </c>
    </row>
    <row r="14" spans="1:16" x14ac:dyDescent="0.25">
      <c r="A14" t="s">
        <v>16</v>
      </c>
      <c r="B14" s="19">
        <v>2073061935</v>
      </c>
      <c r="C14">
        <v>1685</v>
      </c>
      <c r="D14">
        <v>815</v>
      </c>
      <c r="E14" s="1">
        <v>0.67400000000000004</v>
      </c>
      <c r="F14" s="1">
        <v>0.32600000000000001</v>
      </c>
      <c r="G14">
        <v>60</v>
      </c>
      <c r="H14">
        <v>3</v>
      </c>
      <c r="I14">
        <v>1608</v>
      </c>
      <c r="J14" s="20">
        <v>0.95430300000000001</v>
      </c>
      <c r="K14">
        <v>3</v>
      </c>
      <c r="L14">
        <v>485.66666700000002</v>
      </c>
      <c r="M14">
        <v>1388</v>
      </c>
      <c r="N14">
        <v>6</v>
      </c>
      <c r="O14">
        <v>1457</v>
      </c>
      <c r="P14" s="1">
        <v>0.86468800000000001</v>
      </c>
    </row>
    <row r="15" spans="1:16" x14ac:dyDescent="0.25">
      <c r="A15" t="s">
        <v>16</v>
      </c>
      <c r="B15" s="19">
        <v>1006286409</v>
      </c>
      <c r="C15">
        <v>1797</v>
      </c>
      <c r="D15">
        <v>703</v>
      </c>
      <c r="E15" s="1">
        <v>0.71879999999999999</v>
      </c>
      <c r="F15" s="1">
        <v>0.28120000000000001</v>
      </c>
      <c r="G15">
        <v>49</v>
      </c>
      <c r="H15">
        <v>2</v>
      </c>
      <c r="I15">
        <v>1796</v>
      </c>
      <c r="J15" s="20">
        <v>0.999444</v>
      </c>
      <c r="K15">
        <v>1</v>
      </c>
      <c r="L15">
        <v>1616</v>
      </c>
      <c r="M15">
        <v>1616</v>
      </c>
      <c r="N15">
        <v>1616</v>
      </c>
      <c r="O15">
        <v>1616</v>
      </c>
      <c r="P15" s="1">
        <v>0.89927699999999999</v>
      </c>
    </row>
    <row r="16" spans="1:16" x14ac:dyDescent="0.25">
      <c r="A16" t="s">
        <v>16</v>
      </c>
      <c r="B16" s="19">
        <v>136989119</v>
      </c>
      <c r="C16">
        <v>1708</v>
      </c>
      <c r="D16">
        <v>792</v>
      </c>
      <c r="E16" s="1">
        <v>0.68320000000000003</v>
      </c>
      <c r="F16" s="1">
        <v>0.31680000000000003</v>
      </c>
      <c r="G16">
        <v>54</v>
      </c>
      <c r="H16">
        <v>9</v>
      </c>
      <c r="I16">
        <v>1683</v>
      </c>
      <c r="J16" s="20">
        <v>0.98536299999999999</v>
      </c>
      <c r="K16">
        <v>4</v>
      </c>
      <c r="L16">
        <v>369.25</v>
      </c>
      <c r="M16">
        <v>1447</v>
      </c>
      <c r="N16">
        <v>4</v>
      </c>
      <c r="O16">
        <v>1477</v>
      </c>
      <c r="P16" s="1">
        <v>0.86475400000000002</v>
      </c>
    </row>
    <row r="17" spans="1:16" x14ac:dyDescent="0.25">
      <c r="A17" t="s">
        <v>16</v>
      </c>
      <c r="B17" s="19">
        <v>624559261</v>
      </c>
      <c r="C17">
        <v>1861</v>
      </c>
      <c r="D17">
        <v>639</v>
      </c>
      <c r="E17" s="1">
        <v>0.74439999999999995</v>
      </c>
      <c r="F17" s="1">
        <v>0.25559999999999999</v>
      </c>
      <c r="G17">
        <v>53</v>
      </c>
      <c r="H17">
        <v>2</v>
      </c>
      <c r="I17">
        <v>1860</v>
      </c>
      <c r="J17" s="20">
        <v>0.99946299999999999</v>
      </c>
      <c r="K17">
        <v>1</v>
      </c>
      <c r="L17">
        <v>1656</v>
      </c>
      <c r="M17">
        <v>1656</v>
      </c>
      <c r="N17">
        <v>1656</v>
      </c>
      <c r="O17">
        <v>1656</v>
      </c>
      <c r="P17" s="1">
        <v>0.88984399999999997</v>
      </c>
    </row>
    <row r="18" spans="1:16" x14ac:dyDescent="0.25">
      <c r="A18" t="s">
        <v>16</v>
      </c>
      <c r="B18" s="19">
        <v>1639609944</v>
      </c>
      <c r="C18">
        <v>1820</v>
      </c>
      <c r="D18">
        <v>680</v>
      </c>
      <c r="E18" s="1">
        <v>0.72799999999999998</v>
      </c>
      <c r="F18" s="1">
        <v>0.27200000000000002</v>
      </c>
      <c r="G18">
        <v>60</v>
      </c>
      <c r="H18">
        <v>5</v>
      </c>
      <c r="I18">
        <v>1815</v>
      </c>
      <c r="J18" s="20">
        <v>0.99725299999999995</v>
      </c>
      <c r="K18">
        <v>2</v>
      </c>
      <c r="L18">
        <v>816</v>
      </c>
      <c r="M18">
        <v>1617</v>
      </c>
      <c r="N18">
        <v>15</v>
      </c>
      <c r="O18">
        <v>1632</v>
      </c>
      <c r="P18" s="1">
        <v>0.89670300000000003</v>
      </c>
    </row>
    <row r="19" spans="1:16" x14ac:dyDescent="0.25">
      <c r="A19" t="s">
        <v>16</v>
      </c>
      <c r="B19" s="19">
        <v>795845150</v>
      </c>
      <c r="C19">
        <v>1712</v>
      </c>
      <c r="D19">
        <v>788</v>
      </c>
      <c r="E19" s="1">
        <v>0.68479999999999996</v>
      </c>
      <c r="F19" s="1">
        <v>0.31519999999999998</v>
      </c>
      <c r="G19">
        <v>74</v>
      </c>
      <c r="H19">
        <v>9</v>
      </c>
      <c r="I19">
        <v>1697</v>
      </c>
      <c r="J19" s="20">
        <v>0.99123799999999995</v>
      </c>
      <c r="K19">
        <v>2</v>
      </c>
      <c r="L19">
        <v>748</v>
      </c>
      <c r="M19">
        <v>1479</v>
      </c>
      <c r="N19">
        <v>17</v>
      </c>
      <c r="O19">
        <v>1496</v>
      </c>
      <c r="P19" s="1">
        <v>0.87383200000000005</v>
      </c>
    </row>
    <row r="20" spans="1:16" x14ac:dyDescent="0.25">
      <c r="A20" t="s">
        <v>16</v>
      </c>
      <c r="B20" s="19">
        <v>1776424919</v>
      </c>
      <c r="C20">
        <v>1810</v>
      </c>
      <c r="D20">
        <v>690</v>
      </c>
      <c r="E20" s="1">
        <v>0.72399999999999998</v>
      </c>
      <c r="F20" s="1">
        <v>0.27600000000000002</v>
      </c>
      <c r="G20">
        <v>55</v>
      </c>
      <c r="H20">
        <v>2</v>
      </c>
      <c r="I20">
        <v>1809</v>
      </c>
      <c r="J20" s="20">
        <v>0.999448</v>
      </c>
      <c r="K20">
        <v>1</v>
      </c>
      <c r="L20">
        <v>1612</v>
      </c>
      <c r="M20">
        <v>1612</v>
      </c>
      <c r="N20">
        <v>1612</v>
      </c>
      <c r="O20">
        <v>1612</v>
      </c>
      <c r="P20" s="1">
        <v>0.89060799999999996</v>
      </c>
    </row>
    <row r="21" spans="1:16" x14ac:dyDescent="0.25">
      <c r="A21" t="s">
        <v>16</v>
      </c>
      <c r="B21" s="19">
        <v>1139505409</v>
      </c>
      <c r="C21">
        <v>1619</v>
      </c>
      <c r="D21">
        <v>881</v>
      </c>
      <c r="E21" s="1">
        <v>0.64759999999999995</v>
      </c>
      <c r="F21" s="1">
        <v>0.35239999999999999</v>
      </c>
      <c r="G21">
        <v>66</v>
      </c>
      <c r="H21">
        <v>7</v>
      </c>
      <c r="I21">
        <v>1534</v>
      </c>
      <c r="J21" s="20">
        <v>0.94749799999999995</v>
      </c>
      <c r="K21">
        <v>7</v>
      </c>
      <c r="L21">
        <v>194.71428599999999</v>
      </c>
      <c r="M21">
        <v>1024</v>
      </c>
      <c r="N21">
        <v>1</v>
      </c>
      <c r="O21">
        <v>1363</v>
      </c>
      <c r="P21" s="1">
        <v>0.84187800000000002</v>
      </c>
    </row>
    <row r="22" spans="1:16" x14ac:dyDescent="0.25">
      <c r="A22" t="s">
        <v>16</v>
      </c>
      <c r="B22" s="19">
        <v>828089718</v>
      </c>
      <c r="C22">
        <v>1790</v>
      </c>
      <c r="D22">
        <v>710</v>
      </c>
      <c r="E22" s="1">
        <v>0.71599999999999997</v>
      </c>
      <c r="F22" s="1">
        <v>0.28399999999999997</v>
      </c>
      <c r="G22">
        <v>52</v>
      </c>
      <c r="H22">
        <v>4</v>
      </c>
      <c r="I22">
        <v>1761</v>
      </c>
      <c r="J22" s="20">
        <v>0.98379899999999998</v>
      </c>
      <c r="K22">
        <v>3</v>
      </c>
      <c r="L22">
        <v>526</v>
      </c>
      <c r="M22">
        <v>1562</v>
      </c>
      <c r="N22">
        <v>1</v>
      </c>
      <c r="O22">
        <v>1578</v>
      </c>
      <c r="P22" s="1">
        <v>0.88156400000000001</v>
      </c>
    </row>
    <row r="23" spans="1:16" x14ac:dyDescent="0.25">
      <c r="A23" t="s">
        <v>16</v>
      </c>
      <c r="B23" s="19">
        <v>1479668024</v>
      </c>
      <c r="C23">
        <v>1794</v>
      </c>
      <c r="D23">
        <v>706</v>
      </c>
      <c r="E23" s="1">
        <v>0.71760000000000002</v>
      </c>
      <c r="F23" s="1">
        <v>0.28239999999999998</v>
      </c>
      <c r="G23">
        <v>51</v>
      </c>
      <c r="H23">
        <v>4</v>
      </c>
      <c r="I23">
        <v>1789</v>
      </c>
      <c r="J23" s="20">
        <v>0.99721300000000002</v>
      </c>
      <c r="K23">
        <v>5</v>
      </c>
      <c r="L23">
        <v>318.8</v>
      </c>
      <c r="M23">
        <v>1556</v>
      </c>
      <c r="N23">
        <v>1</v>
      </c>
      <c r="O23">
        <v>1594</v>
      </c>
      <c r="P23" s="1">
        <v>0.888517</v>
      </c>
    </row>
    <row r="24" spans="1:16" x14ac:dyDescent="0.25">
      <c r="A24" t="s">
        <v>16</v>
      </c>
      <c r="B24" s="19">
        <v>1567562346</v>
      </c>
      <c r="C24">
        <v>1786</v>
      </c>
      <c r="D24">
        <v>714</v>
      </c>
      <c r="E24" s="1">
        <v>0.71440000000000003</v>
      </c>
      <c r="F24" s="1">
        <v>0.28560000000000002</v>
      </c>
      <c r="G24">
        <v>53</v>
      </c>
      <c r="H24">
        <v>4</v>
      </c>
      <c r="I24">
        <v>1776</v>
      </c>
      <c r="J24" s="20">
        <v>0.99440099999999998</v>
      </c>
      <c r="K24">
        <v>1</v>
      </c>
      <c r="L24">
        <v>1567</v>
      </c>
      <c r="M24">
        <v>1567</v>
      </c>
      <c r="N24">
        <v>1567</v>
      </c>
      <c r="O24">
        <v>1567</v>
      </c>
      <c r="P24" s="1">
        <v>0.87738000000000005</v>
      </c>
    </row>
    <row r="25" spans="1:16" x14ac:dyDescent="0.25">
      <c r="A25" t="s">
        <v>16</v>
      </c>
      <c r="B25" s="19">
        <v>2118911854</v>
      </c>
      <c r="C25">
        <v>1742</v>
      </c>
      <c r="D25">
        <v>758</v>
      </c>
      <c r="E25" s="1">
        <v>0.69679999999999997</v>
      </c>
      <c r="F25" s="1">
        <v>0.30320000000000003</v>
      </c>
      <c r="G25">
        <v>70</v>
      </c>
      <c r="H25">
        <v>2</v>
      </c>
      <c r="I25">
        <v>1740</v>
      </c>
      <c r="J25" s="20">
        <v>0.99885199999999996</v>
      </c>
      <c r="K25">
        <v>4</v>
      </c>
      <c r="L25">
        <v>377</v>
      </c>
      <c r="M25">
        <v>1444</v>
      </c>
      <c r="N25">
        <v>5</v>
      </c>
      <c r="O25">
        <v>1508</v>
      </c>
      <c r="P25" s="1">
        <v>0.865672</v>
      </c>
    </row>
    <row r="26" spans="1:16" x14ac:dyDescent="0.25">
      <c r="A26" t="s">
        <v>16</v>
      </c>
      <c r="B26" s="19">
        <v>391458523</v>
      </c>
      <c r="C26">
        <v>1875</v>
      </c>
      <c r="D26">
        <v>625</v>
      </c>
      <c r="E26" s="1">
        <v>0.75</v>
      </c>
      <c r="F26" s="1">
        <v>0.25</v>
      </c>
      <c r="G26">
        <v>50</v>
      </c>
      <c r="H26">
        <v>3</v>
      </c>
      <c r="I26">
        <v>1872</v>
      </c>
      <c r="J26" s="20">
        <v>0.99839999999999995</v>
      </c>
      <c r="K26">
        <v>2</v>
      </c>
      <c r="L26">
        <v>855</v>
      </c>
      <c r="M26">
        <v>1700</v>
      </c>
      <c r="N26">
        <v>10</v>
      </c>
      <c r="O26">
        <v>1710</v>
      </c>
      <c r="P26" s="1">
        <v>0.91200000000000003</v>
      </c>
    </row>
    <row r="27" spans="1:16" x14ac:dyDescent="0.25">
      <c r="A27" t="s">
        <v>16</v>
      </c>
      <c r="B27" s="19">
        <v>1678141432</v>
      </c>
      <c r="C27">
        <v>1705</v>
      </c>
      <c r="D27">
        <v>795</v>
      </c>
      <c r="E27" s="1">
        <v>0.68200000000000005</v>
      </c>
      <c r="F27" s="1">
        <v>0.318</v>
      </c>
      <c r="G27">
        <v>52</v>
      </c>
      <c r="H27">
        <v>8</v>
      </c>
      <c r="I27">
        <v>1693</v>
      </c>
      <c r="J27" s="20">
        <v>0.99296200000000001</v>
      </c>
      <c r="K27">
        <v>2</v>
      </c>
      <c r="L27">
        <v>747</v>
      </c>
      <c r="M27">
        <v>1491</v>
      </c>
      <c r="N27">
        <v>3</v>
      </c>
      <c r="O27">
        <v>1494</v>
      </c>
      <c r="P27" s="1">
        <v>0.87624599999999997</v>
      </c>
    </row>
    <row r="28" spans="1:16" x14ac:dyDescent="0.25">
      <c r="A28" t="s">
        <v>16</v>
      </c>
      <c r="B28" s="19">
        <v>2011253877</v>
      </c>
      <c r="C28">
        <v>1740</v>
      </c>
      <c r="D28">
        <v>760</v>
      </c>
      <c r="E28" s="1">
        <v>0.69599999999999995</v>
      </c>
      <c r="F28" s="1">
        <v>0.30399999999999999</v>
      </c>
      <c r="G28">
        <v>57</v>
      </c>
      <c r="H28">
        <v>4</v>
      </c>
      <c r="I28">
        <v>1713</v>
      </c>
      <c r="J28" s="20">
        <v>0.984483</v>
      </c>
      <c r="K28">
        <v>5</v>
      </c>
      <c r="L28">
        <v>300.2</v>
      </c>
      <c r="M28">
        <v>1366</v>
      </c>
      <c r="N28">
        <v>10</v>
      </c>
      <c r="O28">
        <v>1501</v>
      </c>
      <c r="P28" s="1">
        <v>0.86264399999999997</v>
      </c>
    </row>
    <row r="29" spans="1:16" x14ac:dyDescent="0.25">
      <c r="A29" t="s">
        <v>16</v>
      </c>
      <c r="B29" s="19">
        <v>1947559199</v>
      </c>
      <c r="C29">
        <v>1707</v>
      </c>
      <c r="D29">
        <v>793</v>
      </c>
      <c r="E29" s="1">
        <v>0.68279999999999996</v>
      </c>
      <c r="F29" s="1">
        <v>0.31719999999999998</v>
      </c>
      <c r="G29">
        <v>54</v>
      </c>
      <c r="H29">
        <v>7</v>
      </c>
      <c r="I29">
        <v>1696</v>
      </c>
      <c r="J29" s="20">
        <v>0.99355599999999999</v>
      </c>
      <c r="K29">
        <v>1</v>
      </c>
      <c r="L29">
        <v>1516</v>
      </c>
      <c r="M29">
        <v>1516</v>
      </c>
      <c r="N29">
        <v>1516</v>
      </c>
      <c r="O29">
        <v>1516</v>
      </c>
      <c r="P29" s="1">
        <v>0.88810800000000001</v>
      </c>
    </row>
    <row r="30" spans="1:16" x14ac:dyDescent="0.25">
      <c r="A30" t="s">
        <v>16</v>
      </c>
      <c r="B30" s="19">
        <v>1397172499</v>
      </c>
      <c r="C30">
        <v>1808</v>
      </c>
      <c r="D30">
        <v>692</v>
      </c>
      <c r="E30" s="1">
        <v>0.72319999999999995</v>
      </c>
      <c r="F30" s="1">
        <v>0.27679999999999999</v>
      </c>
      <c r="G30">
        <v>62</v>
      </c>
      <c r="H30">
        <v>5</v>
      </c>
      <c r="I30">
        <v>1802</v>
      </c>
      <c r="J30" s="20">
        <v>0.99668100000000004</v>
      </c>
      <c r="K30">
        <v>1</v>
      </c>
      <c r="L30">
        <v>1603</v>
      </c>
      <c r="M30">
        <v>1603</v>
      </c>
      <c r="N30">
        <v>1603</v>
      </c>
      <c r="O30">
        <v>1603</v>
      </c>
      <c r="P30" s="1">
        <v>0.88661500000000004</v>
      </c>
    </row>
    <row r="31" spans="1:16" x14ac:dyDescent="0.25">
      <c r="A31" t="s">
        <v>16</v>
      </c>
      <c r="B31" s="19">
        <v>1978097558</v>
      </c>
      <c r="C31">
        <v>1815</v>
      </c>
      <c r="D31">
        <v>685</v>
      </c>
      <c r="E31" s="1">
        <v>0.72599999999999998</v>
      </c>
      <c r="F31" s="1">
        <v>0.27400000000000002</v>
      </c>
      <c r="G31">
        <v>56</v>
      </c>
      <c r="H31">
        <v>4</v>
      </c>
      <c r="I31">
        <v>1811</v>
      </c>
      <c r="J31" s="20">
        <v>0.99779600000000002</v>
      </c>
      <c r="K31">
        <v>1</v>
      </c>
      <c r="L31">
        <v>1594</v>
      </c>
      <c r="M31">
        <v>1594</v>
      </c>
      <c r="N31">
        <v>1594</v>
      </c>
      <c r="O31">
        <v>1594</v>
      </c>
      <c r="P31" s="1">
        <v>0.87823700000000005</v>
      </c>
    </row>
    <row r="32" spans="1:16" x14ac:dyDescent="0.25">
      <c r="A32" t="s">
        <v>16</v>
      </c>
      <c r="B32" s="19">
        <v>48954715</v>
      </c>
      <c r="C32">
        <v>1750</v>
      </c>
      <c r="D32">
        <v>750</v>
      </c>
      <c r="E32" s="1">
        <v>0.7</v>
      </c>
      <c r="F32" s="1">
        <v>0.3</v>
      </c>
      <c r="G32">
        <v>68</v>
      </c>
      <c r="H32">
        <v>3</v>
      </c>
      <c r="I32">
        <v>1746</v>
      </c>
      <c r="J32" s="20">
        <v>0.99771399999999999</v>
      </c>
      <c r="K32">
        <v>5</v>
      </c>
      <c r="L32">
        <v>310.8</v>
      </c>
      <c r="M32">
        <v>1452</v>
      </c>
      <c r="N32">
        <v>8</v>
      </c>
      <c r="O32">
        <v>1554</v>
      </c>
      <c r="P32" s="1">
        <v>0.88800000000000001</v>
      </c>
    </row>
    <row r="33" spans="1:16" x14ac:dyDescent="0.25">
      <c r="A33" t="s">
        <v>16</v>
      </c>
      <c r="B33" s="19">
        <v>950425345</v>
      </c>
      <c r="C33">
        <v>1753</v>
      </c>
      <c r="D33">
        <v>747</v>
      </c>
      <c r="E33" s="1">
        <v>0.70120000000000005</v>
      </c>
      <c r="F33" s="1">
        <v>0.29880000000000001</v>
      </c>
      <c r="G33">
        <v>63</v>
      </c>
      <c r="H33">
        <v>12</v>
      </c>
      <c r="I33">
        <v>1728</v>
      </c>
      <c r="J33" s="20">
        <v>0.98573900000000003</v>
      </c>
      <c r="K33">
        <v>2</v>
      </c>
      <c r="L33">
        <v>771</v>
      </c>
      <c r="M33">
        <v>1539</v>
      </c>
      <c r="N33">
        <v>3</v>
      </c>
      <c r="O33">
        <v>1542</v>
      </c>
      <c r="P33" s="1">
        <v>0.87963499999999994</v>
      </c>
    </row>
    <row r="34" spans="1:16" x14ac:dyDescent="0.25">
      <c r="A34" t="s">
        <v>16</v>
      </c>
      <c r="B34" s="19">
        <v>1384534101</v>
      </c>
      <c r="C34">
        <v>1804</v>
      </c>
      <c r="D34">
        <v>696</v>
      </c>
      <c r="E34" s="1">
        <v>0.72160000000000002</v>
      </c>
      <c r="F34" s="1">
        <v>0.27839999999999998</v>
      </c>
      <c r="G34">
        <v>63</v>
      </c>
      <c r="H34">
        <v>3</v>
      </c>
      <c r="I34">
        <v>1802</v>
      </c>
      <c r="J34" s="20">
        <v>0.99889099999999997</v>
      </c>
      <c r="K34">
        <v>2</v>
      </c>
      <c r="L34">
        <v>804</v>
      </c>
      <c r="M34">
        <v>1591</v>
      </c>
      <c r="N34">
        <v>17</v>
      </c>
      <c r="O34">
        <v>1608</v>
      </c>
      <c r="P34" s="1">
        <v>0.89135299999999995</v>
      </c>
    </row>
    <row r="35" spans="1:16" x14ac:dyDescent="0.25">
      <c r="A35" t="s">
        <v>16</v>
      </c>
      <c r="B35" s="19">
        <v>1595114684</v>
      </c>
      <c r="C35">
        <v>1800</v>
      </c>
      <c r="D35">
        <v>700</v>
      </c>
      <c r="E35" s="1">
        <v>0.72</v>
      </c>
      <c r="F35" s="1">
        <v>0.28000000000000003</v>
      </c>
      <c r="G35">
        <v>58</v>
      </c>
      <c r="H35">
        <v>5</v>
      </c>
      <c r="I35">
        <v>1789</v>
      </c>
      <c r="J35" s="20">
        <v>0.99388900000000002</v>
      </c>
      <c r="K35">
        <v>3</v>
      </c>
      <c r="L35">
        <v>529.66666699999996</v>
      </c>
      <c r="M35">
        <v>1324</v>
      </c>
      <c r="N35">
        <v>1</v>
      </c>
      <c r="O35">
        <v>1589</v>
      </c>
      <c r="P35" s="1">
        <v>0.88277799999999995</v>
      </c>
    </row>
    <row r="36" spans="1:16" x14ac:dyDescent="0.25">
      <c r="A36" t="s">
        <v>16</v>
      </c>
      <c r="B36" s="19">
        <v>807653465</v>
      </c>
      <c r="C36">
        <v>1770</v>
      </c>
      <c r="D36">
        <v>730</v>
      </c>
      <c r="E36" s="1">
        <v>0.70799999999999996</v>
      </c>
      <c r="F36" s="1">
        <v>0.29199999999999998</v>
      </c>
      <c r="G36">
        <v>57</v>
      </c>
      <c r="H36">
        <v>6</v>
      </c>
      <c r="I36">
        <v>1731</v>
      </c>
      <c r="J36" s="20">
        <v>0.977966</v>
      </c>
      <c r="K36">
        <v>4</v>
      </c>
      <c r="L36">
        <v>385.25</v>
      </c>
      <c r="M36">
        <v>1494</v>
      </c>
      <c r="N36">
        <v>4</v>
      </c>
      <c r="O36">
        <v>1541</v>
      </c>
      <c r="P36" s="1">
        <v>0.87062099999999998</v>
      </c>
    </row>
    <row r="37" spans="1:16" x14ac:dyDescent="0.25">
      <c r="A37" t="s">
        <v>16</v>
      </c>
      <c r="B37" s="19">
        <v>1070011945</v>
      </c>
      <c r="C37">
        <v>1795</v>
      </c>
      <c r="D37">
        <v>705</v>
      </c>
      <c r="E37" s="1">
        <v>0.71799999999999997</v>
      </c>
      <c r="F37" s="1">
        <v>0.28199999999999997</v>
      </c>
      <c r="G37">
        <v>52</v>
      </c>
      <c r="H37">
        <v>3</v>
      </c>
      <c r="I37">
        <v>1793</v>
      </c>
      <c r="J37" s="20">
        <v>0.99888600000000005</v>
      </c>
      <c r="K37">
        <v>1</v>
      </c>
      <c r="L37">
        <v>1591</v>
      </c>
      <c r="M37">
        <v>1591</v>
      </c>
      <c r="N37">
        <v>1591</v>
      </c>
      <c r="O37">
        <v>1591</v>
      </c>
      <c r="P37" s="1">
        <v>0.886351</v>
      </c>
    </row>
    <row r="38" spans="1:16" x14ac:dyDescent="0.25">
      <c r="A38" t="s">
        <v>16</v>
      </c>
      <c r="B38" s="19">
        <v>73469045</v>
      </c>
      <c r="C38">
        <v>1810</v>
      </c>
      <c r="D38">
        <v>690</v>
      </c>
      <c r="E38" s="1">
        <v>0.72399999999999998</v>
      </c>
      <c r="F38" s="1">
        <v>0.27600000000000002</v>
      </c>
      <c r="G38">
        <v>52</v>
      </c>
      <c r="H38">
        <v>4</v>
      </c>
      <c r="I38">
        <v>1805</v>
      </c>
      <c r="J38" s="20">
        <v>0.99723799999999996</v>
      </c>
      <c r="K38">
        <v>3</v>
      </c>
      <c r="L38">
        <v>531.66666699999996</v>
      </c>
      <c r="M38">
        <v>1574</v>
      </c>
      <c r="N38">
        <v>3</v>
      </c>
      <c r="O38">
        <v>1595</v>
      </c>
      <c r="P38" s="1">
        <v>0.88121499999999997</v>
      </c>
    </row>
    <row r="39" spans="1:16" x14ac:dyDescent="0.25">
      <c r="A39" t="s">
        <v>16</v>
      </c>
      <c r="B39" s="19">
        <v>147973508</v>
      </c>
      <c r="C39">
        <v>1742</v>
      </c>
      <c r="D39">
        <v>758</v>
      </c>
      <c r="E39" s="1">
        <v>0.69679999999999997</v>
      </c>
      <c r="F39" s="1">
        <v>0.30320000000000003</v>
      </c>
      <c r="G39">
        <v>72</v>
      </c>
      <c r="H39">
        <v>3</v>
      </c>
      <c r="I39">
        <v>1740</v>
      </c>
      <c r="J39" s="20">
        <v>0.99885199999999996</v>
      </c>
      <c r="K39">
        <v>2</v>
      </c>
      <c r="L39">
        <v>752</v>
      </c>
      <c r="M39">
        <v>1460</v>
      </c>
      <c r="N39">
        <v>44</v>
      </c>
      <c r="O39">
        <v>1504</v>
      </c>
      <c r="P39" s="1">
        <v>0.863375</v>
      </c>
    </row>
    <row r="40" spans="1:16" x14ac:dyDescent="0.25">
      <c r="A40" t="s">
        <v>16</v>
      </c>
      <c r="B40" s="19">
        <v>670562926</v>
      </c>
      <c r="C40">
        <v>1883</v>
      </c>
      <c r="D40">
        <v>617</v>
      </c>
      <c r="E40" s="1">
        <v>0.75319999999999998</v>
      </c>
      <c r="F40" s="1">
        <v>0.24679999999999999</v>
      </c>
      <c r="G40">
        <v>53</v>
      </c>
      <c r="H40">
        <v>7</v>
      </c>
      <c r="I40">
        <v>1854</v>
      </c>
      <c r="J40" s="20">
        <v>0.984599</v>
      </c>
      <c r="K40">
        <v>3</v>
      </c>
      <c r="L40">
        <v>573</v>
      </c>
      <c r="M40">
        <v>1702</v>
      </c>
      <c r="N40">
        <v>1</v>
      </c>
      <c r="O40">
        <v>1719</v>
      </c>
      <c r="P40" s="1">
        <v>0.91290499999999997</v>
      </c>
    </row>
    <row r="41" spans="1:16" x14ac:dyDescent="0.25">
      <c r="A41" t="s">
        <v>16</v>
      </c>
      <c r="B41" s="19">
        <v>1469365016</v>
      </c>
      <c r="C41">
        <v>1807</v>
      </c>
      <c r="D41">
        <v>693</v>
      </c>
      <c r="E41" s="1">
        <v>0.7228</v>
      </c>
      <c r="F41" s="1">
        <v>0.2772</v>
      </c>
      <c r="G41">
        <v>52</v>
      </c>
      <c r="H41">
        <v>6</v>
      </c>
      <c r="I41">
        <v>1774</v>
      </c>
      <c r="J41" s="20">
        <v>0.981738</v>
      </c>
      <c r="K41">
        <v>2</v>
      </c>
      <c r="L41">
        <v>797.5</v>
      </c>
      <c r="M41">
        <v>1579</v>
      </c>
      <c r="N41">
        <v>16</v>
      </c>
      <c r="O41">
        <v>1595</v>
      </c>
      <c r="P41" s="1">
        <v>0.88267799999999996</v>
      </c>
    </row>
    <row r="42" spans="1:16" x14ac:dyDescent="0.25">
      <c r="A42" t="s">
        <v>16</v>
      </c>
      <c r="B42" s="19">
        <v>1070224418</v>
      </c>
      <c r="C42">
        <v>1900</v>
      </c>
      <c r="D42">
        <v>600</v>
      </c>
      <c r="E42" s="1">
        <v>0.76</v>
      </c>
      <c r="F42" s="1">
        <v>0.24</v>
      </c>
      <c r="G42">
        <v>50</v>
      </c>
      <c r="H42">
        <v>4</v>
      </c>
      <c r="I42">
        <v>1888</v>
      </c>
      <c r="J42" s="20">
        <v>0.99368400000000001</v>
      </c>
      <c r="K42">
        <v>2</v>
      </c>
      <c r="L42">
        <v>864.5</v>
      </c>
      <c r="M42">
        <v>1727</v>
      </c>
      <c r="N42">
        <v>2</v>
      </c>
      <c r="O42">
        <v>1729</v>
      </c>
      <c r="P42" s="1">
        <v>0.91</v>
      </c>
    </row>
    <row r="43" spans="1:16" x14ac:dyDescent="0.25">
      <c r="A43" t="s">
        <v>16</v>
      </c>
      <c r="B43" s="19">
        <v>1619426261</v>
      </c>
      <c r="C43">
        <v>1765</v>
      </c>
      <c r="D43">
        <v>735</v>
      </c>
      <c r="E43" s="1">
        <v>0.70599999999999996</v>
      </c>
      <c r="F43" s="1">
        <v>0.29399999999999998</v>
      </c>
      <c r="G43">
        <v>52</v>
      </c>
      <c r="H43">
        <v>5</v>
      </c>
      <c r="I43">
        <v>1748</v>
      </c>
      <c r="J43" s="20">
        <v>0.99036800000000003</v>
      </c>
      <c r="K43">
        <v>5</v>
      </c>
      <c r="L43">
        <v>305</v>
      </c>
      <c r="M43">
        <v>1216</v>
      </c>
      <c r="N43">
        <v>6</v>
      </c>
      <c r="O43">
        <v>1525</v>
      </c>
      <c r="P43" s="1">
        <v>0.86402299999999999</v>
      </c>
    </row>
    <row r="44" spans="1:16" x14ac:dyDescent="0.25">
      <c r="A44" t="s">
        <v>16</v>
      </c>
      <c r="B44" s="19">
        <v>1728102204</v>
      </c>
      <c r="C44">
        <v>1815</v>
      </c>
      <c r="D44">
        <v>685</v>
      </c>
      <c r="E44" s="1">
        <v>0.72599999999999998</v>
      </c>
      <c r="F44" s="1">
        <v>0.27400000000000002</v>
      </c>
      <c r="G44">
        <v>51</v>
      </c>
      <c r="H44">
        <v>5</v>
      </c>
      <c r="I44">
        <v>1806</v>
      </c>
      <c r="J44" s="20">
        <v>0.99504099999999995</v>
      </c>
      <c r="K44">
        <v>1</v>
      </c>
      <c r="L44">
        <v>1622</v>
      </c>
      <c r="M44">
        <v>1622</v>
      </c>
      <c r="N44">
        <v>1622</v>
      </c>
      <c r="O44">
        <v>1622</v>
      </c>
      <c r="P44" s="1">
        <v>0.89366400000000001</v>
      </c>
    </row>
    <row r="45" spans="1:16" x14ac:dyDescent="0.25">
      <c r="A45" t="s">
        <v>16</v>
      </c>
      <c r="B45" s="19">
        <v>61100616</v>
      </c>
      <c r="C45">
        <v>1724</v>
      </c>
      <c r="D45">
        <v>776</v>
      </c>
      <c r="E45" s="1">
        <v>0.68959999999999999</v>
      </c>
      <c r="F45" s="1">
        <v>0.31040000000000001</v>
      </c>
      <c r="G45">
        <v>58</v>
      </c>
      <c r="H45">
        <v>3</v>
      </c>
      <c r="I45">
        <v>1720</v>
      </c>
      <c r="J45" s="20">
        <v>0.99768000000000001</v>
      </c>
      <c r="K45">
        <v>1</v>
      </c>
      <c r="L45">
        <v>1498</v>
      </c>
      <c r="M45">
        <v>1498</v>
      </c>
      <c r="N45">
        <v>1498</v>
      </c>
      <c r="O45">
        <v>1498</v>
      </c>
      <c r="P45" s="1">
        <v>0.86890999999999996</v>
      </c>
    </row>
    <row r="46" spans="1:16" x14ac:dyDescent="0.25">
      <c r="A46" t="s">
        <v>16</v>
      </c>
      <c r="B46" s="19">
        <v>690729871</v>
      </c>
      <c r="C46">
        <v>1759</v>
      </c>
      <c r="D46">
        <v>741</v>
      </c>
      <c r="E46" s="1">
        <v>0.7036</v>
      </c>
      <c r="F46" s="1">
        <v>0.2964</v>
      </c>
      <c r="G46">
        <v>71</v>
      </c>
      <c r="H46">
        <v>4</v>
      </c>
      <c r="I46">
        <v>1751</v>
      </c>
      <c r="J46" s="20">
        <v>0.995452</v>
      </c>
      <c r="K46">
        <v>3</v>
      </c>
      <c r="L46">
        <v>507.33333299999998</v>
      </c>
      <c r="M46">
        <v>1400</v>
      </c>
      <c r="N46">
        <v>11</v>
      </c>
      <c r="O46">
        <v>1522</v>
      </c>
      <c r="P46" s="1">
        <v>0.86526400000000003</v>
      </c>
    </row>
    <row r="47" spans="1:16" x14ac:dyDescent="0.25">
      <c r="A47" t="s">
        <v>16</v>
      </c>
      <c r="B47" s="19">
        <v>569151371</v>
      </c>
      <c r="C47">
        <v>1781</v>
      </c>
      <c r="D47">
        <v>719</v>
      </c>
      <c r="E47" s="1">
        <v>0.71240000000000003</v>
      </c>
      <c r="F47" s="1">
        <v>0.28760000000000002</v>
      </c>
      <c r="G47">
        <v>52</v>
      </c>
      <c r="H47">
        <v>6</v>
      </c>
      <c r="I47">
        <v>1763</v>
      </c>
      <c r="J47" s="20">
        <v>0.98989300000000002</v>
      </c>
      <c r="K47">
        <v>2</v>
      </c>
      <c r="L47">
        <v>788.5</v>
      </c>
      <c r="M47">
        <v>1576</v>
      </c>
      <c r="N47">
        <v>1</v>
      </c>
      <c r="O47">
        <v>1577</v>
      </c>
      <c r="P47" s="1">
        <v>0.88545799999999997</v>
      </c>
    </row>
    <row r="48" spans="1:16" x14ac:dyDescent="0.25">
      <c r="A48" t="s">
        <v>16</v>
      </c>
      <c r="B48" s="19">
        <v>1909984526</v>
      </c>
      <c r="C48">
        <v>1774</v>
      </c>
      <c r="D48">
        <v>726</v>
      </c>
      <c r="E48" s="1">
        <v>0.70960000000000001</v>
      </c>
      <c r="F48" s="1">
        <v>0.29039999999999999</v>
      </c>
      <c r="G48">
        <v>59</v>
      </c>
      <c r="H48">
        <v>4</v>
      </c>
      <c r="I48">
        <v>1745</v>
      </c>
      <c r="J48" s="20">
        <v>0.983653</v>
      </c>
      <c r="K48">
        <v>3</v>
      </c>
      <c r="L48">
        <v>519.66666699999996</v>
      </c>
      <c r="M48">
        <v>1536</v>
      </c>
      <c r="N48">
        <v>7</v>
      </c>
      <c r="O48">
        <v>1559</v>
      </c>
      <c r="P48" s="1">
        <v>0.87880499999999995</v>
      </c>
    </row>
    <row r="49" spans="1:16" x14ac:dyDescent="0.25">
      <c r="A49" t="s">
        <v>16</v>
      </c>
      <c r="B49" s="19">
        <v>1244805941</v>
      </c>
      <c r="C49">
        <v>1764</v>
      </c>
      <c r="D49">
        <v>736</v>
      </c>
      <c r="E49" s="1">
        <v>0.7056</v>
      </c>
      <c r="F49" s="1">
        <v>0.2944</v>
      </c>
      <c r="G49">
        <v>54</v>
      </c>
      <c r="H49">
        <v>6</v>
      </c>
      <c r="I49">
        <v>1747</v>
      </c>
      <c r="J49" s="20">
        <v>0.99036299999999999</v>
      </c>
      <c r="K49">
        <v>2</v>
      </c>
      <c r="L49">
        <v>775</v>
      </c>
      <c r="M49">
        <v>1549</v>
      </c>
      <c r="N49">
        <v>1</v>
      </c>
      <c r="O49">
        <v>1550</v>
      </c>
      <c r="P49" s="1">
        <v>0.87868500000000005</v>
      </c>
    </row>
    <row r="50" spans="1:16" x14ac:dyDescent="0.25">
      <c r="A50" t="s">
        <v>16</v>
      </c>
      <c r="B50" s="19">
        <v>1607577625</v>
      </c>
      <c r="C50">
        <v>1683</v>
      </c>
      <c r="D50">
        <v>817</v>
      </c>
      <c r="E50" s="1">
        <v>0.67320000000000002</v>
      </c>
      <c r="F50" s="1">
        <v>0.32679999999999998</v>
      </c>
      <c r="G50">
        <v>62</v>
      </c>
      <c r="H50">
        <v>7</v>
      </c>
      <c r="I50">
        <v>1672</v>
      </c>
      <c r="J50" s="20">
        <v>0.99346400000000001</v>
      </c>
      <c r="K50">
        <v>2</v>
      </c>
      <c r="L50">
        <v>722</v>
      </c>
      <c r="M50">
        <v>1439</v>
      </c>
      <c r="N50">
        <v>5</v>
      </c>
      <c r="O50">
        <v>1444</v>
      </c>
      <c r="P50" s="1">
        <v>0.85799199999999998</v>
      </c>
    </row>
    <row r="51" spans="1:16" x14ac:dyDescent="0.25">
      <c r="A51" t="s">
        <v>16</v>
      </c>
      <c r="B51" s="19">
        <v>1858581863</v>
      </c>
      <c r="C51">
        <v>1614</v>
      </c>
      <c r="D51">
        <v>886</v>
      </c>
      <c r="E51" s="1">
        <v>0.64559999999999995</v>
      </c>
      <c r="F51" s="1">
        <v>0.35439999999999999</v>
      </c>
      <c r="G51">
        <v>67</v>
      </c>
      <c r="H51">
        <v>4</v>
      </c>
      <c r="I51">
        <v>1541</v>
      </c>
      <c r="J51" s="20">
        <v>0.95477100000000004</v>
      </c>
      <c r="K51">
        <v>6</v>
      </c>
      <c r="L51">
        <v>225.83333300000001</v>
      </c>
      <c r="M51">
        <v>1287</v>
      </c>
      <c r="N51">
        <v>2</v>
      </c>
      <c r="O51">
        <v>1355</v>
      </c>
      <c r="P51" s="1">
        <v>0.83952899999999997</v>
      </c>
    </row>
    <row r="52" spans="1:16" x14ac:dyDescent="0.25">
      <c r="A52" t="s">
        <v>26</v>
      </c>
      <c r="B52"/>
      <c r="C52">
        <f>SUBTOTAL(101,CA8_wall50_it2_neigh5[floors])</f>
        <v>1769.12</v>
      </c>
      <c r="D52">
        <f>SUBTOTAL(101,CA8_wall50_it2_neigh5[walls])</f>
        <v>730.88</v>
      </c>
      <c r="E52" s="2">
        <f>SUBTOTAL(101,CA8_wall50_it2_neigh5[floor_percent])</f>
        <v>0.70764799999999994</v>
      </c>
      <c r="F52" s="2">
        <f>SUBTOTAL(101,CA8_wall50_it2_neigh5[wall_percent])</f>
        <v>0.292352</v>
      </c>
      <c r="G52">
        <f>SUBTOTAL(101,CA8_wall50_it2_neigh5[longest_shortest_path])</f>
        <v>58.26</v>
      </c>
      <c r="H52">
        <f>SUBTOTAL(101,CA8_wall50_it2_neigh5[component_count])</f>
        <v>4.66</v>
      </c>
      <c r="I52">
        <f>SUBTOTAL(101,CA8_wall50_it2_neigh5[max_component_size])</f>
        <v>1748.98</v>
      </c>
      <c r="J52">
        <f>SUBTOTAL(101,CA8_wall50_it2_neigh5[connectivity_ratio])</f>
        <v>0.98830436000000021</v>
      </c>
      <c r="K52">
        <f>SUBTOTAL(101,CA8_wall50_it2_neigh5[room_count])</f>
        <v>2.64</v>
      </c>
      <c r="L52">
        <f>SUBTOTAL(101,CA8_wall50_it2_neigh5[avg_room_size])</f>
        <v>836.63028573999998</v>
      </c>
      <c r="M52">
        <f>SUBTOTAL(101,CA8_wall50_it2_neigh5[max_room_size])</f>
        <v>1513.76</v>
      </c>
      <c r="N52">
        <f>SUBTOTAL(101,CA8_wall50_it2_neigh5[min_room_size])</f>
        <v>421.38</v>
      </c>
      <c r="O52">
        <f>SUBTOTAL(101,CA8_wall50_it2_neigh5[room_tiles])</f>
        <v>1556.86</v>
      </c>
      <c r="P52" s="2">
        <f>SUBTOTAL(101,CA8_wall50_it2_neigh5[room_ratio])</f>
        <v>0.87947855999999991</v>
      </c>
    </row>
    <row r="53" spans="1:16" x14ac:dyDescent="0.25">
      <c r="A53" s="22" t="s">
        <v>31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471F-3EB4-42E7-83A4-AF9253DE0401}">
  <dimension ref="A1:P53"/>
  <sheetViews>
    <sheetView topLeftCell="A31" workbookViewId="0">
      <selection activeCell="G56" sqref="G56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780957898</v>
      </c>
      <c r="C2">
        <v>631</v>
      </c>
      <c r="D2">
        <v>1869</v>
      </c>
      <c r="E2" s="1">
        <v>0.25240000000000001</v>
      </c>
      <c r="F2" s="1">
        <v>0.74760000000000004</v>
      </c>
      <c r="G2">
        <v>28</v>
      </c>
      <c r="H2">
        <v>45</v>
      </c>
      <c r="I2">
        <v>165</v>
      </c>
      <c r="J2" s="20">
        <v>0.26149</v>
      </c>
      <c r="K2">
        <v>23</v>
      </c>
      <c r="L2">
        <v>14.869565</v>
      </c>
      <c r="M2">
        <v>78</v>
      </c>
      <c r="N2">
        <v>1</v>
      </c>
      <c r="O2">
        <v>342</v>
      </c>
      <c r="P2" s="1">
        <v>0.54199699999999995</v>
      </c>
    </row>
    <row r="3" spans="1:16" x14ac:dyDescent="0.25">
      <c r="A3" t="s">
        <v>16</v>
      </c>
      <c r="B3" s="19">
        <v>953078997</v>
      </c>
      <c r="C3">
        <v>647</v>
      </c>
      <c r="D3">
        <v>1853</v>
      </c>
      <c r="E3" s="1">
        <v>0.25879999999999997</v>
      </c>
      <c r="F3" s="1">
        <v>0.74119999999999997</v>
      </c>
      <c r="G3">
        <v>31</v>
      </c>
      <c r="H3">
        <v>45</v>
      </c>
      <c r="I3">
        <v>135</v>
      </c>
      <c r="J3" s="20">
        <v>0.20865500000000001</v>
      </c>
      <c r="K3">
        <v>23</v>
      </c>
      <c r="L3">
        <v>15.521739</v>
      </c>
      <c r="M3">
        <v>63</v>
      </c>
      <c r="N3">
        <v>1</v>
      </c>
      <c r="O3">
        <v>357</v>
      </c>
      <c r="P3" s="1">
        <v>0.55177699999999996</v>
      </c>
    </row>
    <row r="4" spans="1:16" x14ac:dyDescent="0.25">
      <c r="A4" t="s">
        <v>16</v>
      </c>
      <c r="B4" s="19">
        <v>2078513788</v>
      </c>
      <c r="C4">
        <v>611</v>
      </c>
      <c r="D4">
        <v>1889</v>
      </c>
      <c r="E4" s="1">
        <v>0.24440000000000001</v>
      </c>
      <c r="F4" s="1">
        <v>0.75560000000000005</v>
      </c>
      <c r="G4">
        <v>35</v>
      </c>
      <c r="H4">
        <v>50</v>
      </c>
      <c r="I4">
        <v>144</v>
      </c>
      <c r="J4" s="20">
        <v>0.235679</v>
      </c>
      <c r="K4">
        <v>26</v>
      </c>
      <c r="L4">
        <v>11.307691999999999</v>
      </c>
      <c r="M4">
        <v>52</v>
      </c>
      <c r="N4">
        <v>1</v>
      </c>
      <c r="O4">
        <v>294</v>
      </c>
      <c r="P4" s="1">
        <v>0.48117799999999999</v>
      </c>
    </row>
    <row r="5" spans="1:16" x14ac:dyDescent="0.25">
      <c r="A5" t="s">
        <v>16</v>
      </c>
      <c r="B5" s="19">
        <v>427258895</v>
      </c>
      <c r="C5">
        <v>545</v>
      </c>
      <c r="D5">
        <v>1955</v>
      </c>
      <c r="E5" s="1">
        <v>0.218</v>
      </c>
      <c r="F5" s="1">
        <v>0.78200000000000003</v>
      </c>
      <c r="G5">
        <v>26</v>
      </c>
      <c r="H5">
        <v>38</v>
      </c>
      <c r="I5">
        <v>115</v>
      </c>
      <c r="J5" s="20">
        <v>0.211009</v>
      </c>
      <c r="K5">
        <v>23</v>
      </c>
      <c r="L5">
        <v>12.043478</v>
      </c>
      <c r="M5">
        <v>54</v>
      </c>
      <c r="N5">
        <v>1</v>
      </c>
      <c r="O5">
        <v>277</v>
      </c>
      <c r="P5" s="1">
        <v>0.50825699999999996</v>
      </c>
    </row>
    <row r="6" spans="1:16" x14ac:dyDescent="0.25">
      <c r="A6" t="s">
        <v>16</v>
      </c>
      <c r="B6" s="19">
        <v>1609533729</v>
      </c>
      <c r="C6">
        <v>582</v>
      </c>
      <c r="D6">
        <v>1918</v>
      </c>
      <c r="E6" s="1">
        <v>0.23280000000000001</v>
      </c>
      <c r="F6" s="1">
        <v>0.76719999999999999</v>
      </c>
      <c r="G6">
        <v>18</v>
      </c>
      <c r="H6">
        <v>36</v>
      </c>
      <c r="I6">
        <v>159</v>
      </c>
      <c r="J6" s="20">
        <v>0.27319599999999999</v>
      </c>
      <c r="K6">
        <v>20</v>
      </c>
      <c r="L6">
        <v>15.7</v>
      </c>
      <c r="M6">
        <v>119</v>
      </c>
      <c r="N6">
        <v>1</v>
      </c>
      <c r="O6">
        <v>314</v>
      </c>
      <c r="P6" s="1">
        <v>0.53951899999999997</v>
      </c>
    </row>
    <row r="7" spans="1:16" x14ac:dyDescent="0.25">
      <c r="A7" t="s">
        <v>16</v>
      </c>
      <c r="B7" s="19">
        <v>142740589</v>
      </c>
      <c r="C7">
        <v>558</v>
      </c>
      <c r="D7">
        <v>1942</v>
      </c>
      <c r="E7" s="1">
        <v>0.22320000000000001</v>
      </c>
      <c r="F7" s="1">
        <v>0.77680000000000005</v>
      </c>
      <c r="G7">
        <v>20</v>
      </c>
      <c r="H7">
        <v>47</v>
      </c>
      <c r="I7">
        <v>113</v>
      </c>
      <c r="J7" s="20">
        <v>0.20250899999999999</v>
      </c>
      <c r="K7">
        <v>20</v>
      </c>
      <c r="L7">
        <v>13.75</v>
      </c>
      <c r="M7">
        <v>78</v>
      </c>
      <c r="N7">
        <v>1</v>
      </c>
      <c r="O7">
        <v>275</v>
      </c>
      <c r="P7" s="1">
        <v>0.49283199999999999</v>
      </c>
    </row>
    <row r="8" spans="1:16" x14ac:dyDescent="0.25">
      <c r="A8" t="s">
        <v>16</v>
      </c>
      <c r="B8" s="19">
        <v>1891121887</v>
      </c>
      <c r="C8">
        <v>568</v>
      </c>
      <c r="D8">
        <v>1932</v>
      </c>
      <c r="E8" s="1">
        <v>0.22720000000000001</v>
      </c>
      <c r="F8" s="1">
        <v>0.77280000000000004</v>
      </c>
      <c r="G8">
        <v>16</v>
      </c>
      <c r="H8">
        <v>45</v>
      </c>
      <c r="I8">
        <v>70</v>
      </c>
      <c r="J8" s="20">
        <v>0.123239</v>
      </c>
      <c r="K8">
        <v>22</v>
      </c>
      <c r="L8">
        <v>13.181818</v>
      </c>
      <c r="M8">
        <v>51</v>
      </c>
      <c r="N8">
        <v>1</v>
      </c>
      <c r="O8">
        <v>290</v>
      </c>
      <c r="P8" s="1">
        <v>0.51056299999999999</v>
      </c>
    </row>
    <row r="9" spans="1:16" x14ac:dyDescent="0.25">
      <c r="A9" t="s">
        <v>16</v>
      </c>
      <c r="B9" s="19">
        <v>1811207578</v>
      </c>
      <c r="C9">
        <v>649</v>
      </c>
      <c r="D9">
        <v>1851</v>
      </c>
      <c r="E9" s="1">
        <v>0.2596</v>
      </c>
      <c r="F9" s="1">
        <v>0.74039999999999995</v>
      </c>
      <c r="G9">
        <v>27</v>
      </c>
      <c r="H9">
        <v>33</v>
      </c>
      <c r="I9">
        <v>154</v>
      </c>
      <c r="J9" s="20">
        <v>0.237288</v>
      </c>
      <c r="K9">
        <v>18</v>
      </c>
      <c r="L9">
        <v>21.444444000000001</v>
      </c>
      <c r="M9">
        <v>114</v>
      </c>
      <c r="N9">
        <v>1</v>
      </c>
      <c r="O9">
        <v>386</v>
      </c>
      <c r="P9" s="1">
        <v>0.59476099999999998</v>
      </c>
    </row>
    <row r="10" spans="1:16" x14ac:dyDescent="0.25">
      <c r="A10" t="s">
        <v>16</v>
      </c>
      <c r="B10" s="19">
        <v>2072904260</v>
      </c>
      <c r="C10">
        <v>476</v>
      </c>
      <c r="D10">
        <v>2024</v>
      </c>
      <c r="E10" s="1">
        <v>0.19040000000000001</v>
      </c>
      <c r="F10" s="1">
        <v>0.80959999999999999</v>
      </c>
      <c r="G10">
        <v>14</v>
      </c>
      <c r="H10">
        <v>46</v>
      </c>
      <c r="I10">
        <v>58</v>
      </c>
      <c r="J10" s="20">
        <v>0.121849</v>
      </c>
      <c r="K10">
        <v>21</v>
      </c>
      <c r="L10">
        <v>10.904762</v>
      </c>
      <c r="M10">
        <v>30</v>
      </c>
      <c r="N10">
        <v>1</v>
      </c>
      <c r="O10">
        <v>229</v>
      </c>
      <c r="P10" s="1">
        <v>0.48109200000000002</v>
      </c>
    </row>
    <row r="11" spans="1:16" x14ac:dyDescent="0.25">
      <c r="A11" t="s">
        <v>16</v>
      </c>
      <c r="B11" s="19">
        <v>1814601763</v>
      </c>
      <c r="C11">
        <v>525</v>
      </c>
      <c r="D11">
        <v>1975</v>
      </c>
      <c r="E11" s="1">
        <v>0.21</v>
      </c>
      <c r="F11" s="1">
        <v>0.79</v>
      </c>
      <c r="G11">
        <v>20</v>
      </c>
      <c r="H11">
        <v>47</v>
      </c>
      <c r="I11">
        <v>81</v>
      </c>
      <c r="J11" s="20">
        <v>0.15428600000000001</v>
      </c>
      <c r="K11">
        <v>19</v>
      </c>
      <c r="L11">
        <v>14.894736999999999</v>
      </c>
      <c r="M11">
        <v>56</v>
      </c>
      <c r="N11">
        <v>1</v>
      </c>
      <c r="O11">
        <v>283</v>
      </c>
      <c r="P11" s="1">
        <v>0.53904799999999997</v>
      </c>
    </row>
    <row r="12" spans="1:16" x14ac:dyDescent="0.25">
      <c r="A12" t="s">
        <v>16</v>
      </c>
      <c r="B12" s="19">
        <v>1761419310</v>
      </c>
      <c r="C12">
        <v>428</v>
      </c>
      <c r="D12">
        <v>2072</v>
      </c>
      <c r="E12" s="1">
        <v>0.17119999999999999</v>
      </c>
      <c r="F12" s="1">
        <v>0.82879999999999998</v>
      </c>
      <c r="G12">
        <v>25</v>
      </c>
      <c r="H12">
        <v>45</v>
      </c>
      <c r="I12">
        <v>89</v>
      </c>
      <c r="J12" s="20">
        <v>0.20794399999999999</v>
      </c>
      <c r="K12">
        <v>16</v>
      </c>
      <c r="L12">
        <v>11.8125</v>
      </c>
      <c r="M12">
        <v>42</v>
      </c>
      <c r="N12">
        <v>3</v>
      </c>
      <c r="O12">
        <v>189</v>
      </c>
      <c r="P12" s="1">
        <v>0.44158900000000001</v>
      </c>
    </row>
    <row r="13" spans="1:16" x14ac:dyDescent="0.25">
      <c r="A13" t="s">
        <v>16</v>
      </c>
      <c r="B13" s="19">
        <v>1937539434</v>
      </c>
      <c r="C13">
        <v>454</v>
      </c>
      <c r="D13">
        <v>2046</v>
      </c>
      <c r="E13" s="1">
        <v>0.18160000000000001</v>
      </c>
      <c r="F13" s="1">
        <v>0.81840000000000002</v>
      </c>
      <c r="G13">
        <v>14</v>
      </c>
      <c r="H13">
        <v>49</v>
      </c>
      <c r="I13">
        <v>64</v>
      </c>
      <c r="J13" s="20">
        <v>0.14096900000000001</v>
      </c>
      <c r="K13">
        <v>18</v>
      </c>
      <c r="L13">
        <v>11.222222</v>
      </c>
      <c r="M13">
        <v>44</v>
      </c>
      <c r="N13">
        <v>1</v>
      </c>
      <c r="O13">
        <v>202</v>
      </c>
      <c r="P13" s="1">
        <v>0.444934</v>
      </c>
    </row>
    <row r="14" spans="1:16" x14ac:dyDescent="0.25">
      <c r="A14" t="s">
        <v>16</v>
      </c>
      <c r="B14" s="19">
        <v>1423356995</v>
      </c>
      <c r="C14">
        <v>434</v>
      </c>
      <c r="D14">
        <v>2066</v>
      </c>
      <c r="E14" s="1">
        <v>0.1736</v>
      </c>
      <c r="F14" s="1">
        <v>0.82640000000000002</v>
      </c>
      <c r="G14">
        <v>13</v>
      </c>
      <c r="H14">
        <v>47</v>
      </c>
      <c r="I14">
        <v>43</v>
      </c>
      <c r="J14" s="20">
        <v>9.9077999999999999E-2</v>
      </c>
      <c r="K14">
        <v>20</v>
      </c>
      <c r="L14">
        <v>9.85</v>
      </c>
      <c r="M14">
        <v>32</v>
      </c>
      <c r="N14">
        <v>2</v>
      </c>
      <c r="O14">
        <v>197</v>
      </c>
      <c r="P14" s="1">
        <v>0.45391700000000001</v>
      </c>
    </row>
    <row r="15" spans="1:16" x14ac:dyDescent="0.25">
      <c r="A15" t="s">
        <v>16</v>
      </c>
      <c r="B15" s="19">
        <v>156567000</v>
      </c>
      <c r="C15">
        <v>695</v>
      </c>
      <c r="D15">
        <v>1805</v>
      </c>
      <c r="E15" s="1">
        <v>0.27800000000000002</v>
      </c>
      <c r="F15" s="1">
        <v>0.72199999999999998</v>
      </c>
      <c r="G15">
        <v>21</v>
      </c>
      <c r="H15">
        <v>55</v>
      </c>
      <c r="I15">
        <v>133</v>
      </c>
      <c r="J15" s="20">
        <v>0.19136700000000001</v>
      </c>
      <c r="K15">
        <v>20</v>
      </c>
      <c r="L15">
        <v>19.8</v>
      </c>
      <c r="M15">
        <v>103</v>
      </c>
      <c r="N15">
        <v>1</v>
      </c>
      <c r="O15">
        <v>396</v>
      </c>
      <c r="P15" s="1">
        <v>0.56978399999999996</v>
      </c>
    </row>
    <row r="16" spans="1:16" x14ac:dyDescent="0.25">
      <c r="A16" t="s">
        <v>16</v>
      </c>
      <c r="B16" s="19">
        <v>1906445738</v>
      </c>
      <c r="C16">
        <v>590</v>
      </c>
      <c r="D16">
        <v>1910</v>
      </c>
      <c r="E16" s="1">
        <v>0.23599999999999999</v>
      </c>
      <c r="F16" s="1">
        <v>0.76400000000000001</v>
      </c>
      <c r="G16">
        <v>34</v>
      </c>
      <c r="H16">
        <v>47</v>
      </c>
      <c r="I16">
        <v>147</v>
      </c>
      <c r="J16" s="20">
        <v>0.24915300000000001</v>
      </c>
      <c r="K16">
        <v>23</v>
      </c>
      <c r="L16">
        <v>12.782609000000001</v>
      </c>
      <c r="M16">
        <v>59</v>
      </c>
      <c r="N16">
        <v>1</v>
      </c>
      <c r="O16">
        <v>294</v>
      </c>
      <c r="P16" s="1">
        <v>0.498305</v>
      </c>
    </row>
    <row r="17" spans="1:16" x14ac:dyDescent="0.25">
      <c r="A17" t="s">
        <v>16</v>
      </c>
      <c r="B17" s="19">
        <v>89642046</v>
      </c>
      <c r="C17">
        <v>470</v>
      </c>
      <c r="D17">
        <v>2030</v>
      </c>
      <c r="E17" s="1">
        <v>0.188</v>
      </c>
      <c r="F17" s="1">
        <v>0.81200000000000006</v>
      </c>
      <c r="G17">
        <v>19</v>
      </c>
      <c r="H17">
        <v>57</v>
      </c>
      <c r="I17">
        <v>95</v>
      </c>
      <c r="J17" s="20">
        <v>0.202128</v>
      </c>
      <c r="K17">
        <v>25</v>
      </c>
      <c r="L17">
        <v>7.8</v>
      </c>
      <c r="M17">
        <v>26</v>
      </c>
      <c r="N17">
        <v>1</v>
      </c>
      <c r="O17">
        <v>195</v>
      </c>
      <c r="P17" s="1">
        <v>0.41489399999999999</v>
      </c>
    </row>
    <row r="18" spans="1:16" x14ac:dyDescent="0.25">
      <c r="A18" t="s">
        <v>16</v>
      </c>
      <c r="B18" s="19">
        <v>1962238885</v>
      </c>
      <c r="C18">
        <v>625</v>
      </c>
      <c r="D18">
        <v>1875</v>
      </c>
      <c r="E18" s="1">
        <v>0.25</v>
      </c>
      <c r="F18" s="1">
        <v>0.75</v>
      </c>
      <c r="G18">
        <v>33</v>
      </c>
      <c r="H18">
        <v>42</v>
      </c>
      <c r="I18">
        <v>203</v>
      </c>
      <c r="J18" s="20">
        <v>0.32479999999999998</v>
      </c>
      <c r="K18">
        <v>19</v>
      </c>
      <c r="L18">
        <v>18.842105</v>
      </c>
      <c r="M18">
        <v>60</v>
      </c>
      <c r="N18">
        <v>1</v>
      </c>
      <c r="O18">
        <v>358</v>
      </c>
      <c r="P18" s="1">
        <v>0.57279999999999998</v>
      </c>
    </row>
    <row r="19" spans="1:16" x14ac:dyDescent="0.25">
      <c r="A19" t="s">
        <v>16</v>
      </c>
      <c r="B19" s="19">
        <v>1368829221</v>
      </c>
      <c r="C19">
        <v>605</v>
      </c>
      <c r="D19">
        <v>1895</v>
      </c>
      <c r="E19" s="1">
        <v>0.24199999999999999</v>
      </c>
      <c r="F19" s="1">
        <v>0.75800000000000001</v>
      </c>
      <c r="G19">
        <v>19</v>
      </c>
      <c r="H19">
        <v>48</v>
      </c>
      <c r="I19">
        <v>82</v>
      </c>
      <c r="J19" s="20">
        <v>0.13553699999999999</v>
      </c>
      <c r="K19">
        <v>20</v>
      </c>
      <c r="L19">
        <v>15.7</v>
      </c>
      <c r="M19">
        <v>51</v>
      </c>
      <c r="N19">
        <v>1</v>
      </c>
      <c r="O19">
        <v>314</v>
      </c>
      <c r="P19" s="1">
        <v>0.51900800000000002</v>
      </c>
    </row>
    <row r="20" spans="1:16" x14ac:dyDescent="0.25">
      <c r="A20" t="s">
        <v>16</v>
      </c>
      <c r="B20" s="19">
        <v>543082507</v>
      </c>
      <c r="C20">
        <v>611</v>
      </c>
      <c r="D20">
        <v>1889</v>
      </c>
      <c r="E20" s="1">
        <v>0.24440000000000001</v>
      </c>
      <c r="F20" s="1">
        <v>0.75560000000000005</v>
      </c>
      <c r="G20">
        <v>31</v>
      </c>
      <c r="H20">
        <v>51</v>
      </c>
      <c r="I20">
        <v>220</v>
      </c>
      <c r="J20" s="20">
        <v>0.36006500000000002</v>
      </c>
      <c r="K20">
        <v>18</v>
      </c>
      <c r="L20">
        <v>18.166667</v>
      </c>
      <c r="M20">
        <v>147</v>
      </c>
      <c r="N20">
        <v>1</v>
      </c>
      <c r="O20">
        <v>327</v>
      </c>
      <c r="P20" s="1">
        <v>0.535188</v>
      </c>
    </row>
    <row r="21" spans="1:16" x14ac:dyDescent="0.25">
      <c r="A21" t="s">
        <v>16</v>
      </c>
      <c r="B21" s="19">
        <v>2117799035</v>
      </c>
      <c r="C21">
        <v>556</v>
      </c>
      <c r="D21">
        <v>1944</v>
      </c>
      <c r="E21" s="1">
        <v>0.22239999999999999</v>
      </c>
      <c r="F21" s="1">
        <v>0.77759999999999996</v>
      </c>
      <c r="G21">
        <v>18</v>
      </c>
      <c r="H21">
        <v>38</v>
      </c>
      <c r="I21">
        <v>90</v>
      </c>
      <c r="J21" s="20">
        <v>0.16187099999999999</v>
      </c>
      <c r="K21">
        <v>22</v>
      </c>
      <c r="L21">
        <v>13.318182</v>
      </c>
      <c r="M21">
        <v>48</v>
      </c>
      <c r="N21">
        <v>2</v>
      </c>
      <c r="O21">
        <v>293</v>
      </c>
      <c r="P21" s="1">
        <v>0.52697799999999995</v>
      </c>
    </row>
    <row r="22" spans="1:16" x14ac:dyDescent="0.25">
      <c r="A22" t="s">
        <v>16</v>
      </c>
      <c r="B22" s="19">
        <v>615312369</v>
      </c>
      <c r="C22">
        <v>629</v>
      </c>
      <c r="D22">
        <v>1871</v>
      </c>
      <c r="E22" s="1">
        <v>0.25159999999999999</v>
      </c>
      <c r="F22" s="1">
        <v>0.74839999999999995</v>
      </c>
      <c r="G22">
        <v>32</v>
      </c>
      <c r="H22">
        <v>34</v>
      </c>
      <c r="I22">
        <v>158</v>
      </c>
      <c r="J22" s="20">
        <v>0.25119200000000003</v>
      </c>
      <c r="K22">
        <v>24</v>
      </c>
      <c r="L22">
        <v>14.125</v>
      </c>
      <c r="M22">
        <v>85</v>
      </c>
      <c r="N22">
        <v>1</v>
      </c>
      <c r="O22">
        <v>339</v>
      </c>
      <c r="P22" s="1">
        <v>0.53895099999999996</v>
      </c>
    </row>
    <row r="23" spans="1:16" x14ac:dyDescent="0.25">
      <c r="A23" t="s">
        <v>16</v>
      </c>
      <c r="B23" s="19">
        <v>44137177</v>
      </c>
      <c r="C23">
        <v>655</v>
      </c>
      <c r="D23">
        <v>1845</v>
      </c>
      <c r="E23" s="1">
        <v>0.26200000000000001</v>
      </c>
      <c r="F23" s="1">
        <v>0.73799999999999999</v>
      </c>
      <c r="G23">
        <v>28</v>
      </c>
      <c r="H23">
        <v>52</v>
      </c>
      <c r="I23">
        <v>167</v>
      </c>
      <c r="J23" s="20">
        <v>0.25496200000000002</v>
      </c>
      <c r="K23">
        <v>16</v>
      </c>
      <c r="L23">
        <v>23.8125</v>
      </c>
      <c r="M23">
        <v>115</v>
      </c>
      <c r="N23">
        <v>1</v>
      </c>
      <c r="O23">
        <v>381</v>
      </c>
      <c r="P23" s="1">
        <v>0.58167899999999995</v>
      </c>
    </row>
    <row r="24" spans="1:16" x14ac:dyDescent="0.25">
      <c r="A24" t="s">
        <v>16</v>
      </c>
      <c r="B24" s="19">
        <v>1266059465</v>
      </c>
      <c r="C24">
        <v>554</v>
      </c>
      <c r="D24">
        <v>1946</v>
      </c>
      <c r="E24" s="1">
        <v>0.22159999999999999</v>
      </c>
      <c r="F24" s="1">
        <v>0.77839999999999998</v>
      </c>
      <c r="G24">
        <v>19</v>
      </c>
      <c r="H24">
        <v>38</v>
      </c>
      <c r="I24">
        <v>69</v>
      </c>
      <c r="J24" s="20">
        <v>0.12454900000000001</v>
      </c>
      <c r="K24">
        <v>23</v>
      </c>
      <c r="L24">
        <v>12.652174</v>
      </c>
      <c r="M24">
        <v>39</v>
      </c>
      <c r="N24">
        <v>1</v>
      </c>
      <c r="O24">
        <v>291</v>
      </c>
      <c r="P24" s="1">
        <v>0.52527100000000004</v>
      </c>
    </row>
    <row r="25" spans="1:16" x14ac:dyDescent="0.25">
      <c r="A25" t="s">
        <v>16</v>
      </c>
      <c r="B25" s="19">
        <v>886815406</v>
      </c>
      <c r="C25">
        <v>495</v>
      </c>
      <c r="D25">
        <v>2005</v>
      </c>
      <c r="E25" s="1">
        <v>0.19800000000000001</v>
      </c>
      <c r="F25" s="1">
        <v>0.80200000000000005</v>
      </c>
      <c r="G25">
        <v>32</v>
      </c>
      <c r="H25">
        <v>35</v>
      </c>
      <c r="I25">
        <v>146</v>
      </c>
      <c r="J25" s="20">
        <v>0.29494900000000002</v>
      </c>
      <c r="K25">
        <v>25</v>
      </c>
      <c r="L25">
        <v>9.8800000000000008</v>
      </c>
      <c r="M25">
        <v>73</v>
      </c>
      <c r="N25">
        <v>1</v>
      </c>
      <c r="O25">
        <v>247</v>
      </c>
      <c r="P25" s="1">
        <v>0.49898999999999999</v>
      </c>
    </row>
    <row r="26" spans="1:16" x14ac:dyDescent="0.25">
      <c r="A26" t="s">
        <v>16</v>
      </c>
      <c r="B26" s="19">
        <v>1758576060</v>
      </c>
      <c r="C26">
        <v>602</v>
      </c>
      <c r="D26">
        <v>1898</v>
      </c>
      <c r="E26" s="1">
        <v>0.24079999999999999</v>
      </c>
      <c r="F26" s="1">
        <v>0.75919999999999999</v>
      </c>
      <c r="G26">
        <v>25</v>
      </c>
      <c r="H26">
        <v>44</v>
      </c>
      <c r="I26">
        <v>202</v>
      </c>
      <c r="J26" s="20">
        <v>0.33554800000000001</v>
      </c>
      <c r="K26">
        <v>21</v>
      </c>
      <c r="L26">
        <v>15.428571</v>
      </c>
      <c r="M26">
        <v>125</v>
      </c>
      <c r="N26">
        <v>1</v>
      </c>
      <c r="O26">
        <v>324</v>
      </c>
      <c r="P26" s="1">
        <v>0.53820599999999996</v>
      </c>
    </row>
    <row r="27" spans="1:16" x14ac:dyDescent="0.25">
      <c r="A27" t="s">
        <v>16</v>
      </c>
      <c r="B27" s="19">
        <v>89437933</v>
      </c>
      <c r="C27">
        <v>552</v>
      </c>
      <c r="D27">
        <v>1948</v>
      </c>
      <c r="E27" s="1">
        <v>0.2208</v>
      </c>
      <c r="F27" s="1">
        <v>0.7792</v>
      </c>
      <c r="G27">
        <v>21</v>
      </c>
      <c r="H27">
        <v>51</v>
      </c>
      <c r="I27">
        <v>88</v>
      </c>
      <c r="J27" s="20">
        <v>0.15942000000000001</v>
      </c>
      <c r="K27">
        <v>23</v>
      </c>
      <c r="L27">
        <v>11.652174</v>
      </c>
      <c r="M27">
        <v>36</v>
      </c>
      <c r="N27">
        <v>1</v>
      </c>
      <c r="O27">
        <v>268</v>
      </c>
      <c r="P27" s="1">
        <v>0.48550700000000002</v>
      </c>
    </row>
    <row r="28" spans="1:16" x14ac:dyDescent="0.25">
      <c r="A28" t="s">
        <v>16</v>
      </c>
      <c r="B28" s="19">
        <v>1918638999</v>
      </c>
      <c r="C28">
        <v>638</v>
      </c>
      <c r="D28">
        <v>1862</v>
      </c>
      <c r="E28" s="1">
        <v>0.25519999999999998</v>
      </c>
      <c r="F28" s="1">
        <v>0.74480000000000002</v>
      </c>
      <c r="G28">
        <v>29</v>
      </c>
      <c r="H28">
        <v>44</v>
      </c>
      <c r="I28">
        <v>210</v>
      </c>
      <c r="J28" s="20">
        <v>0.329154</v>
      </c>
      <c r="K28">
        <v>17</v>
      </c>
      <c r="L28">
        <v>22.705881999999999</v>
      </c>
      <c r="M28">
        <v>71</v>
      </c>
      <c r="N28">
        <v>1</v>
      </c>
      <c r="O28">
        <v>386</v>
      </c>
      <c r="P28" s="1">
        <v>0.605016</v>
      </c>
    </row>
    <row r="29" spans="1:16" x14ac:dyDescent="0.25">
      <c r="A29" t="s">
        <v>16</v>
      </c>
      <c r="B29" s="19">
        <v>1353300453</v>
      </c>
      <c r="C29">
        <v>673</v>
      </c>
      <c r="D29">
        <v>1827</v>
      </c>
      <c r="E29" s="1">
        <v>0.26919999999999999</v>
      </c>
      <c r="F29" s="1">
        <v>0.73080000000000001</v>
      </c>
      <c r="G29">
        <v>38</v>
      </c>
      <c r="H29">
        <v>33</v>
      </c>
      <c r="I29">
        <v>221</v>
      </c>
      <c r="J29" s="20">
        <v>0.32838000000000001</v>
      </c>
      <c r="K29">
        <v>22</v>
      </c>
      <c r="L29">
        <v>18.454545</v>
      </c>
      <c r="M29">
        <v>82</v>
      </c>
      <c r="N29">
        <v>1</v>
      </c>
      <c r="O29">
        <v>406</v>
      </c>
      <c r="P29" s="1">
        <v>0.60326900000000006</v>
      </c>
    </row>
    <row r="30" spans="1:16" x14ac:dyDescent="0.25">
      <c r="A30" t="s">
        <v>16</v>
      </c>
      <c r="B30" s="19">
        <v>1165182106</v>
      </c>
      <c r="C30">
        <v>697</v>
      </c>
      <c r="D30">
        <v>1803</v>
      </c>
      <c r="E30" s="1">
        <v>0.27879999999999999</v>
      </c>
      <c r="F30" s="1">
        <v>0.72119999999999995</v>
      </c>
      <c r="G30">
        <v>37</v>
      </c>
      <c r="H30">
        <v>29</v>
      </c>
      <c r="I30">
        <v>233</v>
      </c>
      <c r="J30" s="20">
        <v>0.33428999999999998</v>
      </c>
      <c r="K30">
        <v>19</v>
      </c>
      <c r="L30">
        <v>22.421053000000001</v>
      </c>
      <c r="M30">
        <v>81</v>
      </c>
      <c r="N30">
        <v>1</v>
      </c>
      <c r="O30">
        <v>426</v>
      </c>
      <c r="P30" s="1">
        <v>0.61119100000000004</v>
      </c>
    </row>
    <row r="31" spans="1:16" x14ac:dyDescent="0.25">
      <c r="A31" t="s">
        <v>16</v>
      </c>
      <c r="B31" s="19">
        <v>1899082732</v>
      </c>
      <c r="C31">
        <v>566</v>
      </c>
      <c r="D31">
        <v>1934</v>
      </c>
      <c r="E31" s="1">
        <v>0.22639999999999999</v>
      </c>
      <c r="F31" s="1">
        <v>0.77359999999999995</v>
      </c>
      <c r="G31">
        <v>28</v>
      </c>
      <c r="H31">
        <v>37</v>
      </c>
      <c r="I31">
        <v>158</v>
      </c>
      <c r="J31" s="20">
        <v>0.27915200000000001</v>
      </c>
      <c r="K31">
        <v>19</v>
      </c>
      <c r="L31">
        <v>15.052631999999999</v>
      </c>
      <c r="M31">
        <v>76</v>
      </c>
      <c r="N31">
        <v>1</v>
      </c>
      <c r="O31">
        <v>286</v>
      </c>
      <c r="P31" s="1">
        <v>0.50529999999999997</v>
      </c>
    </row>
    <row r="32" spans="1:16" x14ac:dyDescent="0.25">
      <c r="A32" t="s">
        <v>16</v>
      </c>
      <c r="B32" s="19">
        <v>972044271</v>
      </c>
      <c r="C32">
        <v>580</v>
      </c>
      <c r="D32">
        <v>1920</v>
      </c>
      <c r="E32" s="1">
        <v>0.23200000000000001</v>
      </c>
      <c r="F32" s="1">
        <v>0.76800000000000002</v>
      </c>
      <c r="G32">
        <v>16</v>
      </c>
      <c r="H32">
        <v>41</v>
      </c>
      <c r="I32">
        <v>74</v>
      </c>
      <c r="J32" s="20">
        <v>0.127586</v>
      </c>
      <c r="K32">
        <v>19</v>
      </c>
      <c r="L32">
        <v>17.105263000000001</v>
      </c>
      <c r="M32">
        <v>44</v>
      </c>
      <c r="N32">
        <v>2</v>
      </c>
      <c r="O32">
        <v>325</v>
      </c>
      <c r="P32" s="1">
        <v>0.56034499999999998</v>
      </c>
    </row>
    <row r="33" spans="1:16" x14ac:dyDescent="0.25">
      <c r="A33" t="s">
        <v>16</v>
      </c>
      <c r="B33" s="19">
        <v>826883436</v>
      </c>
      <c r="C33">
        <v>571</v>
      </c>
      <c r="D33">
        <v>1929</v>
      </c>
      <c r="E33" s="1">
        <v>0.22839999999999999</v>
      </c>
      <c r="F33" s="1">
        <v>0.77159999999999995</v>
      </c>
      <c r="G33">
        <v>28</v>
      </c>
      <c r="H33">
        <v>37</v>
      </c>
      <c r="I33">
        <v>105</v>
      </c>
      <c r="J33" s="20">
        <v>0.183888</v>
      </c>
      <c r="K33">
        <v>23</v>
      </c>
      <c r="L33">
        <v>13.826086999999999</v>
      </c>
      <c r="M33">
        <v>57</v>
      </c>
      <c r="N33">
        <v>1</v>
      </c>
      <c r="O33">
        <v>318</v>
      </c>
      <c r="P33" s="1">
        <v>0.55691800000000002</v>
      </c>
    </row>
    <row r="34" spans="1:16" x14ac:dyDescent="0.25">
      <c r="A34" t="s">
        <v>16</v>
      </c>
      <c r="B34" s="19">
        <v>749610943</v>
      </c>
      <c r="C34">
        <v>574</v>
      </c>
      <c r="D34">
        <v>1926</v>
      </c>
      <c r="E34" s="1">
        <v>0.2296</v>
      </c>
      <c r="F34" s="1">
        <v>0.77039999999999997</v>
      </c>
      <c r="G34">
        <v>23</v>
      </c>
      <c r="H34">
        <v>42</v>
      </c>
      <c r="I34">
        <v>101</v>
      </c>
      <c r="J34" s="20">
        <v>0.175958</v>
      </c>
      <c r="K34">
        <v>25</v>
      </c>
      <c r="L34">
        <v>11.32</v>
      </c>
      <c r="M34">
        <v>43</v>
      </c>
      <c r="N34">
        <v>1</v>
      </c>
      <c r="O34">
        <v>283</v>
      </c>
      <c r="P34" s="1">
        <v>0.493031</v>
      </c>
    </row>
    <row r="35" spans="1:16" x14ac:dyDescent="0.25">
      <c r="A35" t="s">
        <v>16</v>
      </c>
      <c r="B35" s="19">
        <v>289998233</v>
      </c>
      <c r="C35">
        <v>597</v>
      </c>
      <c r="D35">
        <v>1903</v>
      </c>
      <c r="E35" s="1">
        <v>0.23880000000000001</v>
      </c>
      <c r="F35" s="1">
        <v>0.76119999999999999</v>
      </c>
      <c r="G35">
        <v>34</v>
      </c>
      <c r="H35">
        <v>38</v>
      </c>
      <c r="I35">
        <v>154</v>
      </c>
      <c r="J35" s="20">
        <v>0.25795600000000002</v>
      </c>
      <c r="K35">
        <v>17</v>
      </c>
      <c r="L35">
        <v>19.411764999999999</v>
      </c>
      <c r="M35">
        <v>87</v>
      </c>
      <c r="N35">
        <v>1</v>
      </c>
      <c r="O35">
        <v>330</v>
      </c>
      <c r="P35" s="1">
        <v>0.55276400000000003</v>
      </c>
    </row>
    <row r="36" spans="1:16" x14ac:dyDescent="0.25">
      <c r="A36" t="s">
        <v>16</v>
      </c>
      <c r="B36" s="19">
        <v>368898822</v>
      </c>
      <c r="C36">
        <v>543</v>
      </c>
      <c r="D36">
        <v>1957</v>
      </c>
      <c r="E36" s="1">
        <v>0.2172</v>
      </c>
      <c r="F36" s="1">
        <v>0.78280000000000005</v>
      </c>
      <c r="G36">
        <v>28</v>
      </c>
      <c r="H36">
        <v>43</v>
      </c>
      <c r="I36">
        <v>117</v>
      </c>
      <c r="J36" s="20">
        <v>0.21546999999999999</v>
      </c>
      <c r="K36">
        <v>15</v>
      </c>
      <c r="L36">
        <v>20.866667</v>
      </c>
      <c r="M36">
        <v>89</v>
      </c>
      <c r="N36">
        <v>1</v>
      </c>
      <c r="O36">
        <v>313</v>
      </c>
      <c r="P36" s="1">
        <v>0.57642700000000002</v>
      </c>
    </row>
    <row r="37" spans="1:16" x14ac:dyDescent="0.25">
      <c r="A37" t="s">
        <v>16</v>
      </c>
      <c r="B37" s="19">
        <v>462453775</v>
      </c>
      <c r="C37">
        <v>607</v>
      </c>
      <c r="D37">
        <v>1893</v>
      </c>
      <c r="E37" s="1">
        <v>0.24279999999999999</v>
      </c>
      <c r="F37" s="1">
        <v>0.75719999999999998</v>
      </c>
      <c r="G37">
        <v>23</v>
      </c>
      <c r="H37">
        <v>45</v>
      </c>
      <c r="I37">
        <v>112</v>
      </c>
      <c r="J37" s="20">
        <v>0.18451400000000001</v>
      </c>
      <c r="K37">
        <v>20</v>
      </c>
      <c r="L37">
        <v>15.65</v>
      </c>
      <c r="M37">
        <v>52</v>
      </c>
      <c r="N37">
        <v>1</v>
      </c>
      <c r="O37">
        <v>313</v>
      </c>
      <c r="P37" s="1">
        <v>0.51565099999999997</v>
      </c>
    </row>
    <row r="38" spans="1:16" x14ac:dyDescent="0.25">
      <c r="A38" t="s">
        <v>16</v>
      </c>
      <c r="B38" s="19">
        <v>156162384</v>
      </c>
      <c r="C38">
        <v>571</v>
      </c>
      <c r="D38">
        <v>1929</v>
      </c>
      <c r="E38" s="1">
        <v>0.22839999999999999</v>
      </c>
      <c r="F38" s="1">
        <v>0.77159999999999995</v>
      </c>
      <c r="G38">
        <v>26</v>
      </c>
      <c r="H38">
        <v>41</v>
      </c>
      <c r="I38">
        <v>152</v>
      </c>
      <c r="J38" s="20">
        <v>0.26619999999999999</v>
      </c>
      <c r="K38">
        <v>18</v>
      </c>
      <c r="L38">
        <v>18.777778000000001</v>
      </c>
      <c r="M38">
        <v>111</v>
      </c>
      <c r="N38">
        <v>1</v>
      </c>
      <c r="O38">
        <v>338</v>
      </c>
      <c r="P38" s="1">
        <v>0.59194400000000003</v>
      </c>
    </row>
    <row r="39" spans="1:16" x14ac:dyDescent="0.25">
      <c r="A39" t="s">
        <v>16</v>
      </c>
      <c r="B39" s="19">
        <v>1578446911</v>
      </c>
      <c r="C39">
        <v>614</v>
      </c>
      <c r="D39">
        <v>1886</v>
      </c>
      <c r="E39" s="1">
        <v>0.24560000000000001</v>
      </c>
      <c r="F39" s="1">
        <v>0.75439999999999996</v>
      </c>
      <c r="G39">
        <v>23</v>
      </c>
      <c r="H39">
        <v>36</v>
      </c>
      <c r="I39">
        <v>128</v>
      </c>
      <c r="J39" s="20">
        <v>0.20846899999999999</v>
      </c>
      <c r="K39">
        <v>23</v>
      </c>
      <c r="L39">
        <v>15.304347999999999</v>
      </c>
      <c r="M39">
        <v>75</v>
      </c>
      <c r="N39">
        <v>1</v>
      </c>
      <c r="O39">
        <v>352</v>
      </c>
      <c r="P39" s="1">
        <v>0.57328999999999997</v>
      </c>
    </row>
    <row r="40" spans="1:16" x14ac:dyDescent="0.25">
      <c r="A40" t="s">
        <v>16</v>
      </c>
      <c r="B40" s="19">
        <v>550993831</v>
      </c>
      <c r="C40">
        <v>651</v>
      </c>
      <c r="D40">
        <v>1849</v>
      </c>
      <c r="E40" s="1">
        <v>0.26040000000000002</v>
      </c>
      <c r="F40" s="1">
        <v>0.73960000000000004</v>
      </c>
      <c r="G40">
        <v>19</v>
      </c>
      <c r="H40">
        <v>44</v>
      </c>
      <c r="I40">
        <v>96</v>
      </c>
      <c r="J40" s="20">
        <v>0.14746500000000001</v>
      </c>
      <c r="K40">
        <v>23</v>
      </c>
      <c r="L40">
        <v>15.434782999999999</v>
      </c>
      <c r="M40">
        <v>60</v>
      </c>
      <c r="N40">
        <v>1</v>
      </c>
      <c r="O40">
        <v>355</v>
      </c>
      <c r="P40" s="1">
        <v>0.54531499999999999</v>
      </c>
    </row>
    <row r="41" spans="1:16" x14ac:dyDescent="0.25">
      <c r="A41" t="s">
        <v>16</v>
      </c>
      <c r="B41" s="19">
        <v>807585987</v>
      </c>
      <c r="C41">
        <v>530</v>
      </c>
      <c r="D41">
        <v>1970</v>
      </c>
      <c r="E41" s="1">
        <v>0.21199999999999999</v>
      </c>
      <c r="F41" s="1">
        <v>0.78800000000000003</v>
      </c>
      <c r="G41">
        <v>28</v>
      </c>
      <c r="H41">
        <v>49</v>
      </c>
      <c r="I41">
        <v>109</v>
      </c>
      <c r="J41" s="20">
        <v>0.20566000000000001</v>
      </c>
      <c r="K41">
        <v>23</v>
      </c>
      <c r="L41">
        <v>11.086957</v>
      </c>
      <c r="M41">
        <v>42</v>
      </c>
      <c r="N41">
        <v>1</v>
      </c>
      <c r="O41">
        <v>255</v>
      </c>
      <c r="P41" s="1">
        <v>0.481132</v>
      </c>
    </row>
    <row r="42" spans="1:16" x14ac:dyDescent="0.25">
      <c r="A42" t="s">
        <v>16</v>
      </c>
      <c r="B42" s="19">
        <v>175708344</v>
      </c>
      <c r="C42">
        <v>571</v>
      </c>
      <c r="D42">
        <v>1929</v>
      </c>
      <c r="E42" s="1">
        <v>0.22839999999999999</v>
      </c>
      <c r="F42" s="1">
        <v>0.77159999999999995</v>
      </c>
      <c r="G42">
        <v>33</v>
      </c>
      <c r="H42">
        <v>50</v>
      </c>
      <c r="I42">
        <v>163</v>
      </c>
      <c r="J42" s="20">
        <v>0.285464</v>
      </c>
      <c r="K42">
        <v>19</v>
      </c>
      <c r="L42">
        <v>15.736841999999999</v>
      </c>
      <c r="M42">
        <v>113</v>
      </c>
      <c r="N42">
        <v>1</v>
      </c>
      <c r="O42">
        <v>299</v>
      </c>
      <c r="P42" s="1">
        <v>0.52364299999999997</v>
      </c>
    </row>
    <row r="43" spans="1:16" x14ac:dyDescent="0.25">
      <c r="A43" t="s">
        <v>16</v>
      </c>
      <c r="B43" s="19">
        <v>940123950</v>
      </c>
      <c r="C43">
        <v>648</v>
      </c>
      <c r="D43">
        <v>1852</v>
      </c>
      <c r="E43" s="1">
        <v>0.25919999999999999</v>
      </c>
      <c r="F43" s="1">
        <v>0.74080000000000001</v>
      </c>
      <c r="G43">
        <v>27</v>
      </c>
      <c r="H43">
        <v>39</v>
      </c>
      <c r="I43">
        <v>152</v>
      </c>
      <c r="J43" s="20">
        <v>0.234568</v>
      </c>
      <c r="K43">
        <v>21</v>
      </c>
      <c r="L43">
        <v>16.952380999999999</v>
      </c>
      <c r="M43">
        <v>106</v>
      </c>
      <c r="N43">
        <v>2</v>
      </c>
      <c r="O43">
        <v>356</v>
      </c>
      <c r="P43" s="1">
        <v>0.54938299999999995</v>
      </c>
    </row>
    <row r="44" spans="1:16" x14ac:dyDescent="0.25">
      <c r="A44" t="s">
        <v>16</v>
      </c>
      <c r="B44" s="19">
        <v>453479373</v>
      </c>
      <c r="C44">
        <v>725</v>
      </c>
      <c r="D44">
        <v>1775</v>
      </c>
      <c r="E44" s="1">
        <v>0.28999999999999998</v>
      </c>
      <c r="F44" s="1">
        <v>0.71</v>
      </c>
      <c r="G44">
        <v>35</v>
      </c>
      <c r="H44">
        <v>35</v>
      </c>
      <c r="I44">
        <v>171</v>
      </c>
      <c r="J44" s="20">
        <v>0.23586199999999999</v>
      </c>
      <c r="K44">
        <v>24</v>
      </c>
      <c r="L44">
        <v>17.333333</v>
      </c>
      <c r="M44">
        <v>109</v>
      </c>
      <c r="N44">
        <v>1</v>
      </c>
      <c r="O44">
        <v>416</v>
      </c>
      <c r="P44" s="1">
        <v>0.573793</v>
      </c>
    </row>
    <row r="45" spans="1:16" x14ac:dyDescent="0.25">
      <c r="A45" t="s">
        <v>16</v>
      </c>
      <c r="B45" s="19">
        <v>1994645250</v>
      </c>
      <c r="C45">
        <v>607</v>
      </c>
      <c r="D45">
        <v>1893</v>
      </c>
      <c r="E45" s="1">
        <v>0.24279999999999999</v>
      </c>
      <c r="F45" s="1">
        <v>0.75719999999999998</v>
      </c>
      <c r="G45">
        <v>24</v>
      </c>
      <c r="H45">
        <v>47</v>
      </c>
      <c r="I45">
        <v>123</v>
      </c>
      <c r="J45" s="20">
        <v>0.20263600000000001</v>
      </c>
      <c r="K45">
        <v>23</v>
      </c>
      <c r="L45">
        <v>12.826086999999999</v>
      </c>
      <c r="M45">
        <v>84</v>
      </c>
      <c r="N45">
        <v>1</v>
      </c>
      <c r="O45">
        <v>295</v>
      </c>
      <c r="P45" s="1">
        <v>0.48599700000000001</v>
      </c>
    </row>
    <row r="46" spans="1:16" x14ac:dyDescent="0.25">
      <c r="A46" t="s">
        <v>16</v>
      </c>
      <c r="B46" s="19">
        <v>247409737</v>
      </c>
      <c r="C46">
        <v>666</v>
      </c>
      <c r="D46">
        <v>1834</v>
      </c>
      <c r="E46" s="1">
        <v>0.26640000000000003</v>
      </c>
      <c r="F46" s="1">
        <v>0.73360000000000003</v>
      </c>
      <c r="G46">
        <v>27</v>
      </c>
      <c r="H46">
        <v>31</v>
      </c>
      <c r="I46">
        <v>178</v>
      </c>
      <c r="J46" s="20">
        <v>0.26726699999999998</v>
      </c>
      <c r="K46">
        <v>18</v>
      </c>
      <c r="L46">
        <v>21.888888999999999</v>
      </c>
      <c r="M46">
        <v>106</v>
      </c>
      <c r="N46">
        <v>2</v>
      </c>
      <c r="O46">
        <v>394</v>
      </c>
      <c r="P46" s="1">
        <v>0.59159200000000001</v>
      </c>
    </row>
    <row r="47" spans="1:16" x14ac:dyDescent="0.25">
      <c r="A47" t="s">
        <v>16</v>
      </c>
      <c r="B47" s="19">
        <v>113962084</v>
      </c>
      <c r="C47">
        <v>572</v>
      </c>
      <c r="D47">
        <v>1928</v>
      </c>
      <c r="E47" s="1">
        <v>0.2288</v>
      </c>
      <c r="F47" s="1">
        <v>0.7712</v>
      </c>
      <c r="G47">
        <v>29</v>
      </c>
      <c r="H47">
        <v>39</v>
      </c>
      <c r="I47">
        <v>156</v>
      </c>
      <c r="J47" s="20">
        <v>0.272727</v>
      </c>
      <c r="K47">
        <v>18</v>
      </c>
      <c r="L47">
        <v>17.111111000000001</v>
      </c>
      <c r="M47">
        <v>73</v>
      </c>
      <c r="N47">
        <v>1</v>
      </c>
      <c r="O47">
        <v>308</v>
      </c>
      <c r="P47" s="1">
        <v>0.538462</v>
      </c>
    </row>
    <row r="48" spans="1:16" x14ac:dyDescent="0.25">
      <c r="A48" t="s">
        <v>16</v>
      </c>
      <c r="B48" s="19">
        <v>152904164</v>
      </c>
      <c r="C48">
        <v>604</v>
      </c>
      <c r="D48">
        <v>1896</v>
      </c>
      <c r="E48" s="1">
        <v>0.24160000000000001</v>
      </c>
      <c r="F48" s="1">
        <v>0.75839999999999996</v>
      </c>
      <c r="G48">
        <v>20</v>
      </c>
      <c r="H48">
        <v>39</v>
      </c>
      <c r="I48">
        <v>81</v>
      </c>
      <c r="J48" s="20">
        <v>0.134106</v>
      </c>
      <c r="K48">
        <v>25</v>
      </c>
      <c r="L48">
        <v>12.88</v>
      </c>
      <c r="M48">
        <v>39</v>
      </c>
      <c r="N48">
        <v>2</v>
      </c>
      <c r="O48">
        <v>322</v>
      </c>
      <c r="P48" s="1">
        <v>0.53311299999999995</v>
      </c>
    </row>
    <row r="49" spans="1:16" x14ac:dyDescent="0.25">
      <c r="A49" t="s">
        <v>16</v>
      </c>
      <c r="B49" s="19">
        <v>1912082998</v>
      </c>
      <c r="C49">
        <v>518</v>
      </c>
      <c r="D49">
        <v>1982</v>
      </c>
      <c r="E49" s="1">
        <v>0.2072</v>
      </c>
      <c r="F49" s="1">
        <v>0.79279999999999995</v>
      </c>
      <c r="G49">
        <v>21</v>
      </c>
      <c r="H49">
        <v>44</v>
      </c>
      <c r="I49">
        <v>74</v>
      </c>
      <c r="J49" s="20">
        <v>0.14285700000000001</v>
      </c>
      <c r="K49">
        <v>22</v>
      </c>
      <c r="L49">
        <v>11.318182</v>
      </c>
      <c r="M49">
        <v>40</v>
      </c>
      <c r="N49">
        <v>1</v>
      </c>
      <c r="O49">
        <v>249</v>
      </c>
      <c r="P49" s="1">
        <v>0.48069499999999998</v>
      </c>
    </row>
    <row r="50" spans="1:16" x14ac:dyDescent="0.25">
      <c r="A50" t="s">
        <v>16</v>
      </c>
      <c r="B50" s="19">
        <v>997057628</v>
      </c>
      <c r="C50">
        <v>595</v>
      </c>
      <c r="D50">
        <v>1905</v>
      </c>
      <c r="E50" s="1">
        <v>0.23799999999999999</v>
      </c>
      <c r="F50" s="1">
        <v>0.76200000000000001</v>
      </c>
      <c r="G50">
        <v>25</v>
      </c>
      <c r="H50">
        <v>34</v>
      </c>
      <c r="I50">
        <v>93</v>
      </c>
      <c r="J50" s="20">
        <v>0.156303</v>
      </c>
      <c r="K50">
        <v>21</v>
      </c>
      <c r="L50">
        <v>16.809524</v>
      </c>
      <c r="M50">
        <v>53</v>
      </c>
      <c r="N50">
        <v>1</v>
      </c>
      <c r="O50">
        <v>353</v>
      </c>
      <c r="P50" s="1">
        <v>0.59327700000000005</v>
      </c>
    </row>
    <row r="51" spans="1:16" x14ac:dyDescent="0.25">
      <c r="A51" t="s">
        <v>16</v>
      </c>
      <c r="B51" s="19">
        <v>1702754777</v>
      </c>
      <c r="C51">
        <v>517</v>
      </c>
      <c r="D51">
        <v>1983</v>
      </c>
      <c r="E51" s="1">
        <v>0.20680000000000001</v>
      </c>
      <c r="F51" s="1">
        <v>0.79320000000000002</v>
      </c>
      <c r="G51">
        <v>13</v>
      </c>
      <c r="H51">
        <v>48</v>
      </c>
      <c r="I51">
        <v>40</v>
      </c>
      <c r="J51" s="20">
        <v>7.7368999999999993E-2</v>
      </c>
      <c r="K51">
        <v>22</v>
      </c>
      <c r="L51">
        <v>10.909091</v>
      </c>
      <c r="M51">
        <v>31</v>
      </c>
      <c r="N51">
        <v>1</v>
      </c>
      <c r="O51">
        <v>240</v>
      </c>
      <c r="P51" s="1">
        <v>0.46421699999999999</v>
      </c>
    </row>
    <row r="52" spans="1:16" x14ac:dyDescent="0.25">
      <c r="A52" t="s">
        <v>26</v>
      </c>
      <c r="B52"/>
      <c r="C52">
        <f>SUBTOTAL(101,CA8_wall50_it2_neigh4[floors])</f>
        <v>583.64</v>
      </c>
      <c r="D52">
        <f>SUBTOTAL(101,CA8_wall50_it2_neigh4[walls])</f>
        <v>1916.36</v>
      </c>
      <c r="E52" s="2">
        <f>SUBTOTAL(101,CA8_wall50_it2_neigh4[floor_percent])</f>
        <v>0.233456</v>
      </c>
      <c r="F52" s="2">
        <f>SUBTOTAL(101,CA8_wall50_it2_neigh4[wall_percent])</f>
        <v>0.76654399999999978</v>
      </c>
      <c r="G52">
        <f>SUBTOTAL(101,CA8_wall50_it2_neigh4[longest_shortest_path])</f>
        <v>25.06</v>
      </c>
      <c r="H52">
        <f>SUBTOTAL(101,CA8_wall50_it2_neigh4[component_count])</f>
        <v>42.6</v>
      </c>
      <c r="I52">
        <f>SUBTOTAL(101,CA8_wall50_it2_neigh4[max_component_size])</f>
        <v>127.82</v>
      </c>
      <c r="J52">
        <f>SUBTOTAL(101,CA8_wall50_it2_neigh4[connectivity_ratio])</f>
        <v>0.21552065999999986</v>
      </c>
      <c r="K52">
        <f>SUBTOTAL(101,CA8_wall50_it2_neigh4[room_count])</f>
        <v>20.88</v>
      </c>
      <c r="L52">
        <f>SUBTOTAL(101,CA8_wall50_it2_neigh4[avg_room_size])</f>
        <v>15.232922779999999</v>
      </c>
      <c r="M52">
        <f>SUBTOTAL(101,CA8_wall50_it2_neigh4[max_room_size])</f>
        <v>70.08</v>
      </c>
      <c r="N52">
        <f>SUBTOTAL(101,CA8_wall50_it2_neigh4[min_room_size])</f>
        <v>1.1599999999999999</v>
      </c>
      <c r="O52">
        <f>SUBTOTAL(101,CA8_wall50_it2_neigh4[room_tiles])</f>
        <v>311.60000000000002</v>
      </c>
      <c r="P52" s="2">
        <f>SUBTOTAL(101,CA8_wall50_it2_neigh4[room_ratio])</f>
        <v>0.52985579999999988</v>
      </c>
    </row>
    <row r="53" spans="1:16" x14ac:dyDescent="0.25">
      <c r="A53" s="22" t="s">
        <v>32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CE04-2C5A-43BA-AF69-ED4FA8D3C9D2}">
  <dimension ref="A1:P53"/>
  <sheetViews>
    <sheetView topLeftCell="A28" workbookViewId="0">
      <selection activeCell="G57" sqref="G57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450499681</v>
      </c>
      <c r="C2">
        <v>2497</v>
      </c>
      <c r="D2">
        <v>3</v>
      </c>
      <c r="E2" s="1">
        <v>0.99880000000000002</v>
      </c>
      <c r="F2" s="1">
        <v>1.1999999999999999E-3</v>
      </c>
      <c r="G2">
        <v>49</v>
      </c>
      <c r="H2">
        <v>1</v>
      </c>
      <c r="I2">
        <v>2497</v>
      </c>
      <c r="J2" s="20">
        <v>1</v>
      </c>
      <c r="K2">
        <v>1</v>
      </c>
      <c r="L2">
        <v>2491</v>
      </c>
      <c r="M2">
        <v>2491</v>
      </c>
      <c r="N2">
        <v>2491</v>
      </c>
      <c r="O2">
        <v>2491</v>
      </c>
      <c r="P2" s="1">
        <v>0.99759699999999996</v>
      </c>
    </row>
    <row r="3" spans="1:16" x14ac:dyDescent="0.25">
      <c r="A3" t="s">
        <v>16</v>
      </c>
      <c r="B3" s="19">
        <v>394486337</v>
      </c>
      <c r="C3">
        <v>2497</v>
      </c>
      <c r="D3">
        <v>3</v>
      </c>
      <c r="E3" s="1">
        <v>0.99880000000000002</v>
      </c>
      <c r="F3" s="1">
        <v>1.1999999999999999E-3</v>
      </c>
      <c r="G3">
        <v>49</v>
      </c>
      <c r="H3">
        <v>1</v>
      </c>
      <c r="I3">
        <v>2497</v>
      </c>
      <c r="J3" s="20">
        <v>1</v>
      </c>
      <c r="K3">
        <v>1</v>
      </c>
      <c r="L3">
        <v>2491</v>
      </c>
      <c r="M3">
        <v>2491</v>
      </c>
      <c r="N3">
        <v>2491</v>
      </c>
      <c r="O3">
        <v>2491</v>
      </c>
      <c r="P3" s="1">
        <v>0.99759699999999996</v>
      </c>
    </row>
    <row r="4" spans="1:16" x14ac:dyDescent="0.25">
      <c r="A4" t="s">
        <v>16</v>
      </c>
      <c r="B4" s="19">
        <v>1018070746</v>
      </c>
      <c r="C4">
        <v>2500</v>
      </c>
      <c r="D4">
        <v>0</v>
      </c>
      <c r="E4" s="1">
        <v>1</v>
      </c>
      <c r="F4" s="1">
        <v>0</v>
      </c>
      <c r="G4">
        <v>49</v>
      </c>
      <c r="H4">
        <v>1</v>
      </c>
      <c r="I4">
        <v>2500</v>
      </c>
      <c r="J4" s="20">
        <v>1</v>
      </c>
      <c r="K4">
        <v>1</v>
      </c>
      <c r="L4">
        <v>2496</v>
      </c>
      <c r="M4">
        <v>2496</v>
      </c>
      <c r="N4">
        <v>2496</v>
      </c>
      <c r="O4">
        <v>2496</v>
      </c>
      <c r="P4" s="1">
        <v>0.99839999999999995</v>
      </c>
    </row>
    <row r="5" spans="1:16" x14ac:dyDescent="0.25">
      <c r="A5" t="s">
        <v>16</v>
      </c>
      <c r="B5" s="19">
        <v>997824509</v>
      </c>
      <c r="C5">
        <v>2499</v>
      </c>
      <c r="D5">
        <v>1</v>
      </c>
      <c r="E5" s="1">
        <v>0.99960000000000004</v>
      </c>
      <c r="F5" s="1">
        <v>4.0000000000000002E-4</v>
      </c>
      <c r="G5">
        <v>49</v>
      </c>
      <c r="H5">
        <v>1</v>
      </c>
      <c r="I5">
        <v>2499</v>
      </c>
      <c r="J5" s="20">
        <v>1</v>
      </c>
      <c r="K5">
        <v>1</v>
      </c>
      <c r="L5">
        <v>2493</v>
      </c>
      <c r="M5">
        <v>2493</v>
      </c>
      <c r="N5">
        <v>2493</v>
      </c>
      <c r="O5">
        <v>2493</v>
      </c>
      <c r="P5" s="1">
        <v>0.99759900000000001</v>
      </c>
    </row>
    <row r="6" spans="1:16" x14ac:dyDescent="0.25">
      <c r="A6" t="s">
        <v>16</v>
      </c>
      <c r="B6" s="19">
        <v>758576338</v>
      </c>
      <c r="C6">
        <v>2499</v>
      </c>
      <c r="D6">
        <v>1</v>
      </c>
      <c r="E6" s="1">
        <v>0.99960000000000004</v>
      </c>
      <c r="F6" s="1">
        <v>4.0000000000000002E-4</v>
      </c>
      <c r="G6">
        <v>49</v>
      </c>
      <c r="H6">
        <v>1</v>
      </c>
      <c r="I6">
        <v>2499</v>
      </c>
      <c r="J6" s="20">
        <v>1</v>
      </c>
      <c r="K6">
        <v>1</v>
      </c>
      <c r="L6">
        <v>2493</v>
      </c>
      <c r="M6">
        <v>2493</v>
      </c>
      <c r="N6">
        <v>2493</v>
      </c>
      <c r="O6">
        <v>2493</v>
      </c>
      <c r="P6" s="1">
        <v>0.99759900000000001</v>
      </c>
    </row>
    <row r="7" spans="1:16" x14ac:dyDescent="0.25">
      <c r="A7" t="s">
        <v>16</v>
      </c>
      <c r="B7" s="19">
        <v>1352056160</v>
      </c>
      <c r="C7">
        <v>2498</v>
      </c>
      <c r="D7">
        <v>2</v>
      </c>
      <c r="E7" s="1">
        <v>0.99919999999999998</v>
      </c>
      <c r="F7" s="1">
        <v>8.0000000000000004E-4</v>
      </c>
      <c r="G7">
        <v>49</v>
      </c>
      <c r="H7">
        <v>1</v>
      </c>
      <c r="I7">
        <v>2498</v>
      </c>
      <c r="J7" s="20">
        <v>1</v>
      </c>
      <c r="K7">
        <v>1</v>
      </c>
      <c r="L7">
        <v>2491</v>
      </c>
      <c r="M7">
        <v>2491</v>
      </c>
      <c r="N7">
        <v>2491</v>
      </c>
      <c r="O7">
        <v>2491</v>
      </c>
      <c r="P7" s="1">
        <v>0.99719800000000003</v>
      </c>
    </row>
    <row r="8" spans="1:16" x14ac:dyDescent="0.25">
      <c r="A8" t="s">
        <v>16</v>
      </c>
      <c r="B8" s="19">
        <v>1586270683</v>
      </c>
      <c r="C8">
        <v>2488</v>
      </c>
      <c r="D8">
        <v>12</v>
      </c>
      <c r="E8" s="1">
        <v>0.99519999999999997</v>
      </c>
      <c r="F8" s="1">
        <v>4.7999999999999996E-3</v>
      </c>
      <c r="G8">
        <v>49</v>
      </c>
      <c r="H8">
        <v>1</v>
      </c>
      <c r="I8">
        <v>2488</v>
      </c>
      <c r="J8" s="20">
        <v>1</v>
      </c>
      <c r="K8">
        <v>1</v>
      </c>
      <c r="L8">
        <v>2474</v>
      </c>
      <c r="M8">
        <v>2474</v>
      </c>
      <c r="N8">
        <v>2474</v>
      </c>
      <c r="O8">
        <v>2474</v>
      </c>
      <c r="P8" s="1">
        <v>0.99437299999999995</v>
      </c>
    </row>
    <row r="9" spans="1:16" x14ac:dyDescent="0.25">
      <c r="A9" t="s">
        <v>16</v>
      </c>
      <c r="B9" s="19">
        <v>994638054</v>
      </c>
      <c r="C9">
        <v>2497</v>
      </c>
      <c r="D9">
        <v>3</v>
      </c>
      <c r="E9" s="1">
        <v>0.99880000000000002</v>
      </c>
      <c r="F9" s="1">
        <v>1.1999999999999999E-3</v>
      </c>
      <c r="G9">
        <v>49</v>
      </c>
      <c r="H9">
        <v>1</v>
      </c>
      <c r="I9">
        <v>2497</v>
      </c>
      <c r="J9" s="20">
        <v>1</v>
      </c>
      <c r="K9">
        <v>1</v>
      </c>
      <c r="L9">
        <v>2490</v>
      </c>
      <c r="M9">
        <v>2490</v>
      </c>
      <c r="N9">
        <v>2490</v>
      </c>
      <c r="O9">
        <v>2490</v>
      </c>
      <c r="P9" s="1">
        <v>0.997197</v>
      </c>
    </row>
    <row r="10" spans="1:16" x14ac:dyDescent="0.25">
      <c r="A10" t="s">
        <v>16</v>
      </c>
      <c r="B10" s="19">
        <v>369273326</v>
      </c>
      <c r="C10">
        <v>2494</v>
      </c>
      <c r="D10">
        <v>6</v>
      </c>
      <c r="E10" s="1">
        <v>0.99760000000000004</v>
      </c>
      <c r="F10" s="1">
        <v>2.3999999999999998E-3</v>
      </c>
      <c r="G10">
        <v>49</v>
      </c>
      <c r="H10">
        <v>1</v>
      </c>
      <c r="I10">
        <v>2494</v>
      </c>
      <c r="J10" s="20">
        <v>1</v>
      </c>
      <c r="K10">
        <v>1</v>
      </c>
      <c r="L10">
        <v>2483</v>
      </c>
      <c r="M10">
        <v>2483</v>
      </c>
      <c r="N10">
        <v>2483</v>
      </c>
      <c r="O10">
        <v>2483</v>
      </c>
      <c r="P10" s="1">
        <v>0.99558899999999995</v>
      </c>
    </row>
    <row r="11" spans="1:16" x14ac:dyDescent="0.25">
      <c r="A11" t="s">
        <v>16</v>
      </c>
      <c r="B11" s="19">
        <v>786972990</v>
      </c>
      <c r="C11">
        <v>2491</v>
      </c>
      <c r="D11">
        <v>9</v>
      </c>
      <c r="E11" s="1">
        <v>0.99639999999999995</v>
      </c>
      <c r="F11" s="1">
        <v>3.5999999999999999E-3</v>
      </c>
      <c r="G11">
        <v>49</v>
      </c>
      <c r="H11">
        <v>1</v>
      </c>
      <c r="I11">
        <v>2491</v>
      </c>
      <c r="J11" s="20">
        <v>1</v>
      </c>
      <c r="K11">
        <v>1</v>
      </c>
      <c r="L11">
        <v>2477</v>
      </c>
      <c r="M11">
        <v>2477</v>
      </c>
      <c r="N11">
        <v>2477</v>
      </c>
      <c r="O11">
        <v>2477</v>
      </c>
      <c r="P11" s="1">
        <v>0.99438000000000004</v>
      </c>
    </row>
    <row r="12" spans="1:16" x14ac:dyDescent="0.25">
      <c r="A12" t="s">
        <v>16</v>
      </c>
      <c r="B12" s="19">
        <v>1771039903</v>
      </c>
      <c r="C12">
        <v>2495</v>
      </c>
      <c r="D12">
        <v>5</v>
      </c>
      <c r="E12" s="1">
        <v>0.998</v>
      </c>
      <c r="F12" s="1">
        <v>2E-3</v>
      </c>
      <c r="G12">
        <v>49</v>
      </c>
      <c r="H12">
        <v>1</v>
      </c>
      <c r="I12">
        <v>2495</v>
      </c>
      <c r="J12" s="20">
        <v>1</v>
      </c>
      <c r="K12">
        <v>1</v>
      </c>
      <c r="L12">
        <v>2486</v>
      </c>
      <c r="M12">
        <v>2486</v>
      </c>
      <c r="N12">
        <v>2486</v>
      </c>
      <c r="O12">
        <v>2486</v>
      </c>
      <c r="P12" s="1">
        <v>0.99639299999999997</v>
      </c>
    </row>
    <row r="13" spans="1:16" x14ac:dyDescent="0.25">
      <c r="A13" t="s">
        <v>16</v>
      </c>
      <c r="B13" s="19">
        <v>1229861205</v>
      </c>
      <c r="C13">
        <v>2491</v>
      </c>
      <c r="D13">
        <v>9</v>
      </c>
      <c r="E13" s="1">
        <v>0.99639999999999995</v>
      </c>
      <c r="F13" s="1">
        <v>3.5999999999999999E-3</v>
      </c>
      <c r="G13">
        <v>49</v>
      </c>
      <c r="H13">
        <v>1</v>
      </c>
      <c r="I13">
        <v>2491</v>
      </c>
      <c r="J13" s="20">
        <v>1</v>
      </c>
      <c r="K13">
        <v>1</v>
      </c>
      <c r="L13">
        <v>2479</v>
      </c>
      <c r="M13">
        <v>2479</v>
      </c>
      <c r="N13">
        <v>2479</v>
      </c>
      <c r="O13">
        <v>2479</v>
      </c>
      <c r="P13" s="1">
        <v>0.99518300000000004</v>
      </c>
    </row>
    <row r="14" spans="1:16" x14ac:dyDescent="0.25">
      <c r="A14" t="s">
        <v>16</v>
      </c>
      <c r="B14" s="19">
        <v>1996907509</v>
      </c>
      <c r="C14">
        <v>2497</v>
      </c>
      <c r="D14">
        <v>3</v>
      </c>
      <c r="E14" s="1">
        <v>0.99880000000000002</v>
      </c>
      <c r="F14" s="1">
        <v>1.1999999999999999E-3</v>
      </c>
      <c r="G14">
        <v>49</v>
      </c>
      <c r="H14">
        <v>1</v>
      </c>
      <c r="I14">
        <v>2497</v>
      </c>
      <c r="J14" s="20">
        <v>1</v>
      </c>
      <c r="K14">
        <v>1</v>
      </c>
      <c r="L14">
        <v>2491</v>
      </c>
      <c r="M14">
        <v>2491</v>
      </c>
      <c r="N14">
        <v>2491</v>
      </c>
      <c r="O14">
        <v>2491</v>
      </c>
      <c r="P14" s="1">
        <v>0.99759699999999996</v>
      </c>
    </row>
    <row r="15" spans="1:16" x14ac:dyDescent="0.25">
      <c r="A15" t="s">
        <v>16</v>
      </c>
      <c r="B15" s="19">
        <v>1896385755</v>
      </c>
      <c r="C15">
        <v>2498</v>
      </c>
      <c r="D15">
        <v>2</v>
      </c>
      <c r="E15" s="1">
        <v>0.99919999999999998</v>
      </c>
      <c r="F15" s="1">
        <v>8.0000000000000004E-4</v>
      </c>
      <c r="G15">
        <v>49</v>
      </c>
      <c r="H15">
        <v>1</v>
      </c>
      <c r="I15">
        <v>2498</v>
      </c>
      <c r="J15" s="20">
        <v>1</v>
      </c>
      <c r="K15">
        <v>1</v>
      </c>
      <c r="L15">
        <v>2493</v>
      </c>
      <c r="M15">
        <v>2493</v>
      </c>
      <c r="N15">
        <v>2493</v>
      </c>
      <c r="O15">
        <v>2493</v>
      </c>
      <c r="P15" s="1">
        <v>0.99799800000000005</v>
      </c>
    </row>
    <row r="16" spans="1:16" x14ac:dyDescent="0.25">
      <c r="A16" t="s">
        <v>16</v>
      </c>
      <c r="B16" s="19">
        <v>752568691</v>
      </c>
      <c r="C16">
        <v>2497</v>
      </c>
      <c r="D16">
        <v>3</v>
      </c>
      <c r="E16" s="1">
        <v>0.99880000000000002</v>
      </c>
      <c r="F16" s="1">
        <v>1.1999999999999999E-3</v>
      </c>
      <c r="G16">
        <v>49</v>
      </c>
      <c r="H16">
        <v>1</v>
      </c>
      <c r="I16">
        <v>2497</v>
      </c>
      <c r="J16" s="20">
        <v>1</v>
      </c>
      <c r="K16">
        <v>1</v>
      </c>
      <c r="L16">
        <v>2487</v>
      </c>
      <c r="M16">
        <v>2487</v>
      </c>
      <c r="N16">
        <v>2487</v>
      </c>
      <c r="O16">
        <v>2487</v>
      </c>
      <c r="P16" s="1">
        <v>0.99599499999999996</v>
      </c>
    </row>
    <row r="17" spans="1:16" x14ac:dyDescent="0.25">
      <c r="A17" t="s">
        <v>16</v>
      </c>
      <c r="B17" s="19">
        <v>2029500634</v>
      </c>
      <c r="C17">
        <v>2498</v>
      </c>
      <c r="D17">
        <v>2</v>
      </c>
      <c r="E17" s="1">
        <v>0.99919999999999998</v>
      </c>
      <c r="F17" s="1">
        <v>8.0000000000000004E-4</v>
      </c>
      <c r="G17">
        <v>49</v>
      </c>
      <c r="H17">
        <v>1</v>
      </c>
      <c r="I17">
        <v>2498</v>
      </c>
      <c r="J17" s="20">
        <v>1</v>
      </c>
      <c r="K17">
        <v>1</v>
      </c>
      <c r="L17">
        <v>2491</v>
      </c>
      <c r="M17">
        <v>2491</v>
      </c>
      <c r="N17">
        <v>2491</v>
      </c>
      <c r="O17">
        <v>2491</v>
      </c>
      <c r="P17" s="1">
        <v>0.99719800000000003</v>
      </c>
    </row>
    <row r="18" spans="1:16" x14ac:dyDescent="0.25">
      <c r="A18" t="s">
        <v>16</v>
      </c>
      <c r="B18" s="19">
        <v>1034295982</v>
      </c>
      <c r="C18">
        <v>2496</v>
      </c>
      <c r="D18">
        <v>4</v>
      </c>
      <c r="E18" s="1">
        <v>0.99839999999999995</v>
      </c>
      <c r="F18" s="1">
        <v>1.6000000000000001E-3</v>
      </c>
      <c r="G18">
        <v>49</v>
      </c>
      <c r="H18">
        <v>1</v>
      </c>
      <c r="I18">
        <v>2496</v>
      </c>
      <c r="J18" s="20">
        <v>1</v>
      </c>
      <c r="K18">
        <v>1</v>
      </c>
      <c r="L18">
        <v>2487</v>
      </c>
      <c r="M18">
        <v>2487</v>
      </c>
      <c r="N18">
        <v>2487</v>
      </c>
      <c r="O18">
        <v>2487</v>
      </c>
      <c r="P18" s="1">
        <v>0.996394</v>
      </c>
    </row>
    <row r="19" spans="1:16" x14ac:dyDescent="0.25">
      <c r="A19" t="s">
        <v>16</v>
      </c>
      <c r="B19" s="19">
        <v>1254474690</v>
      </c>
      <c r="C19">
        <v>2497</v>
      </c>
      <c r="D19">
        <v>3</v>
      </c>
      <c r="E19" s="1">
        <v>0.99880000000000002</v>
      </c>
      <c r="F19" s="1">
        <v>1.1999999999999999E-3</v>
      </c>
      <c r="G19">
        <v>49</v>
      </c>
      <c r="H19">
        <v>1</v>
      </c>
      <c r="I19">
        <v>2497</v>
      </c>
      <c r="J19" s="20">
        <v>1</v>
      </c>
      <c r="K19">
        <v>1</v>
      </c>
      <c r="L19">
        <v>2491</v>
      </c>
      <c r="M19">
        <v>2491</v>
      </c>
      <c r="N19">
        <v>2491</v>
      </c>
      <c r="O19">
        <v>2491</v>
      </c>
      <c r="P19" s="1">
        <v>0.99759699999999996</v>
      </c>
    </row>
    <row r="20" spans="1:16" x14ac:dyDescent="0.25">
      <c r="A20" t="s">
        <v>16</v>
      </c>
      <c r="B20" s="19">
        <v>194336852</v>
      </c>
      <c r="C20">
        <v>2498</v>
      </c>
      <c r="D20">
        <v>2</v>
      </c>
      <c r="E20" s="1">
        <v>0.99919999999999998</v>
      </c>
      <c r="F20" s="1">
        <v>8.0000000000000004E-4</v>
      </c>
      <c r="G20">
        <v>49</v>
      </c>
      <c r="H20">
        <v>1</v>
      </c>
      <c r="I20">
        <v>2498</v>
      </c>
      <c r="J20" s="20">
        <v>1</v>
      </c>
      <c r="K20">
        <v>1</v>
      </c>
      <c r="L20">
        <v>2492</v>
      </c>
      <c r="M20">
        <v>2492</v>
      </c>
      <c r="N20">
        <v>2492</v>
      </c>
      <c r="O20">
        <v>2492</v>
      </c>
      <c r="P20" s="1">
        <v>0.99759799999999998</v>
      </c>
    </row>
    <row r="21" spans="1:16" x14ac:dyDescent="0.25">
      <c r="A21" t="s">
        <v>16</v>
      </c>
      <c r="B21" s="19">
        <v>2007260643</v>
      </c>
      <c r="C21">
        <v>2492</v>
      </c>
      <c r="D21">
        <v>8</v>
      </c>
      <c r="E21" s="1">
        <v>0.99680000000000002</v>
      </c>
      <c r="F21" s="1">
        <v>3.2000000000000002E-3</v>
      </c>
      <c r="G21">
        <v>49</v>
      </c>
      <c r="H21">
        <v>1</v>
      </c>
      <c r="I21">
        <v>2492</v>
      </c>
      <c r="J21" s="20">
        <v>1</v>
      </c>
      <c r="K21">
        <v>1</v>
      </c>
      <c r="L21">
        <v>2484</v>
      </c>
      <c r="M21">
        <v>2484</v>
      </c>
      <c r="N21">
        <v>2484</v>
      </c>
      <c r="O21">
        <v>2484</v>
      </c>
      <c r="P21" s="1">
        <v>0.99678999999999995</v>
      </c>
    </row>
    <row r="22" spans="1:16" x14ac:dyDescent="0.25">
      <c r="A22" t="s">
        <v>16</v>
      </c>
      <c r="B22" s="19">
        <v>919415468</v>
      </c>
      <c r="C22">
        <v>2496</v>
      </c>
      <c r="D22">
        <v>4</v>
      </c>
      <c r="E22" s="1">
        <v>0.99839999999999995</v>
      </c>
      <c r="F22" s="1">
        <v>1.6000000000000001E-3</v>
      </c>
      <c r="G22">
        <v>49</v>
      </c>
      <c r="H22">
        <v>1</v>
      </c>
      <c r="I22">
        <v>2496</v>
      </c>
      <c r="J22" s="20">
        <v>1</v>
      </c>
      <c r="K22">
        <v>1</v>
      </c>
      <c r="L22">
        <v>2490</v>
      </c>
      <c r="M22">
        <v>2490</v>
      </c>
      <c r="N22">
        <v>2490</v>
      </c>
      <c r="O22">
        <v>2490</v>
      </c>
      <c r="P22" s="1">
        <v>0.99759600000000004</v>
      </c>
    </row>
    <row r="23" spans="1:16" x14ac:dyDescent="0.25">
      <c r="A23" t="s">
        <v>16</v>
      </c>
      <c r="B23" s="19">
        <v>174251289</v>
      </c>
      <c r="C23">
        <v>2493</v>
      </c>
      <c r="D23">
        <v>7</v>
      </c>
      <c r="E23" s="1">
        <v>0.99719999999999998</v>
      </c>
      <c r="F23" s="1">
        <v>2.8E-3</v>
      </c>
      <c r="G23">
        <v>49</v>
      </c>
      <c r="H23">
        <v>1</v>
      </c>
      <c r="I23">
        <v>2493</v>
      </c>
      <c r="J23" s="20">
        <v>1</v>
      </c>
      <c r="K23">
        <v>1</v>
      </c>
      <c r="L23">
        <v>2487</v>
      </c>
      <c r="M23">
        <v>2487</v>
      </c>
      <c r="N23">
        <v>2487</v>
      </c>
      <c r="O23">
        <v>2487</v>
      </c>
      <c r="P23" s="1">
        <v>0.99759299999999995</v>
      </c>
    </row>
    <row r="24" spans="1:16" x14ac:dyDescent="0.25">
      <c r="A24" t="s">
        <v>16</v>
      </c>
      <c r="B24" s="19">
        <v>1188231554</v>
      </c>
      <c r="C24">
        <v>2497</v>
      </c>
      <c r="D24">
        <v>3</v>
      </c>
      <c r="E24" s="1">
        <v>0.99880000000000002</v>
      </c>
      <c r="F24" s="1">
        <v>1.1999999999999999E-3</v>
      </c>
      <c r="G24">
        <v>49</v>
      </c>
      <c r="H24">
        <v>1</v>
      </c>
      <c r="I24">
        <v>2497</v>
      </c>
      <c r="J24" s="20">
        <v>1</v>
      </c>
      <c r="K24">
        <v>1</v>
      </c>
      <c r="L24">
        <v>2490</v>
      </c>
      <c r="M24">
        <v>2490</v>
      </c>
      <c r="N24">
        <v>2490</v>
      </c>
      <c r="O24">
        <v>2490</v>
      </c>
      <c r="P24" s="1">
        <v>0.997197</v>
      </c>
    </row>
    <row r="25" spans="1:16" x14ac:dyDescent="0.25">
      <c r="A25" t="s">
        <v>16</v>
      </c>
      <c r="B25" s="19">
        <v>1620471044</v>
      </c>
      <c r="C25">
        <v>2499</v>
      </c>
      <c r="D25">
        <v>1</v>
      </c>
      <c r="E25" s="1">
        <v>0.99960000000000004</v>
      </c>
      <c r="F25" s="1">
        <v>4.0000000000000002E-4</v>
      </c>
      <c r="G25">
        <v>49</v>
      </c>
      <c r="H25">
        <v>1</v>
      </c>
      <c r="I25">
        <v>2499</v>
      </c>
      <c r="J25" s="20">
        <v>1</v>
      </c>
      <c r="K25">
        <v>1</v>
      </c>
      <c r="L25">
        <v>2492</v>
      </c>
      <c r="M25">
        <v>2492</v>
      </c>
      <c r="N25">
        <v>2492</v>
      </c>
      <c r="O25">
        <v>2492</v>
      </c>
      <c r="P25" s="1">
        <v>0.99719899999999995</v>
      </c>
    </row>
    <row r="26" spans="1:16" x14ac:dyDescent="0.25">
      <c r="A26" t="s">
        <v>16</v>
      </c>
      <c r="B26" s="19">
        <v>1613492663</v>
      </c>
      <c r="C26">
        <v>2495</v>
      </c>
      <c r="D26">
        <v>5</v>
      </c>
      <c r="E26" s="1">
        <v>0.998</v>
      </c>
      <c r="F26" s="1">
        <v>2E-3</v>
      </c>
      <c r="G26">
        <v>49</v>
      </c>
      <c r="H26">
        <v>1</v>
      </c>
      <c r="I26">
        <v>2495</v>
      </c>
      <c r="J26" s="20">
        <v>1</v>
      </c>
      <c r="K26">
        <v>1</v>
      </c>
      <c r="L26">
        <v>2488</v>
      </c>
      <c r="M26">
        <v>2488</v>
      </c>
      <c r="N26">
        <v>2488</v>
      </c>
      <c r="O26">
        <v>2488</v>
      </c>
      <c r="P26" s="1">
        <v>0.99719400000000002</v>
      </c>
    </row>
    <row r="27" spans="1:16" x14ac:dyDescent="0.25">
      <c r="A27" t="s">
        <v>16</v>
      </c>
      <c r="B27" s="19">
        <v>1248500897</v>
      </c>
      <c r="C27">
        <v>2495</v>
      </c>
      <c r="D27">
        <v>5</v>
      </c>
      <c r="E27" s="1">
        <v>0.998</v>
      </c>
      <c r="F27" s="1">
        <v>2E-3</v>
      </c>
      <c r="G27">
        <v>49</v>
      </c>
      <c r="H27">
        <v>1</v>
      </c>
      <c r="I27">
        <v>2495</v>
      </c>
      <c r="J27" s="20">
        <v>1</v>
      </c>
      <c r="K27">
        <v>1</v>
      </c>
      <c r="L27">
        <v>2486</v>
      </c>
      <c r="M27">
        <v>2486</v>
      </c>
      <c r="N27">
        <v>2486</v>
      </c>
      <c r="O27">
        <v>2486</v>
      </c>
      <c r="P27" s="1">
        <v>0.99639299999999997</v>
      </c>
    </row>
    <row r="28" spans="1:16" x14ac:dyDescent="0.25">
      <c r="A28" t="s">
        <v>16</v>
      </c>
      <c r="B28" s="19">
        <v>2003383736</v>
      </c>
      <c r="C28">
        <v>2492</v>
      </c>
      <c r="D28">
        <v>8</v>
      </c>
      <c r="E28" s="1">
        <v>0.99680000000000002</v>
      </c>
      <c r="F28" s="1">
        <v>3.2000000000000002E-3</v>
      </c>
      <c r="G28">
        <v>49</v>
      </c>
      <c r="H28">
        <v>1</v>
      </c>
      <c r="I28">
        <v>2492</v>
      </c>
      <c r="J28" s="20">
        <v>1</v>
      </c>
      <c r="K28">
        <v>1</v>
      </c>
      <c r="L28">
        <v>2480</v>
      </c>
      <c r="M28">
        <v>2480</v>
      </c>
      <c r="N28">
        <v>2480</v>
      </c>
      <c r="O28">
        <v>2480</v>
      </c>
      <c r="P28" s="1">
        <v>0.99518499999999999</v>
      </c>
    </row>
    <row r="29" spans="1:16" x14ac:dyDescent="0.25">
      <c r="A29" t="s">
        <v>16</v>
      </c>
      <c r="B29" s="19">
        <v>2026588949</v>
      </c>
      <c r="C29">
        <v>2496</v>
      </c>
      <c r="D29">
        <v>4</v>
      </c>
      <c r="E29" s="1">
        <v>0.99839999999999995</v>
      </c>
      <c r="F29" s="1">
        <v>1.6000000000000001E-3</v>
      </c>
      <c r="G29">
        <v>49</v>
      </c>
      <c r="H29">
        <v>1</v>
      </c>
      <c r="I29">
        <v>2496</v>
      </c>
      <c r="J29" s="20">
        <v>1</v>
      </c>
      <c r="K29">
        <v>1</v>
      </c>
      <c r="L29">
        <v>2486</v>
      </c>
      <c r="M29">
        <v>2486</v>
      </c>
      <c r="N29">
        <v>2486</v>
      </c>
      <c r="O29">
        <v>2486</v>
      </c>
      <c r="P29" s="1">
        <v>0.99599400000000005</v>
      </c>
    </row>
    <row r="30" spans="1:16" x14ac:dyDescent="0.25">
      <c r="A30" t="s">
        <v>16</v>
      </c>
      <c r="B30" s="19">
        <v>67410518</v>
      </c>
      <c r="C30">
        <v>2499</v>
      </c>
      <c r="D30">
        <v>1</v>
      </c>
      <c r="E30" s="1">
        <v>0.99960000000000004</v>
      </c>
      <c r="F30" s="1">
        <v>4.0000000000000002E-4</v>
      </c>
      <c r="G30">
        <v>49</v>
      </c>
      <c r="H30">
        <v>1</v>
      </c>
      <c r="I30">
        <v>2499</v>
      </c>
      <c r="J30" s="20">
        <v>1</v>
      </c>
      <c r="K30">
        <v>1</v>
      </c>
      <c r="L30">
        <v>2495</v>
      </c>
      <c r="M30">
        <v>2495</v>
      </c>
      <c r="N30">
        <v>2495</v>
      </c>
      <c r="O30">
        <v>2495</v>
      </c>
      <c r="P30" s="1">
        <v>0.99839900000000004</v>
      </c>
    </row>
    <row r="31" spans="1:16" x14ac:dyDescent="0.25">
      <c r="A31" t="s">
        <v>16</v>
      </c>
      <c r="B31" s="19">
        <v>794045959</v>
      </c>
      <c r="C31">
        <v>2498</v>
      </c>
      <c r="D31">
        <v>2</v>
      </c>
      <c r="E31" s="1">
        <v>0.99919999999999998</v>
      </c>
      <c r="F31" s="1">
        <v>8.0000000000000004E-4</v>
      </c>
      <c r="G31">
        <v>49</v>
      </c>
      <c r="H31">
        <v>1</v>
      </c>
      <c r="I31">
        <v>2498</v>
      </c>
      <c r="J31" s="20">
        <v>1</v>
      </c>
      <c r="K31">
        <v>1</v>
      </c>
      <c r="L31">
        <v>2492</v>
      </c>
      <c r="M31">
        <v>2492</v>
      </c>
      <c r="N31">
        <v>2492</v>
      </c>
      <c r="O31">
        <v>2492</v>
      </c>
      <c r="P31" s="1">
        <v>0.99759799999999998</v>
      </c>
    </row>
    <row r="32" spans="1:16" x14ac:dyDescent="0.25">
      <c r="A32" t="s">
        <v>16</v>
      </c>
      <c r="B32" s="19">
        <v>284760668</v>
      </c>
      <c r="C32">
        <v>2494</v>
      </c>
      <c r="D32">
        <v>6</v>
      </c>
      <c r="E32" s="1">
        <v>0.99760000000000004</v>
      </c>
      <c r="F32" s="1">
        <v>2.3999999999999998E-3</v>
      </c>
      <c r="G32">
        <v>49</v>
      </c>
      <c r="H32">
        <v>1</v>
      </c>
      <c r="I32">
        <v>2494</v>
      </c>
      <c r="J32" s="20">
        <v>1</v>
      </c>
      <c r="K32">
        <v>1</v>
      </c>
      <c r="L32">
        <v>2485</v>
      </c>
      <c r="M32">
        <v>2485</v>
      </c>
      <c r="N32">
        <v>2485</v>
      </c>
      <c r="O32">
        <v>2485</v>
      </c>
      <c r="P32" s="1">
        <v>0.99639100000000003</v>
      </c>
    </row>
    <row r="33" spans="1:16" x14ac:dyDescent="0.25">
      <c r="A33" t="s">
        <v>16</v>
      </c>
      <c r="B33" s="19">
        <v>796481061</v>
      </c>
      <c r="C33">
        <v>2498</v>
      </c>
      <c r="D33">
        <v>2</v>
      </c>
      <c r="E33" s="1">
        <v>0.99919999999999998</v>
      </c>
      <c r="F33" s="1">
        <v>8.0000000000000004E-4</v>
      </c>
      <c r="G33">
        <v>49</v>
      </c>
      <c r="H33">
        <v>1</v>
      </c>
      <c r="I33">
        <v>2498</v>
      </c>
      <c r="J33" s="20">
        <v>1</v>
      </c>
      <c r="K33">
        <v>1</v>
      </c>
      <c r="L33">
        <v>2491</v>
      </c>
      <c r="M33">
        <v>2491</v>
      </c>
      <c r="N33">
        <v>2491</v>
      </c>
      <c r="O33">
        <v>2491</v>
      </c>
      <c r="P33" s="1">
        <v>0.99719800000000003</v>
      </c>
    </row>
    <row r="34" spans="1:16" x14ac:dyDescent="0.25">
      <c r="A34" t="s">
        <v>16</v>
      </c>
      <c r="B34" s="19">
        <v>1861316791</v>
      </c>
      <c r="C34">
        <v>2496</v>
      </c>
      <c r="D34">
        <v>4</v>
      </c>
      <c r="E34" s="1">
        <v>0.99839999999999995</v>
      </c>
      <c r="F34" s="1">
        <v>1.6000000000000001E-3</v>
      </c>
      <c r="G34">
        <v>49</v>
      </c>
      <c r="H34">
        <v>1</v>
      </c>
      <c r="I34">
        <v>2496</v>
      </c>
      <c r="J34" s="20">
        <v>1</v>
      </c>
      <c r="K34">
        <v>1</v>
      </c>
      <c r="L34">
        <v>2489</v>
      </c>
      <c r="M34">
        <v>2489</v>
      </c>
      <c r="N34">
        <v>2489</v>
      </c>
      <c r="O34">
        <v>2489</v>
      </c>
      <c r="P34" s="1">
        <v>0.99719599999999997</v>
      </c>
    </row>
    <row r="35" spans="1:16" x14ac:dyDescent="0.25">
      <c r="A35" t="s">
        <v>16</v>
      </c>
      <c r="B35" s="19">
        <v>2105159794</v>
      </c>
      <c r="C35">
        <v>2499</v>
      </c>
      <c r="D35">
        <v>1</v>
      </c>
      <c r="E35" s="1">
        <v>0.99960000000000004</v>
      </c>
      <c r="F35" s="1">
        <v>4.0000000000000002E-4</v>
      </c>
      <c r="G35">
        <v>49</v>
      </c>
      <c r="H35">
        <v>1</v>
      </c>
      <c r="I35">
        <v>2499</v>
      </c>
      <c r="J35" s="20">
        <v>1</v>
      </c>
      <c r="K35">
        <v>1</v>
      </c>
      <c r="L35">
        <v>2494</v>
      </c>
      <c r="M35">
        <v>2494</v>
      </c>
      <c r="N35">
        <v>2494</v>
      </c>
      <c r="O35">
        <v>2494</v>
      </c>
      <c r="P35" s="1">
        <v>0.99799899999999997</v>
      </c>
    </row>
    <row r="36" spans="1:16" x14ac:dyDescent="0.25">
      <c r="A36" t="s">
        <v>16</v>
      </c>
      <c r="B36" s="19">
        <v>99963442</v>
      </c>
      <c r="C36">
        <v>2498</v>
      </c>
      <c r="D36">
        <v>2</v>
      </c>
      <c r="E36" s="1">
        <v>0.99919999999999998</v>
      </c>
      <c r="F36" s="1">
        <v>8.0000000000000004E-4</v>
      </c>
      <c r="G36">
        <v>49</v>
      </c>
      <c r="H36">
        <v>1</v>
      </c>
      <c r="I36">
        <v>2498</v>
      </c>
      <c r="J36" s="20">
        <v>1</v>
      </c>
      <c r="K36">
        <v>1</v>
      </c>
      <c r="L36">
        <v>2493</v>
      </c>
      <c r="M36">
        <v>2493</v>
      </c>
      <c r="N36">
        <v>2493</v>
      </c>
      <c r="O36">
        <v>2493</v>
      </c>
      <c r="P36" s="1">
        <v>0.99799800000000005</v>
      </c>
    </row>
    <row r="37" spans="1:16" x14ac:dyDescent="0.25">
      <c r="A37" t="s">
        <v>16</v>
      </c>
      <c r="B37" s="19">
        <v>1294288588</v>
      </c>
      <c r="C37">
        <v>2493</v>
      </c>
      <c r="D37">
        <v>7</v>
      </c>
      <c r="E37" s="1">
        <v>0.99719999999999998</v>
      </c>
      <c r="F37" s="1">
        <v>2.8E-3</v>
      </c>
      <c r="G37">
        <v>49</v>
      </c>
      <c r="H37">
        <v>1</v>
      </c>
      <c r="I37">
        <v>2493</v>
      </c>
      <c r="J37" s="20">
        <v>1</v>
      </c>
      <c r="K37">
        <v>1</v>
      </c>
      <c r="L37">
        <v>2485</v>
      </c>
      <c r="M37">
        <v>2485</v>
      </c>
      <c r="N37">
        <v>2485</v>
      </c>
      <c r="O37">
        <v>2485</v>
      </c>
      <c r="P37" s="1">
        <v>0.99679099999999998</v>
      </c>
    </row>
    <row r="38" spans="1:16" x14ac:dyDescent="0.25">
      <c r="A38" t="s">
        <v>16</v>
      </c>
      <c r="B38" s="19">
        <v>988687696</v>
      </c>
      <c r="C38">
        <v>2500</v>
      </c>
      <c r="D38">
        <v>0</v>
      </c>
      <c r="E38" s="1">
        <v>1</v>
      </c>
      <c r="F38" s="1">
        <v>0</v>
      </c>
      <c r="G38">
        <v>49</v>
      </c>
      <c r="H38">
        <v>1</v>
      </c>
      <c r="I38">
        <v>2500</v>
      </c>
      <c r="J38" s="20">
        <v>1</v>
      </c>
      <c r="K38">
        <v>1</v>
      </c>
      <c r="L38">
        <v>2496</v>
      </c>
      <c r="M38">
        <v>2496</v>
      </c>
      <c r="N38">
        <v>2496</v>
      </c>
      <c r="O38">
        <v>2496</v>
      </c>
      <c r="P38" s="1">
        <v>0.99839999999999995</v>
      </c>
    </row>
    <row r="39" spans="1:16" x14ac:dyDescent="0.25">
      <c r="A39" t="s">
        <v>16</v>
      </c>
      <c r="B39" s="19">
        <v>74955482</v>
      </c>
      <c r="C39">
        <v>2496</v>
      </c>
      <c r="D39">
        <v>4</v>
      </c>
      <c r="E39" s="1">
        <v>0.99839999999999995</v>
      </c>
      <c r="F39" s="1">
        <v>1.6000000000000001E-3</v>
      </c>
      <c r="G39">
        <v>49</v>
      </c>
      <c r="H39">
        <v>1</v>
      </c>
      <c r="I39">
        <v>2496</v>
      </c>
      <c r="J39" s="20">
        <v>1</v>
      </c>
      <c r="K39">
        <v>1</v>
      </c>
      <c r="L39">
        <v>2487</v>
      </c>
      <c r="M39">
        <v>2487</v>
      </c>
      <c r="N39">
        <v>2487</v>
      </c>
      <c r="O39">
        <v>2487</v>
      </c>
      <c r="P39" s="1">
        <v>0.996394</v>
      </c>
    </row>
    <row r="40" spans="1:16" x14ac:dyDescent="0.25">
      <c r="A40" t="s">
        <v>16</v>
      </c>
      <c r="B40" s="19">
        <v>1528328218</v>
      </c>
      <c r="C40">
        <v>2499</v>
      </c>
      <c r="D40">
        <v>1</v>
      </c>
      <c r="E40" s="1">
        <v>0.99960000000000004</v>
      </c>
      <c r="F40" s="1">
        <v>4.0000000000000002E-4</v>
      </c>
      <c r="G40">
        <v>49</v>
      </c>
      <c r="H40">
        <v>1</v>
      </c>
      <c r="I40">
        <v>2499</v>
      </c>
      <c r="J40" s="20">
        <v>1</v>
      </c>
      <c r="K40">
        <v>1</v>
      </c>
      <c r="L40">
        <v>2494</v>
      </c>
      <c r="M40">
        <v>2494</v>
      </c>
      <c r="N40">
        <v>2494</v>
      </c>
      <c r="O40">
        <v>2494</v>
      </c>
      <c r="P40" s="1">
        <v>0.99799899999999997</v>
      </c>
    </row>
    <row r="41" spans="1:16" x14ac:dyDescent="0.25">
      <c r="A41" t="s">
        <v>16</v>
      </c>
      <c r="B41" s="19">
        <v>1925778419</v>
      </c>
      <c r="C41">
        <v>2496</v>
      </c>
      <c r="D41">
        <v>4</v>
      </c>
      <c r="E41" s="1">
        <v>0.99839999999999995</v>
      </c>
      <c r="F41" s="1">
        <v>1.6000000000000001E-3</v>
      </c>
      <c r="G41">
        <v>49</v>
      </c>
      <c r="H41">
        <v>1</v>
      </c>
      <c r="I41">
        <v>2496</v>
      </c>
      <c r="J41" s="20">
        <v>1</v>
      </c>
      <c r="K41">
        <v>1</v>
      </c>
      <c r="L41">
        <v>2486</v>
      </c>
      <c r="M41">
        <v>2486</v>
      </c>
      <c r="N41">
        <v>2486</v>
      </c>
      <c r="O41">
        <v>2486</v>
      </c>
      <c r="P41" s="1">
        <v>0.99599400000000005</v>
      </c>
    </row>
    <row r="42" spans="1:16" x14ac:dyDescent="0.25">
      <c r="A42" t="s">
        <v>16</v>
      </c>
      <c r="B42" s="19">
        <v>371027029</v>
      </c>
      <c r="C42">
        <v>2492</v>
      </c>
      <c r="D42">
        <v>8</v>
      </c>
      <c r="E42" s="1">
        <v>0.99680000000000002</v>
      </c>
      <c r="F42" s="1">
        <v>3.2000000000000002E-3</v>
      </c>
      <c r="G42">
        <v>49</v>
      </c>
      <c r="H42">
        <v>1</v>
      </c>
      <c r="I42">
        <v>2492</v>
      </c>
      <c r="J42" s="20">
        <v>1</v>
      </c>
      <c r="K42">
        <v>1</v>
      </c>
      <c r="L42">
        <v>2484</v>
      </c>
      <c r="M42">
        <v>2484</v>
      </c>
      <c r="N42">
        <v>2484</v>
      </c>
      <c r="O42">
        <v>2484</v>
      </c>
      <c r="P42" s="1">
        <v>0.99678999999999995</v>
      </c>
    </row>
    <row r="43" spans="1:16" x14ac:dyDescent="0.25">
      <c r="A43" t="s">
        <v>16</v>
      </c>
      <c r="B43" s="19">
        <v>671866245</v>
      </c>
      <c r="C43">
        <v>2497</v>
      </c>
      <c r="D43">
        <v>3</v>
      </c>
      <c r="E43" s="1">
        <v>0.99880000000000002</v>
      </c>
      <c r="F43" s="1">
        <v>1.1999999999999999E-3</v>
      </c>
      <c r="G43">
        <v>49</v>
      </c>
      <c r="H43">
        <v>1</v>
      </c>
      <c r="I43">
        <v>2497</v>
      </c>
      <c r="J43" s="20">
        <v>1</v>
      </c>
      <c r="K43">
        <v>1</v>
      </c>
      <c r="L43">
        <v>2491</v>
      </c>
      <c r="M43">
        <v>2491</v>
      </c>
      <c r="N43">
        <v>2491</v>
      </c>
      <c r="O43">
        <v>2491</v>
      </c>
      <c r="P43" s="1">
        <v>0.99759699999999996</v>
      </c>
    </row>
    <row r="44" spans="1:16" x14ac:dyDescent="0.25">
      <c r="A44" t="s">
        <v>16</v>
      </c>
      <c r="B44" s="19">
        <v>1750581624</v>
      </c>
      <c r="C44">
        <v>2498</v>
      </c>
      <c r="D44">
        <v>2</v>
      </c>
      <c r="E44" s="1">
        <v>0.99919999999999998</v>
      </c>
      <c r="F44" s="1">
        <v>8.0000000000000004E-4</v>
      </c>
      <c r="G44">
        <v>49</v>
      </c>
      <c r="H44">
        <v>1</v>
      </c>
      <c r="I44">
        <v>2498</v>
      </c>
      <c r="J44" s="20">
        <v>1</v>
      </c>
      <c r="K44">
        <v>1</v>
      </c>
      <c r="L44">
        <v>2492</v>
      </c>
      <c r="M44">
        <v>2492</v>
      </c>
      <c r="N44">
        <v>2492</v>
      </c>
      <c r="O44">
        <v>2492</v>
      </c>
      <c r="P44" s="1">
        <v>0.99759799999999998</v>
      </c>
    </row>
    <row r="45" spans="1:16" x14ac:dyDescent="0.25">
      <c r="A45" t="s">
        <v>16</v>
      </c>
      <c r="B45" s="19">
        <v>1979590378</v>
      </c>
      <c r="C45">
        <v>2500</v>
      </c>
      <c r="D45">
        <v>0</v>
      </c>
      <c r="E45" s="1">
        <v>1</v>
      </c>
      <c r="F45" s="1">
        <v>0</v>
      </c>
      <c r="G45">
        <v>49</v>
      </c>
      <c r="H45">
        <v>1</v>
      </c>
      <c r="I45">
        <v>2500</v>
      </c>
      <c r="J45" s="20">
        <v>1</v>
      </c>
      <c r="K45">
        <v>1</v>
      </c>
      <c r="L45">
        <v>2496</v>
      </c>
      <c r="M45">
        <v>2496</v>
      </c>
      <c r="N45">
        <v>2496</v>
      </c>
      <c r="O45">
        <v>2496</v>
      </c>
      <c r="P45" s="1">
        <v>0.99839999999999995</v>
      </c>
    </row>
    <row r="46" spans="1:16" x14ac:dyDescent="0.25">
      <c r="A46" t="s">
        <v>16</v>
      </c>
      <c r="B46" s="19">
        <v>792808110</v>
      </c>
      <c r="C46">
        <v>2498</v>
      </c>
      <c r="D46">
        <v>2</v>
      </c>
      <c r="E46" s="1">
        <v>0.99919999999999998</v>
      </c>
      <c r="F46" s="1">
        <v>8.0000000000000004E-4</v>
      </c>
      <c r="G46">
        <v>49</v>
      </c>
      <c r="H46">
        <v>1</v>
      </c>
      <c r="I46">
        <v>2498</v>
      </c>
      <c r="J46" s="20">
        <v>1</v>
      </c>
      <c r="K46">
        <v>1</v>
      </c>
      <c r="L46">
        <v>2492</v>
      </c>
      <c r="M46">
        <v>2492</v>
      </c>
      <c r="N46">
        <v>2492</v>
      </c>
      <c r="O46">
        <v>2492</v>
      </c>
      <c r="P46" s="1">
        <v>0.99759799999999998</v>
      </c>
    </row>
    <row r="47" spans="1:16" x14ac:dyDescent="0.25">
      <c r="A47" t="s">
        <v>16</v>
      </c>
      <c r="B47" s="19">
        <v>1430447087</v>
      </c>
      <c r="C47">
        <v>2499</v>
      </c>
      <c r="D47">
        <v>1</v>
      </c>
      <c r="E47" s="1">
        <v>0.99960000000000004</v>
      </c>
      <c r="F47" s="1">
        <v>4.0000000000000002E-4</v>
      </c>
      <c r="G47">
        <v>49</v>
      </c>
      <c r="H47">
        <v>1</v>
      </c>
      <c r="I47">
        <v>2499</v>
      </c>
      <c r="J47" s="20">
        <v>1</v>
      </c>
      <c r="K47">
        <v>1</v>
      </c>
      <c r="L47">
        <v>2494</v>
      </c>
      <c r="M47">
        <v>2494</v>
      </c>
      <c r="N47">
        <v>2494</v>
      </c>
      <c r="O47">
        <v>2494</v>
      </c>
      <c r="P47" s="1">
        <v>0.99799899999999997</v>
      </c>
    </row>
    <row r="48" spans="1:16" x14ac:dyDescent="0.25">
      <c r="A48" t="s">
        <v>16</v>
      </c>
      <c r="B48" s="19">
        <v>1144234187</v>
      </c>
      <c r="C48">
        <v>2496</v>
      </c>
      <c r="D48">
        <v>4</v>
      </c>
      <c r="E48" s="1">
        <v>0.99839999999999995</v>
      </c>
      <c r="F48" s="1">
        <v>1.6000000000000001E-3</v>
      </c>
      <c r="G48">
        <v>49</v>
      </c>
      <c r="H48">
        <v>1</v>
      </c>
      <c r="I48">
        <v>2496</v>
      </c>
      <c r="J48" s="20">
        <v>1</v>
      </c>
      <c r="K48">
        <v>1</v>
      </c>
      <c r="L48">
        <v>2490</v>
      </c>
      <c r="M48">
        <v>2490</v>
      </c>
      <c r="N48">
        <v>2490</v>
      </c>
      <c r="O48">
        <v>2490</v>
      </c>
      <c r="P48" s="1">
        <v>0.99759600000000004</v>
      </c>
    </row>
    <row r="49" spans="1:16" x14ac:dyDescent="0.25">
      <c r="A49" t="s">
        <v>16</v>
      </c>
      <c r="B49" s="19">
        <v>924801347</v>
      </c>
      <c r="C49">
        <v>2499</v>
      </c>
      <c r="D49">
        <v>1</v>
      </c>
      <c r="E49" s="1">
        <v>0.99960000000000004</v>
      </c>
      <c r="F49" s="1">
        <v>4.0000000000000002E-4</v>
      </c>
      <c r="G49">
        <v>49</v>
      </c>
      <c r="H49">
        <v>1</v>
      </c>
      <c r="I49">
        <v>2499</v>
      </c>
      <c r="J49" s="20">
        <v>1</v>
      </c>
      <c r="K49">
        <v>1</v>
      </c>
      <c r="L49">
        <v>2494</v>
      </c>
      <c r="M49">
        <v>2494</v>
      </c>
      <c r="N49">
        <v>2494</v>
      </c>
      <c r="O49">
        <v>2494</v>
      </c>
      <c r="P49" s="1">
        <v>0.99799899999999997</v>
      </c>
    </row>
    <row r="50" spans="1:16" x14ac:dyDescent="0.25">
      <c r="A50" t="s">
        <v>16</v>
      </c>
      <c r="B50" s="19">
        <v>1877351366</v>
      </c>
      <c r="C50">
        <v>2499</v>
      </c>
      <c r="D50">
        <v>1</v>
      </c>
      <c r="E50" s="1">
        <v>0.99960000000000004</v>
      </c>
      <c r="F50" s="1">
        <v>4.0000000000000002E-4</v>
      </c>
      <c r="G50">
        <v>49</v>
      </c>
      <c r="H50">
        <v>1</v>
      </c>
      <c r="I50">
        <v>2499</v>
      </c>
      <c r="J50" s="20">
        <v>1</v>
      </c>
      <c r="K50">
        <v>1</v>
      </c>
      <c r="L50">
        <v>2494</v>
      </c>
      <c r="M50">
        <v>2494</v>
      </c>
      <c r="N50">
        <v>2494</v>
      </c>
      <c r="O50">
        <v>2494</v>
      </c>
      <c r="P50" s="1">
        <v>0.99799899999999997</v>
      </c>
    </row>
    <row r="51" spans="1:16" x14ac:dyDescent="0.25">
      <c r="A51" t="s">
        <v>16</v>
      </c>
      <c r="B51" s="19">
        <v>956982450</v>
      </c>
      <c r="C51">
        <v>2498</v>
      </c>
      <c r="D51">
        <v>2</v>
      </c>
      <c r="E51" s="1">
        <v>0.99919999999999998</v>
      </c>
      <c r="F51" s="1">
        <v>8.0000000000000004E-4</v>
      </c>
      <c r="G51">
        <v>49</v>
      </c>
      <c r="H51">
        <v>1</v>
      </c>
      <c r="I51">
        <v>2498</v>
      </c>
      <c r="J51" s="20">
        <v>1</v>
      </c>
      <c r="K51">
        <v>1</v>
      </c>
      <c r="L51">
        <v>2491</v>
      </c>
      <c r="M51">
        <v>2491</v>
      </c>
      <c r="N51">
        <v>2491</v>
      </c>
      <c r="O51">
        <v>2491</v>
      </c>
      <c r="P51" s="1">
        <v>0.99719800000000003</v>
      </c>
    </row>
    <row r="52" spans="1:16" x14ac:dyDescent="0.25">
      <c r="A52" t="s">
        <v>26</v>
      </c>
      <c r="B52"/>
      <c r="C52">
        <f>SUBTOTAL(101,CA8_wall30_it2_neigh6[floors])</f>
        <v>2496.48</v>
      </c>
      <c r="D52">
        <f>SUBTOTAL(101,CA8_wall30_it2_neigh6[walls])</f>
        <v>3.52</v>
      </c>
      <c r="E52" s="2">
        <f>SUBTOTAL(101,CA8_wall30_it2_neigh6[floor_percent])</f>
        <v>0.99859199999999992</v>
      </c>
      <c r="F52" s="2">
        <f>SUBTOTAL(101,CA8_wall30_it2_neigh6[wall_percent])</f>
        <v>1.4079999999999993E-3</v>
      </c>
      <c r="G52">
        <f>SUBTOTAL(101,CA8_wall30_it2_neigh6[longest_shortest_path])</f>
        <v>49</v>
      </c>
      <c r="H52">
        <f>SUBTOTAL(101,CA8_wall30_it2_neigh6[component_count])</f>
        <v>1</v>
      </c>
      <c r="I52">
        <f>SUBTOTAL(101,CA8_wall30_it2_neigh6[max_component_size])</f>
        <v>2496.48</v>
      </c>
      <c r="J52">
        <f>SUBTOTAL(101,CA8_wall30_it2_neigh6[connectivity_ratio])</f>
        <v>1</v>
      </c>
      <c r="K52">
        <f>SUBTOTAL(101,CA8_wall30_it2_neigh6[room_count])</f>
        <v>1</v>
      </c>
      <c r="L52">
        <f>SUBTOTAL(101,CA8_wall30_it2_neigh6[avg_room_size])</f>
        <v>2489.2800000000002</v>
      </c>
      <c r="M52">
        <f>SUBTOTAL(101,CA8_wall30_it2_neigh6[max_room_size])</f>
        <v>2489.2800000000002</v>
      </c>
      <c r="N52">
        <f>SUBTOTAL(101,CA8_wall30_it2_neigh6[min_room_size])</f>
        <v>2489.2800000000002</v>
      </c>
      <c r="O52">
        <f>SUBTOTAL(101,CA8_wall30_it2_neigh6[room_tiles])</f>
        <v>2489.2800000000002</v>
      </c>
      <c r="P52" s="2">
        <f>SUBTOTAL(101,CA8_wall30_it2_neigh6[room_ratio])</f>
        <v>0.99711507999999993</v>
      </c>
    </row>
    <row r="53" spans="1:16" x14ac:dyDescent="0.25">
      <c r="A53" s="22" t="s">
        <v>33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414D-7854-47BD-92FB-7A590C489F8E}">
  <dimension ref="A1:P53"/>
  <sheetViews>
    <sheetView topLeftCell="A22" workbookViewId="0">
      <selection activeCell="G57" sqref="G57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1555502820</v>
      </c>
      <c r="C2">
        <v>2412</v>
      </c>
      <c r="D2">
        <v>88</v>
      </c>
      <c r="E2" s="1">
        <v>0.96479999999999999</v>
      </c>
      <c r="F2" s="1">
        <v>3.5200000000000002E-2</v>
      </c>
      <c r="G2">
        <v>49</v>
      </c>
      <c r="H2">
        <v>1</v>
      </c>
      <c r="I2">
        <v>2412</v>
      </c>
      <c r="J2" s="20">
        <v>1</v>
      </c>
      <c r="K2">
        <v>1</v>
      </c>
      <c r="L2">
        <v>2352</v>
      </c>
      <c r="M2">
        <v>2352</v>
      </c>
      <c r="N2">
        <v>2352</v>
      </c>
      <c r="O2">
        <v>2352</v>
      </c>
      <c r="P2" s="1">
        <v>0.97512399999999999</v>
      </c>
    </row>
    <row r="3" spans="1:16" x14ac:dyDescent="0.25">
      <c r="A3" t="s">
        <v>16</v>
      </c>
      <c r="B3" s="19">
        <v>1320253119</v>
      </c>
      <c r="C3">
        <v>2399</v>
      </c>
      <c r="D3">
        <v>101</v>
      </c>
      <c r="E3" s="1">
        <v>0.95960000000000001</v>
      </c>
      <c r="F3" s="1">
        <v>4.0399999999999998E-2</v>
      </c>
      <c r="G3">
        <v>49</v>
      </c>
      <c r="H3">
        <v>1</v>
      </c>
      <c r="I3">
        <v>2399</v>
      </c>
      <c r="J3" s="20">
        <v>1</v>
      </c>
      <c r="K3">
        <v>1</v>
      </c>
      <c r="L3">
        <v>2351</v>
      </c>
      <c r="M3">
        <v>2351</v>
      </c>
      <c r="N3">
        <v>2351</v>
      </c>
      <c r="O3">
        <v>2351</v>
      </c>
      <c r="P3" s="1">
        <v>0.97999199999999997</v>
      </c>
    </row>
    <row r="4" spans="1:16" x14ac:dyDescent="0.25">
      <c r="A4" t="s">
        <v>16</v>
      </c>
      <c r="B4" s="19">
        <v>354764999</v>
      </c>
      <c r="C4">
        <v>2399</v>
      </c>
      <c r="D4">
        <v>101</v>
      </c>
      <c r="E4" s="1">
        <v>0.95960000000000001</v>
      </c>
      <c r="F4" s="1">
        <v>4.0399999999999998E-2</v>
      </c>
      <c r="G4">
        <v>49</v>
      </c>
      <c r="H4">
        <v>1</v>
      </c>
      <c r="I4">
        <v>2399</v>
      </c>
      <c r="J4" s="20">
        <v>1</v>
      </c>
      <c r="K4">
        <v>1</v>
      </c>
      <c r="L4">
        <v>2343</v>
      </c>
      <c r="M4">
        <v>2343</v>
      </c>
      <c r="N4">
        <v>2343</v>
      </c>
      <c r="O4">
        <v>2343</v>
      </c>
      <c r="P4" s="1">
        <v>0.976657</v>
      </c>
    </row>
    <row r="5" spans="1:16" x14ac:dyDescent="0.25">
      <c r="A5" t="s">
        <v>16</v>
      </c>
      <c r="B5" s="19">
        <v>2011946615</v>
      </c>
      <c r="C5">
        <v>2431</v>
      </c>
      <c r="D5">
        <v>69</v>
      </c>
      <c r="E5" s="1">
        <v>0.97240000000000004</v>
      </c>
      <c r="F5" s="1">
        <v>2.76E-2</v>
      </c>
      <c r="G5">
        <v>49</v>
      </c>
      <c r="H5">
        <v>1</v>
      </c>
      <c r="I5">
        <v>2431</v>
      </c>
      <c r="J5" s="20">
        <v>1</v>
      </c>
      <c r="K5">
        <v>1</v>
      </c>
      <c r="L5">
        <v>2380</v>
      </c>
      <c r="M5">
        <v>2380</v>
      </c>
      <c r="N5">
        <v>2380</v>
      </c>
      <c r="O5">
        <v>2380</v>
      </c>
      <c r="P5" s="1">
        <v>0.97902100000000003</v>
      </c>
    </row>
    <row r="6" spans="1:16" x14ac:dyDescent="0.25">
      <c r="A6" t="s">
        <v>16</v>
      </c>
      <c r="B6" s="19">
        <v>1193564524</v>
      </c>
      <c r="C6">
        <v>2416</v>
      </c>
      <c r="D6">
        <v>84</v>
      </c>
      <c r="E6" s="1">
        <v>0.96640000000000004</v>
      </c>
      <c r="F6" s="1">
        <v>3.3599999999999998E-2</v>
      </c>
      <c r="G6">
        <v>49</v>
      </c>
      <c r="H6">
        <v>1</v>
      </c>
      <c r="I6">
        <v>2416</v>
      </c>
      <c r="J6" s="20">
        <v>1</v>
      </c>
      <c r="K6">
        <v>1</v>
      </c>
      <c r="L6">
        <v>2365</v>
      </c>
      <c r="M6">
        <v>2365</v>
      </c>
      <c r="N6">
        <v>2365</v>
      </c>
      <c r="O6">
        <v>2365</v>
      </c>
      <c r="P6" s="1">
        <v>0.97889099999999996</v>
      </c>
    </row>
    <row r="7" spans="1:16" x14ac:dyDescent="0.25">
      <c r="A7" t="s">
        <v>16</v>
      </c>
      <c r="B7" s="19">
        <v>974341061</v>
      </c>
      <c r="C7">
        <v>2416</v>
      </c>
      <c r="D7">
        <v>84</v>
      </c>
      <c r="E7" s="1">
        <v>0.96640000000000004</v>
      </c>
      <c r="F7" s="1">
        <v>3.3599999999999998E-2</v>
      </c>
      <c r="G7">
        <v>49</v>
      </c>
      <c r="H7">
        <v>1</v>
      </c>
      <c r="I7">
        <v>2416</v>
      </c>
      <c r="J7" s="20">
        <v>1</v>
      </c>
      <c r="K7">
        <v>1</v>
      </c>
      <c r="L7">
        <v>2364</v>
      </c>
      <c r="M7">
        <v>2364</v>
      </c>
      <c r="N7">
        <v>2364</v>
      </c>
      <c r="O7">
        <v>2364</v>
      </c>
      <c r="P7" s="1">
        <v>0.97847700000000004</v>
      </c>
    </row>
    <row r="8" spans="1:16" x14ac:dyDescent="0.25">
      <c r="A8" t="s">
        <v>16</v>
      </c>
      <c r="B8" s="19">
        <v>647705772</v>
      </c>
      <c r="C8">
        <v>2412</v>
      </c>
      <c r="D8">
        <v>88</v>
      </c>
      <c r="E8" s="1">
        <v>0.96479999999999999</v>
      </c>
      <c r="F8" s="1">
        <v>3.5200000000000002E-2</v>
      </c>
      <c r="G8">
        <v>49</v>
      </c>
      <c r="H8">
        <v>1</v>
      </c>
      <c r="I8">
        <v>2412</v>
      </c>
      <c r="J8" s="20">
        <v>1</v>
      </c>
      <c r="K8">
        <v>1</v>
      </c>
      <c r="L8">
        <v>2357</v>
      </c>
      <c r="M8">
        <v>2357</v>
      </c>
      <c r="N8">
        <v>2357</v>
      </c>
      <c r="O8">
        <v>2357</v>
      </c>
      <c r="P8" s="1">
        <v>0.97719699999999998</v>
      </c>
    </row>
    <row r="9" spans="1:16" x14ac:dyDescent="0.25">
      <c r="A9" t="s">
        <v>16</v>
      </c>
      <c r="B9" s="19">
        <v>1108412229</v>
      </c>
      <c r="C9">
        <v>2421</v>
      </c>
      <c r="D9">
        <v>79</v>
      </c>
      <c r="E9" s="1">
        <v>0.96840000000000004</v>
      </c>
      <c r="F9" s="1">
        <v>3.1600000000000003E-2</v>
      </c>
      <c r="G9">
        <v>49</v>
      </c>
      <c r="H9">
        <v>1</v>
      </c>
      <c r="I9">
        <v>2421</v>
      </c>
      <c r="J9" s="20">
        <v>1</v>
      </c>
      <c r="K9">
        <v>1</v>
      </c>
      <c r="L9">
        <v>2362</v>
      </c>
      <c r="M9">
        <v>2362</v>
      </c>
      <c r="N9">
        <v>2362</v>
      </c>
      <c r="O9">
        <v>2362</v>
      </c>
      <c r="P9" s="1">
        <v>0.97563</v>
      </c>
    </row>
    <row r="10" spans="1:16" x14ac:dyDescent="0.25">
      <c r="A10" t="s">
        <v>16</v>
      </c>
      <c r="B10" s="19">
        <v>1392165151</v>
      </c>
      <c r="C10">
        <v>2411</v>
      </c>
      <c r="D10">
        <v>89</v>
      </c>
      <c r="E10" s="1">
        <v>0.96440000000000003</v>
      </c>
      <c r="F10" s="1">
        <v>3.56E-2</v>
      </c>
      <c r="G10">
        <v>49</v>
      </c>
      <c r="H10">
        <v>1</v>
      </c>
      <c r="I10">
        <v>2411</v>
      </c>
      <c r="J10" s="20">
        <v>1</v>
      </c>
      <c r="K10">
        <v>1</v>
      </c>
      <c r="L10">
        <v>2356</v>
      </c>
      <c r="M10">
        <v>2356</v>
      </c>
      <c r="N10">
        <v>2356</v>
      </c>
      <c r="O10">
        <v>2356</v>
      </c>
      <c r="P10" s="1">
        <v>0.97718799999999995</v>
      </c>
    </row>
    <row r="11" spans="1:16" x14ac:dyDescent="0.25">
      <c r="A11" t="s">
        <v>16</v>
      </c>
      <c r="B11" s="19">
        <v>1934236329</v>
      </c>
      <c r="C11">
        <v>2386</v>
      </c>
      <c r="D11">
        <v>114</v>
      </c>
      <c r="E11" s="1">
        <v>0.95440000000000003</v>
      </c>
      <c r="F11" s="1">
        <v>4.5600000000000002E-2</v>
      </c>
      <c r="G11">
        <v>49</v>
      </c>
      <c r="H11">
        <v>1</v>
      </c>
      <c r="I11">
        <v>2386</v>
      </c>
      <c r="J11" s="20">
        <v>1</v>
      </c>
      <c r="K11">
        <v>1</v>
      </c>
      <c r="L11">
        <v>2326</v>
      </c>
      <c r="M11">
        <v>2326</v>
      </c>
      <c r="N11">
        <v>2326</v>
      </c>
      <c r="O11">
        <v>2326</v>
      </c>
      <c r="P11" s="1">
        <v>0.97485299999999997</v>
      </c>
    </row>
    <row r="12" spans="1:16" x14ac:dyDescent="0.25">
      <c r="A12" t="s">
        <v>16</v>
      </c>
      <c r="B12" s="19">
        <v>347917258</v>
      </c>
      <c r="C12">
        <v>2413</v>
      </c>
      <c r="D12">
        <v>87</v>
      </c>
      <c r="E12" s="1">
        <v>0.96519999999999995</v>
      </c>
      <c r="F12" s="1">
        <v>3.4799999999999998E-2</v>
      </c>
      <c r="G12">
        <v>49</v>
      </c>
      <c r="H12">
        <v>1</v>
      </c>
      <c r="I12">
        <v>2413</v>
      </c>
      <c r="J12" s="20">
        <v>1</v>
      </c>
      <c r="K12">
        <v>1</v>
      </c>
      <c r="L12">
        <v>2353</v>
      </c>
      <c r="M12">
        <v>2353</v>
      </c>
      <c r="N12">
        <v>2353</v>
      </c>
      <c r="O12">
        <v>2353</v>
      </c>
      <c r="P12" s="1">
        <v>0.97513499999999997</v>
      </c>
    </row>
    <row r="13" spans="1:16" x14ac:dyDescent="0.25">
      <c r="A13" t="s">
        <v>16</v>
      </c>
      <c r="B13" s="19">
        <v>1667678331</v>
      </c>
      <c r="C13">
        <v>2371</v>
      </c>
      <c r="D13">
        <v>129</v>
      </c>
      <c r="E13" s="1">
        <v>0.94840000000000002</v>
      </c>
      <c r="F13" s="1">
        <v>5.16E-2</v>
      </c>
      <c r="G13">
        <v>49</v>
      </c>
      <c r="H13">
        <v>1</v>
      </c>
      <c r="I13">
        <v>2371</v>
      </c>
      <c r="J13" s="20">
        <v>1</v>
      </c>
      <c r="K13">
        <v>1</v>
      </c>
      <c r="L13">
        <v>2311</v>
      </c>
      <c r="M13">
        <v>2311</v>
      </c>
      <c r="N13">
        <v>2311</v>
      </c>
      <c r="O13">
        <v>2311</v>
      </c>
      <c r="P13" s="1">
        <v>0.97469399999999995</v>
      </c>
    </row>
    <row r="14" spans="1:16" x14ac:dyDescent="0.25">
      <c r="A14" t="s">
        <v>16</v>
      </c>
      <c r="B14" s="19">
        <v>415266603</v>
      </c>
      <c r="C14">
        <v>2428</v>
      </c>
      <c r="D14">
        <v>72</v>
      </c>
      <c r="E14" s="1">
        <v>0.97119999999999995</v>
      </c>
      <c r="F14" s="1">
        <v>2.8799999999999999E-2</v>
      </c>
      <c r="G14">
        <v>49</v>
      </c>
      <c r="H14">
        <v>1</v>
      </c>
      <c r="I14">
        <v>2428</v>
      </c>
      <c r="J14" s="20">
        <v>1</v>
      </c>
      <c r="K14">
        <v>1</v>
      </c>
      <c r="L14">
        <v>2381</v>
      </c>
      <c r="M14">
        <v>2381</v>
      </c>
      <c r="N14">
        <v>2381</v>
      </c>
      <c r="O14">
        <v>2381</v>
      </c>
      <c r="P14" s="1">
        <v>0.98064300000000004</v>
      </c>
    </row>
    <row r="15" spans="1:16" x14ac:dyDescent="0.25">
      <c r="A15" t="s">
        <v>16</v>
      </c>
      <c r="B15" s="19">
        <v>1826153148</v>
      </c>
      <c r="C15">
        <v>2432</v>
      </c>
      <c r="D15">
        <v>68</v>
      </c>
      <c r="E15" s="1">
        <v>0.9728</v>
      </c>
      <c r="F15" s="1">
        <v>2.7199999999999998E-2</v>
      </c>
      <c r="G15">
        <v>49</v>
      </c>
      <c r="H15">
        <v>1</v>
      </c>
      <c r="I15">
        <v>2432</v>
      </c>
      <c r="J15" s="20">
        <v>1</v>
      </c>
      <c r="K15">
        <v>1</v>
      </c>
      <c r="L15">
        <v>2380</v>
      </c>
      <c r="M15">
        <v>2380</v>
      </c>
      <c r="N15">
        <v>2380</v>
      </c>
      <c r="O15">
        <v>2380</v>
      </c>
      <c r="P15" s="1">
        <v>0.97861799999999999</v>
      </c>
    </row>
    <row r="16" spans="1:16" x14ac:dyDescent="0.25">
      <c r="A16" t="s">
        <v>16</v>
      </c>
      <c r="B16" s="19">
        <v>1939717418</v>
      </c>
      <c r="C16">
        <v>2392</v>
      </c>
      <c r="D16">
        <v>108</v>
      </c>
      <c r="E16" s="1">
        <v>0.95679999999999998</v>
      </c>
      <c r="F16" s="1">
        <v>4.3200000000000002E-2</v>
      </c>
      <c r="G16">
        <v>52</v>
      </c>
      <c r="H16">
        <v>1</v>
      </c>
      <c r="I16">
        <v>2392</v>
      </c>
      <c r="J16" s="20">
        <v>1</v>
      </c>
      <c r="K16">
        <v>1</v>
      </c>
      <c r="L16">
        <v>2321</v>
      </c>
      <c r="M16">
        <v>2321</v>
      </c>
      <c r="N16">
        <v>2321</v>
      </c>
      <c r="O16">
        <v>2321</v>
      </c>
      <c r="P16" s="1">
        <v>0.97031800000000001</v>
      </c>
    </row>
    <row r="17" spans="1:16" x14ac:dyDescent="0.25">
      <c r="A17" t="s">
        <v>16</v>
      </c>
      <c r="B17" s="19">
        <v>1692185490</v>
      </c>
      <c r="C17">
        <v>2401</v>
      </c>
      <c r="D17">
        <v>99</v>
      </c>
      <c r="E17" s="1">
        <v>0.96040000000000003</v>
      </c>
      <c r="F17" s="1">
        <v>3.9600000000000003E-2</v>
      </c>
      <c r="G17">
        <v>49</v>
      </c>
      <c r="H17">
        <v>1</v>
      </c>
      <c r="I17">
        <v>2401</v>
      </c>
      <c r="J17" s="20">
        <v>1</v>
      </c>
      <c r="K17">
        <v>1</v>
      </c>
      <c r="L17">
        <v>2354</v>
      </c>
      <c r="M17">
        <v>2354</v>
      </c>
      <c r="N17">
        <v>2354</v>
      </c>
      <c r="O17">
        <v>2354</v>
      </c>
      <c r="P17" s="1">
        <v>0.98042499999999999</v>
      </c>
    </row>
    <row r="18" spans="1:16" x14ac:dyDescent="0.25">
      <c r="A18" t="s">
        <v>16</v>
      </c>
      <c r="B18" s="19">
        <v>747407619</v>
      </c>
      <c r="C18">
        <v>2392</v>
      </c>
      <c r="D18">
        <v>108</v>
      </c>
      <c r="E18" s="1">
        <v>0.95679999999999998</v>
      </c>
      <c r="F18" s="1">
        <v>4.3200000000000002E-2</v>
      </c>
      <c r="G18">
        <v>49</v>
      </c>
      <c r="H18">
        <v>1</v>
      </c>
      <c r="I18">
        <v>2392</v>
      </c>
      <c r="J18" s="20">
        <v>1</v>
      </c>
      <c r="K18">
        <v>1</v>
      </c>
      <c r="L18">
        <v>2328</v>
      </c>
      <c r="M18">
        <v>2328</v>
      </c>
      <c r="N18">
        <v>2328</v>
      </c>
      <c r="O18">
        <v>2328</v>
      </c>
      <c r="P18" s="1">
        <v>0.973244</v>
      </c>
    </row>
    <row r="19" spans="1:16" x14ac:dyDescent="0.25">
      <c r="A19" t="s">
        <v>16</v>
      </c>
      <c r="B19" s="19">
        <v>429572301</v>
      </c>
      <c r="C19">
        <v>2422</v>
      </c>
      <c r="D19">
        <v>78</v>
      </c>
      <c r="E19" s="1">
        <v>0.96879999999999999</v>
      </c>
      <c r="F19" s="1">
        <v>3.1199999999999999E-2</v>
      </c>
      <c r="G19">
        <v>49</v>
      </c>
      <c r="H19">
        <v>1</v>
      </c>
      <c r="I19">
        <v>2422</v>
      </c>
      <c r="J19" s="20">
        <v>1</v>
      </c>
      <c r="K19">
        <v>1</v>
      </c>
      <c r="L19">
        <v>2372</v>
      </c>
      <c r="M19">
        <v>2372</v>
      </c>
      <c r="N19">
        <v>2372</v>
      </c>
      <c r="O19">
        <v>2372</v>
      </c>
      <c r="P19" s="1">
        <v>0.979356</v>
      </c>
    </row>
    <row r="20" spans="1:16" x14ac:dyDescent="0.25">
      <c r="A20" t="s">
        <v>16</v>
      </c>
      <c r="B20" s="19">
        <v>1955409856</v>
      </c>
      <c r="C20">
        <v>2374</v>
      </c>
      <c r="D20">
        <v>126</v>
      </c>
      <c r="E20" s="1">
        <v>0.9496</v>
      </c>
      <c r="F20" s="1">
        <v>5.04E-2</v>
      </c>
      <c r="G20">
        <v>49</v>
      </c>
      <c r="H20">
        <v>1</v>
      </c>
      <c r="I20">
        <v>2374</v>
      </c>
      <c r="J20" s="20">
        <v>1</v>
      </c>
      <c r="K20">
        <v>1</v>
      </c>
      <c r="L20">
        <v>2308</v>
      </c>
      <c r="M20">
        <v>2308</v>
      </c>
      <c r="N20">
        <v>2308</v>
      </c>
      <c r="O20">
        <v>2308</v>
      </c>
      <c r="P20" s="1">
        <v>0.97219900000000004</v>
      </c>
    </row>
    <row r="21" spans="1:16" x14ac:dyDescent="0.25">
      <c r="A21" t="s">
        <v>16</v>
      </c>
      <c r="B21" s="19">
        <v>360527481</v>
      </c>
      <c r="C21">
        <v>2408</v>
      </c>
      <c r="D21">
        <v>92</v>
      </c>
      <c r="E21" s="1">
        <v>0.96319999999999995</v>
      </c>
      <c r="F21" s="1">
        <v>3.6799999999999999E-2</v>
      </c>
      <c r="G21">
        <v>49</v>
      </c>
      <c r="H21">
        <v>1</v>
      </c>
      <c r="I21">
        <v>2408</v>
      </c>
      <c r="J21" s="20">
        <v>1</v>
      </c>
      <c r="K21">
        <v>1</v>
      </c>
      <c r="L21">
        <v>2356</v>
      </c>
      <c r="M21">
        <v>2356</v>
      </c>
      <c r="N21">
        <v>2356</v>
      </c>
      <c r="O21">
        <v>2356</v>
      </c>
      <c r="P21" s="1">
        <v>0.97840499999999997</v>
      </c>
    </row>
    <row r="22" spans="1:16" x14ac:dyDescent="0.25">
      <c r="A22" t="s">
        <v>16</v>
      </c>
      <c r="B22" s="19">
        <v>2103241783</v>
      </c>
      <c r="C22">
        <v>2411</v>
      </c>
      <c r="D22">
        <v>89</v>
      </c>
      <c r="E22" s="1">
        <v>0.96440000000000003</v>
      </c>
      <c r="F22" s="1">
        <v>3.56E-2</v>
      </c>
      <c r="G22">
        <v>49</v>
      </c>
      <c r="H22">
        <v>1</v>
      </c>
      <c r="I22">
        <v>2411</v>
      </c>
      <c r="J22" s="20">
        <v>1</v>
      </c>
      <c r="K22">
        <v>1</v>
      </c>
      <c r="L22">
        <v>2359</v>
      </c>
      <c r="M22">
        <v>2359</v>
      </c>
      <c r="N22">
        <v>2359</v>
      </c>
      <c r="O22">
        <v>2359</v>
      </c>
      <c r="P22" s="1">
        <v>0.97843199999999997</v>
      </c>
    </row>
    <row r="23" spans="1:16" x14ac:dyDescent="0.25">
      <c r="A23" t="s">
        <v>16</v>
      </c>
      <c r="B23" s="19">
        <v>1812028842</v>
      </c>
      <c r="C23">
        <v>2394</v>
      </c>
      <c r="D23">
        <v>106</v>
      </c>
      <c r="E23" s="1">
        <v>0.95760000000000001</v>
      </c>
      <c r="F23" s="1">
        <v>4.24E-2</v>
      </c>
      <c r="G23">
        <v>49</v>
      </c>
      <c r="H23">
        <v>1</v>
      </c>
      <c r="I23">
        <v>2394</v>
      </c>
      <c r="J23" s="20">
        <v>1</v>
      </c>
      <c r="K23">
        <v>1</v>
      </c>
      <c r="L23">
        <v>2341</v>
      </c>
      <c r="M23">
        <v>2341</v>
      </c>
      <c r="N23">
        <v>2341</v>
      </c>
      <c r="O23">
        <v>2341</v>
      </c>
      <c r="P23" s="1">
        <v>0.97786099999999998</v>
      </c>
    </row>
    <row r="24" spans="1:16" x14ac:dyDescent="0.25">
      <c r="A24" t="s">
        <v>16</v>
      </c>
      <c r="B24" s="19">
        <v>1560987136</v>
      </c>
      <c r="C24">
        <v>2424</v>
      </c>
      <c r="D24">
        <v>76</v>
      </c>
      <c r="E24" s="1">
        <v>0.96960000000000002</v>
      </c>
      <c r="F24" s="1">
        <v>3.04E-2</v>
      </c>
      <c r="G24">
        <v>49</v>
      </c>
      <c r="H24">
        <v>1</v>
      </c>
      <c r="I24">
        <v>2424</v>
      </c>
      <c r="J24" s="20">
        <v>1</v>
      </c>
      <c r="K24">
        <v>1</v>
      </c>
      <c r="L24">
        <v>2380</v>
      </c>
      <c r="M24">
        <v>2380</v>
      </c>
      <c r="N24">
        <v>2380</v>
      </c>
      <c r="O24">
        <v>2380</v>
      </c>
      <c r="P24" s="1">
        <v>0.98184800000000005</v>
      </c>
    </row>
    <row r="25" spans="1:16" x14ac:dyDescent="0.25">
      <c r="A25" t="s">
        <v>16</v>
      </c>
      <c r="B25" s="19">
        <v>1408925324</v>
      </c>
      <c r="C25">
        <v>2436</v>
      </c>
      <c r="D25">
        <v>64</v>
      </c>
      <c r="E25" s="1">
        <v>0.97440000000000004</v>
      </c>
      <c r="F25" s="1">
        <v>2.5600000000000001E-2</v>
      </c>
      <c r="G25">
        <v>49</v>
      </c>
      <c r="H25">
        <v>1</v>
      </c>
      <c r="I25">
        <v>2436</v>
      </c>
      <c r="J25" s="20">
        <v>1</v>
      </c>
      <c r="K25">
        <v>1</v>
      </c>
      <c r="L25">
        <v>2386</v>
      </c>
      <c r="M25">
        <v>2386</v>
      </c>
      <c r="N25">
        <v>2386</v>
      </c>
      <c r="O25">
        <v>2386</v>
      </c>
      <c r="P25" s="1">
        <v>0.97947499999999998</v>
      </c>
    </row>
    <row r="26" spans="1:16" x14ac:dyDescent="0.25">
      <c r="A26" t="s">
        <v>16</v>
      </c>
      <c r="B26" s="19">
        <v>1835403151</v>
      </c>
      <c r="C26">
        <v>2437</v>
      </c>
      <c r="D26">
        <v>63</v>
      </c>
      <c r="E26" s="1">
        <v>0.9748</v>
      </c>
      <c r="F26" s="1">
        <v>2.52E-2</v>
      </c>
      <c r="G26">
        <v>49</v>
      </c>
      <c r="H26">
        <v>1</v>
      </c>
      <c r="I26">
        <v>2437</v>
      </c>
      <c r="J26" s="20">
        <v>1</v>
      </c>
      <c r="K26">
        <v>1</v>
      </c>
      <c r="L26">
        <v>2387</v>
      </c>
      <c r="M26">
        <v>2387</v>
      </c>
      <c r="N26">
        <v>2387</v>
      </c>
      <c r="O26">
        <v>2387</v>
      </c>
      <c r="P26" s="1">
        <v>0.97948299999999999</v>
      </c>
    </row>
    <row r="27" spans="1:16" x14ac:dyDescent="0.25">
      <c r="A27" t="s">
        <v>16</v>
      </c>
      <c r="B27" s="19">
        <v>1066873767</v>
      </c>
      <c r="C27">
        <v>2406</v>
      </c>
      <c r="D27">
        <v>94</v>
      </c>
      <c r="E27" s="1">
        <v>0.96240000000000003</v>
      </c>
      <c r="F27" s="1">
        <v>3.7600000000000001E-2</v>
      </c>
      <c r="G27">
        <v>49</v>
      </c>
      <c r="H27">
        <v>1</v>
      </c>
      <c r="I27">
        <v>2406</v>
      </c>
      <c r="J27" s="20">
        <v>1</v>
      </c>
      <c r="K27">
        <v>1</v>
      </c>
      <c r="L27">
        <v>2345</v>
      </c>
      <c r="M27">
        <v>2345</v>
      </c>
      <c r="N27">
        <v>2345</v>
      </c>
      <c r="O27">
        <v>2345</v>
      </c>
      <c r="P27" s="1">
        <v>0.97464700000000004</v>
      </c>
    </row>
    <row r="28" spans="1:16" x14ac:dyDescent="0.25">
      <c r="A28" t="s">
        <v>16</v>
      </c>
      <c r="B28" s="19">
        <v>1565809937</v>
      </c>
      <c r="C28">
        <v>2409</v>
      </c>
      <c r="D28">
        <v>91</v>
      </c>
      <c r="E28" s="1">
        <v>0.96360000000000001</v>
      </c>
      <c r="F28" s="1">
        <v>3.6400000000000002E-2</v>
      </c>
      <c r="G28">
        <v>49</v>
      </c>
      <c r="H28">
        <v>1</v>
      </c>
      <c r="I28">
        <v>2409</v>
      </c>
      <c r="J28" s="20">
        <v>1</v>
      </c>
      <c r="K28">
        <v>1</v>
      </c>
      <c r="L28">
        <v>2359</v>
      </c>
      <c r="M28">
        <v>2359</v>
      </c>
      <c r="N28">
        <v>2359</v>
      </c>
      <c r="O28">
        <v>2359</v>
      </c>
      <c r="P28" s="1">
        <v>0.979244</v>
      </c>
    </row>
    <row r="29" spans="1:16" x14ac:dyDescent="0.25">
      <c r="A29" t="s">
        <v>16</v>
      </c>
      <c r="B29" s="19">
        <v>1248666670</v>
      </c>
      <c r="C29">
        <v>2422</v>
      </c>
      <c r="D29">
        <v>78</v>
      </c>
      <c r="E29" s="1">
        <v>0.96879999999999999</v>
      </c>
      <c r="F29" s="1">
        <v>3.1199999999999999E-2</v>
      </c>
      <c r="G29">
        <v>49</v>
      </c>
      <c r="H29">
        <v>1</v>
      </c>
      <c r="I29">
        <v>2422</v>
      </c>
      <c r="J29" s="20">
        <v>1</v>
      </c>
      <c r="K29">
        <v>1</v>
      </c>
      <c r="L29">
        <v>2371</v>
      </c>
      <c r="M29">
        <v>2371</v>
      </c>
      <c r="N29">
        <v>2371</v>
      </c>
      <c r="O29">
        <v>2371</v>
      </c>
      <c r="P29" s="1">
        <v>0.97894300000000001</v>
      </c>
    </row>
    <row r="30" spans="1:16" x14ac:dyDescent="0.25">
      <c r="A30" t="s">
        <v>16</v>
      </c>
      <c r="B30" s="19">
        <v>913179144</v>
      </c>
      <c r="C30">
        <v>2407</v>
      </c>
      <c r="D30">
        <v>93</v>
      </c>
      <c r="E30" s="1">
        <v>0.96279999999999999</v>
      </c>
      <c r="F30" s="1">
        <v>3.7199999999999997E-2</v>
      </c>
      <c r="G30">
        <v>49</v>
      </c>
      <c r="H30">
        <v>1</v>
      </c>
      <c r="I30">
        <v>2407</v>
      </c>
      <c r="J30" s="20">
        <v>1</v>
      </c>
      <c r="K30">
        <v>1</v>
      </c>
      <c r="L30">
        <v>2348</v>
      </c>
      <c r="M30">
        <v>2348</v>
      </c>
      <c r="N30">
        <v>2348</v>
      </c>
      <c r="O30">
        <v>2348</v>
      </c>
      <c r="P30" s="1">
        <v>0.97548800000000002</v>
      </c>
    </row>
    <row r="31" spans="1:16" x14ac:dyDescent="0.25">
      <c r="A31" t="s">
        <v>16</v>
      </c>
      <c r="B31" s="19">
        <v>880459851</v>
      </c>
      <c r="C31">
        <v>2374</v>
      </c>
      <c r="D31">
        <v>126</v>
      </c>
      <c r="E31" s="1">
        <v>0.9496</v>
      </c>
      <c r="F31" s="1">
        <v>5.04E-2</v>
      </c>
      <c r="G31">
        <v>49</v>
      </c>
      <c r="H31">
        <v>1</v>
      </c>
      <c r="I31">
        <v>2374</v>
      </c>
      <c r="J31" s="20">
        <v>1</v>
      </c>
      <c r="K31">
        <v>1</v>
      </c>
      <c r="L31">
        <v>2320</v>
      </c>
      <c r="M31">
        <v>2320</v>
      </c>
      <c r="N31">
        <v>2320</v>
      </c>
      <c r="O31">
        <v>2320</v>
      </c>
      <c r="P31" s="1">
        <v>0.97725399999999996</v>
      </c>
    </row>
    <row r="32" spans="1:16" x14ac:dyDescent="0.25">
      <c r="A32" t="s">
        <v>16</v>
      </c>
      <c r="B32" s="19">
        <v>224121784</v>
      </c>
      <c r="C32">
        <v>2407</v>
      </c>
      <c r="D32">
        <v>93</v>
      </c>
      <c r="E32" s="1">
        <v>0.96279999999999999</v>
      </c>
      <c r="F32" s="1">
        <v>3.7199999999999997E-2</v>
      </c>
      <c r="G32">
        <v>49</v>
      </c>
      <c r="H32">
        <v>1</v>
      </c>
      <c r="I32">
        <v>2407</v>
      </c>
      <c r="J32" s="20">
        <v>1</v>
      </c>
      <c r="K32">
        <v>1</v>
      </c>
      <c r="L32">
        <v>2352</v>
      </c>
      <c r="M32">
        <v>2352</v>
      </c>
      <c r="N32">
        <v>2352</v>
      </c>
      <c r="O32">
        <v>2352</v>
      </c>
      <c r="P32" s="1">
        <v>0.97714999999999996</v>
      </c>
    </row>
    <row r="33" spans="1:16" x14ac:dyDescent="0.25">
      <c r="A33" t="s">
        <v>16</v>
      </c>
      <c r="B33" s="19">
        <v>315602231</v>
      </c>
      <c r="C33">
        <v>2386</v>
      </c>
      <c r="D33">
        <v>114</v>
      </c>
      <c r="E33" s="1">
        <v>0.95440000000000003</v>
      </c>
      <c r="F33" s="1">
        <v>4.5600000000000002E-2</v>
      </c>
      <c r="G33">
        <v>49</v>
      </c>
      <c r="H33">
        <v>1</v>
      </c>
      <c r="I33">
        <v>2386</v>
      </c>
      <c r="J33" s="20">
        <v>1</v>
      </c>
      <c r="K33">
        <v>1</v>
      </c>
      <c r="L33">
        <v>2320</v>
      </c>
      <c r="M33">
        <v>2320</v>
      </c>
      <c r="N33">
        <v>2320</v>
      </c>
      <c r="O33">
        <v>2320</v>
      </c>
      <c r="P33" s="1">
        <v>0.97233899999999995</v>
      </c>
    </row>
    <row r="34" spans="1:16" x14ac:dyDescent="0.25">
      <c r="A34" t="s">
        <v>16</v>
      </c>
      <c r="B34" s="19">
        <v>150816190</v>
      </c>
      <c r="C34">
        <v>2411</v>
      </c>
      <c r="D34">
        <v>89</v>
      </c>
      <c r="E34" s="1">
        <v>0.96440000000000003</v>
      </c>
      <c r="F34" s="1">
        <v>3.56E-2</v>
      </c>
      <c r="G34">
        <v>49</v>
      </c>
      <c r="H34">
        <v>1</v>
      </c>
      <c r="I34">
        <v>2411</v>
      </c>
      <c r="J34" s="20">
        <v>1</v>
      </c>
      <c r="K34">
        <v>1</v>
      </c>
      <c r="L34">
        <v>2372</v>
      </c>
      <c r="M34">
        <v>2372</v>
      </c>
      <c r="N34">
        <v>2372</v>
      </c>
      <c r="O34">
        <v>2372</v>
      </c>
      <c r="P34" s="1">
        <v>0.98382400000000003</v>
      </c>
    </row>
    <row r="35" spans="1:16" x14ac:dyDescent="0.25">
      <c r="A35" t="s">
        <v>16</v>
      </c>
      <c r="B35" s="19">
        <v>968360463</v>
      </c>
      <c r="C35">
        <v>2411</v>
      </c>
      <c r="D35">
        <v>89</v>
      </c>
      <c r="E35" s="1">
        <v>0.96440000000000003</v>
      </c>
      <c r="F35" s="1">
        <v>3.56E-2</v>
      </c>
      <c r="G35">
        <v>49</v>
      </c>
      <c r="H35">
        <v>1</v>
      </c>
      <c r="I35">
        <v>2411</v>
      </c>
      <c r="J35" s="20">
        <v>1</v>
      </c>
      <c r="K35">
        <v>1</v>
      </c>
      <c r="L35">
        <v>2359</v>
      </c>
      <c r="M35">
        <v>2359</v>
      </c>
      <c r="N35">
        <v>2359</v>
      </c>
      <c r="O35">
        <v>2359</v>
      </c>
      <c r="P35" s="1">
        <v>0.97843199999999997</v>
      </c>
    </row>
    <row r="36" spans="1:16" x14ac:dyDescent="0.25">
      <c r="A36" t="s">
        <v>16</v>
      </c>
      <c r="B36" s="19">
        <v>202739066</v>
      </c>
      <c r="C36">
        <v>2397</v>
      </c>
      <c r="D36">
        <v>103</v>
      </c>
      <c r="E36" s="1">
        <v>0.95879999999999999</v>
      </c>
      <c r="F36" s="1">
        <v>4.1200000000000001E-2</v>
      </c>
      <c r="G36">
        <v>49</v>
      </c>
      <c r="H36">
        <v>1</v>
      </c>
      <c r="I36">
        <v>2397</v>
      </c>
      <c r="J36" s="20">
        <v>1</v>
      </c>
      <c r="K36">
        <v>1</v>
      </c>
      <c r="L36">
        <v>2339</v>
      </c>
      <c r="M36">
        <v>2339</v>
      </c>
      <c r="N36">
        <v>2339</v>
      </c>
      <c r="O36">
        <v>2339</v>
      </c>
      <c r="P36" s="1">
        <v>0.97580299999999998</v>
      </c>
    </row>
    <row r="37" spans="1:16" x14ac:dyDescent="0.25">
      <c r="A37" t="s">
        <v>16</v>
      </c>
      <c r="B37" s="19">
        <v>647266996</v>
      </c>
      <c r="C37">
        <v>2421</v>
      </c>
      <c r="D37">
        <v>79</v>
      </c>
      <c r="E37" s="1">
        <v>0.96840000000000004</v>
      </c>
      <c r="F37" s="1">
        <v>3.1600000000000003E-2</v>
      </c>
      <c r="G37">
        <v>49</v>
      </c>
      <c r="H37">
        <v>1</v>
      </c>
      <c r="I37">
        <v>2421</v>
      </c>
      <c r="J37" s="20">
        <v>1</v>
      </c>
      <c r="K37">
        <v>1</v>
      </c>
      <c r="L37">
        <v>2374</v>
      </c>
      <c r="M37">
        <v>2374</v>
      </c>
      <c r="N37">
        <v>2374</v>
      </c>
      <c r="O37">
        <v>2374</v>
      </c>
      <c r="P37" s="1">
        <v>0.98058699999999999</v>
      </c>
    </row>
    <row r="38" spans="1:16" x14ac:dyDescent="0.25">
      <c r="A38" t="s">
        <v>16</v>
      </c>
      <c r="B38" s="19">
        <v>1068827660</v>
      </c>
      <c r="C38">
        <v>2405</v>
      </c>
      <c r="D38">
        <v>95</v>
      </c>
      <c r="E38" s="1">
        <v>0.96199999999999997</v>
      </c>
      <c r="F38" s="1">
        <v>3.7999999999999999E-2</v>
      </c>
      <c r="G38">
        <v>49</v>
      </c>
      <c r="H38">
        <v>1</v>
      </c>
      <c r="I38">
        <v>2405</v>
      </c>
      <c r="J38" s="20">
        <v>1</v>
      </c>
      <c r="K38">
        <v>1</v>
      </c>
      <c r="L38">
        <v>2347</v>
      </c>
      <c r="M38">
        <v>2347</v>
      </c>
      <c r="N38">
        <v>2347</v>
      </c>
      <c r="O38">
        <v>2347</v>
      </c>
      <c r="P38" s="1">
        <v>0.97588399999999997</v>
      </c>
    </row>
    <row r="39" spans="1:16" x14ac:dyDescent="0.25">
      <c r="A39" t="s">
        <v>16</v>
      </c>
      <c r="B39" s="19">
        <v>1184898778</v>
      </c>
      <c r="C39">
        <v>2429</v>
      </c>
      <c r="D39">
        <v>71</v>
      </c>
      <c r="E39" s="1">
        <v>0.97160000000000002</v>
      </c>
      <c r="F39" s="1">
        <v>2.8400000000000002E-2</v>
      </c>
      <c r="G39">
        <v>49</v>
      </c>
      <c r="H39">
        <v>1</v>
      </c>
      <c r="I39">
        <v>2429</v>
      </c>
      <c r="J39" s="20">
        <v>1</v>
      </c>
      <c r="K39">
        <v>1</v>
      </c>
      <c r="L39">
        <v>2384</v>
      </c>
      <c r="M39">
        <v>2384</v>
      </c>
      <c r="N39">
        <v>2384</v>
      </c>
      <c r="O39">
        <v>2384</v>
      </c>
      <c r="P39" s="1">
        <v>0.98147399999999996</v>
      </c>
    </row>
    <row r="40" spans="1:16" x14ac:dyDescent="0.25">
      <c r="A40" t="s">
        <v>16</v>
      </c>
      <c r="B40" s="19">
        <v>268670379</v>
      </c>
      <c r="C40">
        <v>2409</v>
      </c>
      <c r="D40">
        <v>91</v>
      </c>
      <c r="E40" s="1">
        <v>0.96360000000000001</v>
      </c>
      <c r="F40" s="1">
        <v>3.6400000000000002E-2</v>
      </c>
      <c r="G40">
        <v>49</v>
      </c>
      <c r="H40">
        <v>1</v>
      </c>
      <c r="I40">
        <v>2409</v>
      </c>
      <c r="J40" s="20">
        <v>1</v>
      </c>
      <c r="K40">
        <v>1</v>
      </c>
      <c r="L40">
        <v>2364</v>
      </c>
      <c r="M40">
        <v>2364</v>
      </c>
      <c r="N40">
        <v>2364</v>
      </c>
      <c r="O40">
        <v>2364</v>
      </c>
      <c r="P40" s="1">
        <v>0.98131999999999997</v>
      </c>
    </row>
    <row r="41" spans="1:16" x14ac:dyDescent="0.25">
      <c r="A41" t="s">
        <v>16</v>
      </c>
      <c r="B41" s="19">
        <v>1508466002</v>
      </c>
      <c r="C41">
        <v>2419</v>
      </c>
      <c r="D41">
        <v>81</v>
      </c>
      <c r="E41" s="1">
        <v>0.96760000000000002</v>
      </c>
      <c r="F41" s="1">
        <v>3.2399999999999998E-2</v>
      </c>
      <c r="G41">
        <v>49</v>
      </c>
      <c r="H41">
        <v>1</v>
      </c>
      <c r="I41">
        <v>2419</v>
      </c>
      <c r="J41" s="20">
        <v>1</v>
      </c>
      <c r="K41">
        <v>1</v>
      </c>
      <c r="L41">
        <v>2374</v>
      </c>
      <c r="M41">
        <v>2374</v>
      </c>
      <c r="N41">
        <v>2374</v>
      </c>
      <c r="O41">
        <v>2374</v>
      </c>
      <c r="P41" s="1">
        <v>0.98139699999999996</v>
      </c>
    </row>
    <row r="42" spans="1:16" x14ac:dyDescent="0.25">
      <c r="A42" t="s">
        <v>16</v>
      </c>
      <c r="B42" s="19">
        <v>1283220664</v>
      </c>
      <c r="C42">
        <v>2419</v>
      </c>
      <c r="D42">
        <v>81</v>
      </c>
      <c r="E42" s="1">
        <v>0.96760000000000002</v>
      </c>
      <c r="F42" s="1">
        <v>3.2399999999999998E-2</v>
      </c>
      <c r="G42">
        <v>49</v>
      </c>
      <c r="H42">
        <v>1</v>
      </c>
      <c r="I42">
        <v>2419</v>
      </c>
      <c r="J42" s="20">
        <v>1</v>
      </c>
      <c r="K42">
        <v>1</v>
      </c>
      <c r="L42">
        <v>2363</v>
      </c>
      <c r="M42">
        <v>2363</v>
      </c>
      <c r="N42">
        <v>2363</v>
      </c>
      <c r="O42">
        <v>2363</v>
      </c>
      <c r="P42" s="1">
        <v>0.97685</v>
      </c>
    </row>
    <row r="43" spans="1:16" x14ac:dyDescent="0.25">
      <c r="A43" t="s">
        <v>16</v>
      </c>
      <c r="B43" s="19">
        <v>96614496</v>
      </c>
      <c r="C43">
        <v>2441</v>
      </c>
      <c r="D43">
        <v>59</v>
      </c>
      <c r="E43" s="1">
        <v>0.97640000000000005</v>
      </c>
      <c r="F43" s="1">
        <v>2.3599999999999999E-2</v>
      </c>
      <c r="G43">
        <v>49</v>
      </c>
      <c r="H43">
        <v>1</v>
      </c>
      <c r="I43">
        <v>2441</v>
      </c>
      <c r="J43" s="20">
        <v>1</v>
      </c>
      <c r="K43">
        <v>1</v>
      </c>
      <c r="L43">
        <v>2403</v>
      </c>
      <c r="M43">
        <v>2403</v>
      </c>
      <c r="N43">
        <v>2403</v>
      </c>
      <c r="O43">
        <v>2403</v>
      </c>
      <c r="P43" s="1">
        <v>0.984433</v>
      </c>
    </row>
    <row r="44" spans="1:16" x14ac:dyDescent="0.25">
      <c r="A44" t="s">
        <v>16</v>
      </c>
      <c r="B44" s="19">
        <v>2071339627</v>
      </c>
      <c r="C44">
        <v>2420</v>
      </c>
      <c r="D44">
        <v>80</v>
      </c>
      <c r="E44" s="1">
        <v>0.96799999999999997</v>
      </c>
      <c r="F44" s="1">
        <v>3.2000000000000001E-2</v>
      </c>
      <c r="G44">
        <v>49</v>
      </c>
      <c r="H44">
        <v>1</v>
      </c>
      <c r="I44">
        <v>2420</v>
      </c>
      <c r="J44" s="20">
        <v>1</v>
      </c>
      <c r="K44">
        <v>1</v>
      </c>
      <c r="L44">
        <v>2366</v>
      </c>
      <c r="M44">
        <v>2366</v>
      </c>
      <c r="N44">
        <v>2366</v>
      </c>
      <c r="O44">
        <v>2366</v>
      </c>
      <c r="P44" s="1">
        <v>0.97768600000000006</v>
      </c>
    </row>
    <row r="45" spans="1:16" x14ac:dyDescent="0.25">
      <c r="A45" t="s">
        <v>16</v>
      </c>
      <c r="B45" s="19">
        <v>1645182958</v>
      </c>
      <c r="C45">
        <v>2413</v>
      </c>
      <c r="D45">
        <v>87</v>
      </c>
      <c r="E45" s="1">
        <v>0.96519999999999995</v>
      </c>
      <c r="F45" s="1">
        <v>3.4799999999999998E-2</v>
      </c>
      <c r="G45">
        <v>49</v>
      </c>
      <c r="H45">
        <v>1</v>
      </c>
      <c r="I45">
        <v>2413</v>
      </c>
      <c r="J45" s="20">
        <v>1</v>
      </c>
      <c r="K45">
        <v>1</v>
      </c>
      <c r="L45">
        <v>2372</v>
      </c>
      <c r="M45">
        <v>2372</v>
      </c>
      <c r="N45">
        <v>2372</v>
      </c>
      <c r="O45">
        <v>2372</v>
      </c>
      <c r="P45" s="1">
        <v>0.98300900000000002</v>
      </c>
    </row>
    <row r="46" spans="1:16" x14ac:dyDescent="0.25">
      <c r="A46" t="s">
        <v>16</v>
      </c>
      <c r="B46" s="19">
        <v>1735974168</v>
      </c>
      <c r="C46">
        <v>2419</v>
      </c>
      <c r="D46">
        <v>81</v>
      </c>
      <c r="E46" s="1">
        <v>0.96760000000000002</v>
      </c>
      <c r="F46" s="1">
        <v>3.2399999999999998E-2</v>
      </c>
      <c r="G46">
        <v>49</v>
      </c>
      <c r="H46">
        <v>1</v>
      </c>
      <c r="I46">
        <v>2419</v>
      </c>
      <c r="J46" s="20">
        <v>1</v>
      </c>
      <c r="K46">
        <v>1</v>
      </c>
      <c r="L46">
        <v>2368</v>
      </c>
      <c r="M46">
        <v>2368</v>
      </c>
      <c r="N46">
        <v>2368</v>
      </c>
      <c r="O46">
        <v>2368</v>
      </c>
      <c r="P46" s="1">
        <v>0.97891700000000004</v>
      </c>
    </row>
    <row r="47" spans="1:16" x14ac:dyDescent="0.25">
      <c r="A47" t="s">
        <v>16</v>
      </c>
      <c r="B47" s="19">
        <v>1046630591</v>
      </c>
      <c r="C47">
        <v>2420</v>
      </c>
      <c r="D47">
        <v>80</v>
      </c>
      <c r="E47" s="1">
        <v>0.96799999999999997</v>
      </c>
      <c r="F47" s="1">
        <v>3.2000000000000001E-2</v>
      </c>
      <c r="G47">
        <v>49</v>
      </c>
      <c r="H47">
        <v>1</v>
      </c>
      <c r="I47">
        <v>2420</v>
      </c>
      <c r="J47" s="20">
        <v>1</v>
      </c>
      <c r="K47">
        <v>1</v>
      </c>
      <c r="L47">
        <v>2373</v>
      </c>
      <c r="M47">
        <v>2373</v>
      </c>
      <c r="N47">
        <v>2373</v>
      </c>
      <c r="O47">
        <v>2373</v>
      </c>
      <c r="P47" s="1">
        <v>0.98057899999999998</v>
      </c>
    </row>
    <row r="48" spans="1:16" x14ac:dyDescent="0.25">
      <c r="A48" t="s">
        <v>16</v>
      </c>
      <c r="B48" s="19">
        <v>1864812259</v>
      </c>
      <c r="C48">
        <v>2405</v>
      </c>
      <c r="D48">
        <v>95</v>
      </c>
      <c r="E48" s="1">
        <v>0.96199999999999997</v>
      </c>
      <c r="F48" s="1">
        <v>3.7999999999999999E-2</v>
      </c>
      <c r="G48">
        <v>49</v>
      </c>
      <c r="H48">
        <v>1</v>
      </c>
      <c r="I48">
        <v>2405</v>
      </c>
      <c r="J48" s="20">
        <v>1</v>
      </c>
      <c r="K48">
        <v>1</v>
      </c>
      <c r="L48">
        <v>2354</v>
      </c>
      <c r="M48">
        <v>2354</v>
      </c>
      <c r="N48">
        <v>2354</v>
      </c>
      <c r="O48">
        <v>2354</v>
      </c>
      <c r="P48" s="1">
        <v>0.97879400000000005</v>
      </c>
    </row>
    <row r="49" spans="1:16" x14ac:dyDescent="0.25">
      <c r="A49" t="s">
        <v>16</v>
      </c>
      <c r="B49" s="19">
        <v>1402357308</v>
      </c>
      <c r="C49">
        <v>2396</v>
      </c>
      <c r="D49">
        <v>104</v>
      </c>
      <c r="E49" s="1">
        <v>0.95840000000000003</v>
      </c>
      <c r="F49" s="1">
        <v>4.1599999999999998E-2</v>
      </c>
      <c r="G49">
        <v>49</v>
      </c>
      <c r="H49">
        <v>1</v>
      </c>
      <c r="I49">
        <v>2396</v>
      </c>
      <c r="J49" s="20">
        <v>1</v>
      </c>
      <c r="K49">
        <v>1</v>
      </c>
      <c r="L49">
        <v>2338</v>
      </c>
      <c r="M49">
        <v>2338</v>
      </c>
      <c r="N49">
        <v>2338</v>
      </c>
      <c r="O49">
        <v>2338</v>
      </c>
      <c r="P49" s="1">
        <v>0.97579300000000002</v>
      </c>
    </row>
    <row r="50" spans="1:16" x14ac:dyDescent="0.25">
      <c r="A50" t="s">
        <v>16</v>
      </c>
      <c r="B50" s="19">
        <v>990309777</v>
      </c>
      <c r="C50">
        <v>2425</v>
      </c>
      <c r="D50">
        <v>75</v>
      </c>
      <c r="E50" s="1">
        <v>0.97</v>
      </c>
      <c r="F50" s="1">
        <v>0.03</v>
      </c>
      <c r="G50">
        <v>50</v>
      </c>
      <c r="H50">
        <v>1</v>
      </c>
      <c r="I50">
        <v>2425</v>
      </c>
      <c r="J50" s="20">
        <v>1</v>
      </c>
      <c r="K50">
        <v>1</v>
      </c>
      <c r="L50">
        <v>2380</v>
      </c>
      <c r="M50">
        <v>2380</v>
      </c>
      <c r="N50">
        <v>2380</v>
      </c>
      <c r="O50">
        <v>2380</v>
      </c>
      <c r="P50" s="1">
        <v>0.98144299999999995</v>
      </c>
    </row>
    <row r="51" spans="1:16" x14ac:dyDescent="0.25">
      <c r="A51" t="s">
        <v>16</v>
      </c>
      <c r="B51" s="19">
        <v>1866213486</v>
      </c>
      <c r="C51">
        <v>2390</v>
      </c>
      <c r="D51">
        <v>110</v>
      </c>
      <c r="E51" s="1">
        <v>0.95599999999999996</v>
      </c>
      <c r="F51" s="1">
        <v>4.3999999999999997E-2</v>
      </c>
      <c r="G51">
        <v>49</v>
      </c>
      <c r="H51">
        <v>1</v>
      </c>
      <c r="I51">
        <v>2390</v>
      </c>
      <c r="J51" s="20">
        <v>1</v>
      </c>
      <c r="K51">
        <v>1</v>
      </c>
      <c r="L51">
        <v>2343</v>
      </c>
      <c r="M51">
        <v>2343</v>
      </c>
      <c r="N51">
        <v>2343</v>
      </c>
      <c r="O51">
        <v>2343</v>
      </c>
      <c r="P51" s="1">
        <v>0.98033499999999996</v>
      </c>
    </row>
    <row r="52" spans="1:16" x14ac:dyDescent="0.25">
      <c r="A52" t="s">
        <v>26</v>
      </c>
      <c r="B52"/>
      <c r="C52">
        <f>SUBTOTAL(101,CA8_wall30_it2_neigh5[floors])</f>
        <v>2409.98</v>
      </c>
      <c r="D52">
        <f>SUBTOTAL(101,CA8_wall30_it2_neigh5[walls])</f>
        <v>90.02</v>
      </c>
      <c r="E52" s="2">
        <f>SUBTOTAL(101,CA8_wall30_it2_neigh5[floor_percent])</f>
        <v>0.96399200000000007</v>
      </c>
      <c r="F52" s="2">
        <f>SUBTOTAL(101,CA8_wall30_it2_neigh5[wall_percent])</f>
        <v>3.6007999999999998E-2</v>
      </c>
      <c r="G52">
        <f>SUBTOTAL(101,CA8_wall30_it2_neigh5[longest_shortest_path])</f>
        <v>49.08</v>
      </c>
      <c r="H52">
        <f>SUBTOTAL(101,CA8_wall30_it2_neigh5[component_count])</f>
        <v>1</v>
      </c>
      <c r="I52">
        <f>SUBTOTAL(101,CA8_wall30_it2_neigh5[max_component_size])</f>
        <v>2409.98</v>
      </c>
      <c r="J52">
        <f>SUBTOTAL(101,CA8_wall30_it2_neigh5[connectivity_ratio])</f>
        <v>1</v>
      </c>
      <c r="K52">
        <f>SUBTOTAL(101,CA8_wall30_it2_neigh5[room_count])</f>
        <v>1</v>
      </c>
      <c r="L52">
        <f>SUBTOTAL(101,CA8_wall30_it2_neigh5[avg_room_size])</f>
        <v>2357.2199999999998</v>
      </c>
      <c r="M52">
        <f>SUBTOTAL(101,CA8_wall30_it2_neigh5[max_room_size])</f>
        <v>2357.2199999999998</v>
      </c>
      <c r="N52">
        <f>SUBTOTAL(101,CA8_wall30_it2_neigh5[min_room_size])</f>
        <v>2357.2199999999998</v>
      </c>
      <c r="O52">
        <f>SUBTOTAL(101,CA8_wall30_it2_neigh5[room_tiles])</f>
        <v>2357.2199999999998</v>
      </c>
      <c r="P52" s="2">
        <f>SUBTOTAL(101,CA8_wall30_it2_neigh5[room_ratio])</f>
        <v>0.97809581999999995</v>
      </c>
    </row>
    <row r="53" spans="1:16" x14ac:dyDescent="0.25">
      <c r="A53" s="22" t="s">
        <v>34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EDF7-6B7F-4491-ABC1-5CC587E5D87C}">
  <dimension ref="A1:P53"/>
  <sheetViews>
    <sheetView topLeftCell="A22" workbookViewId="0">
      <selection activeCell="H56" sqref="H56"/>
    </sheetView>
  </sheetViews>
  <sheetFormatPr defaultRowHeight="15" x14ac:dyDescent="0.25"/>
  <cols>
    <col min="1" max="1" width="20.140625" bestFit="1" customWidth="1"/>
    <col min="2" max="2" width="11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1771424926</v>
      </c>
      <c r="C2">
        <v>1919</v>
      </c>
      <c r="D2">
        <v>581</v>
      </c>
      <c r="E2" s="1">
        <v>0.76759999999999995</v>
      </c>
      <c r="F2" s="1">
        <v>0.2324</v>
      </c>
      <c r="G2">
        <v>50</v>
      </c>
      <c r="H2">
        <v>3</v>
      </c>
      <c r="I2">
        <v>1915</v>
      </c>
      <c r="J2" s="20">
        <v>0.99791600000000003</v>
      </c>
      <c r="K2">
        <v>1</v>
      </c>
      <c r="L2">
        <v>1769</v>
      </c>
      <c r="M2">
        <v>1769</v>
      </c>
      <c r="N2">
        <v>1769</v>
      </c>
      <c r="O2">
        <v>1769</v>
      </c>
      <c r="P2" s="1">
        <v>0.92183400000000004</v>
      </c>
    </row>
    <row r="3" spans="1:16" x14ac:dyDescent="0.25">
      <c r="A3" t="s">
        <v>16</v>
      </c>
      <c r="B3" s="19">
        <v>541513393</v>
      </c>
      <c r="C3">
        <v>1909</v>
      </c>
      <c r="D3">
        <v>591</v>
      </c>
      <c r="E3" s="1">
        <v>0.76359999999999995</v>
      </c>
      <c r="F3" s="1">
        <v>0.2364</v>
      </c>
      <c r="G3">
        <v>56</v>
      </c>
      <c r="H3">
        <v>1</v>
      </c>
      <c r="I3">
        <v>1909</v>
      </c>
      <c r="J3" s="20">
        <v>1</v>
      </c>
      <c r="K3">
        <v>2</v>
      </c>
      <c r="L3">
        <v>876.5</v>
      </c>
      <c r="M3">
        <v>1750</v>
      </c>
      <c r="N3">
        <v>3</v>
      </c>
      <c r="O3">
        <v>1753</v>
      </c>
      <c r="P3" s="1">
        <v>0.91828200000000004</v>
      </c>
    </row>
    <row r="4" spans="1:16" x14ac:dyDescent="0.25">
      <c r="A4" t="s">
        <v>16</v>
      </c>
      <c r="B4" s="19">
        <v>355838450</v>
      </c>
      <c r="C4">
        <v>1948</v>
      </c>
      <c r="D4">
        <v>552</v>
      </c>
      <c r="E4" s="1">
        <v>0.7792</v>
      </c>
      <c r="F4" s="1">
        <v>0.2208</v>
      </c>
      <c r="G4">
        <v>56</v>
      </c>
      <c r="H4">
        <v>1</v>
      </c>
      <c r="I4">
        <v>1948</v>
      </c>
      <c r="J4" s="20">
        <v>1</v>
      </c>
      <c r="K4">
        <v>1</v>
      </c>
      <c r="L4">
        <v>1792</v>
      </c>
      <c r="M4">
        <v>1792</v>
      </c>
      <c r="N4">
        <v>1792</v>
      </c>
      <c r="O4">
        <v>1792</v>
      </c>
      <c r="P4" s="1">
        <v>0.91991800000000001</v>
      </c>
    </row>
    <row r="5" spans="1:16" x14ac:dyDescent="0.25">
      <c r="A5" t="s">
        <v>16</v>
      </c>
      <c r="B5" s="19">
        <v>1375438033</v>
      </c>
      <c r="C5">
        <v>1979</v>
      </c>
      <c r="D5">
        <v>521</v>
      </c>
      <c r="E5" s="1">
        <v>0.79159999999999997</v>
      </c>
      <c r="F5" s="1">
        <v>0.2084</v>
      </c>
      <c r="G5">
        <v>53</v>
      </c>
      <c r="H5">
        <v>3</v>
      </c>
      <c r="I5">
        <v>1977</v>
      </c>
      <c r="J5" s="20">
        <v>0.99898900000000002</v>
      </c>
      <c r="K5">
        <v>1</v>
      </c>
      <c r="L5">
        <v>1859</v>
      </c>
      <c r="M5">
        <v>1859</v>
      </c>
      <c r="N5">
        <v>1859</v>
      </c>
      <c r="O5">
        <v>1859</v>
      </c>
      <c r="P5" s="1">
        <v>0.93936299999999995</v>
      </c>
    </row>
    <row r="6" spans="1:16" x14ac:dyDescent="0.25">
      <c r="A6" t="s">
        <v>16</v>
      </c>
      <c r="B6" s="19">
        <v>522488011</v>
      </c>
      <c r="C6">
        <v>1950</v>
      </c>
      <c r="D6">
        <v>550</v>
      </c>
      <c r="E6" s="1">
        <v>0.78</v>
      </c>
      <c r="F6" s="1">
        <v>0.22</v>
      </c>
      <c r="G6">
        <v>50</v>
      </c>
      <c r="H6">
        <v>3</v>
      </c>
      <c r="I6">
        <v>1948</v>
      </c>
      <c r="J6" s="20">
        <v>0.99897400000000003</v>
      </c>
      <c r="K6">
        <v>1</v>
      </c>
      <c r="L6">
        <v>1799</v>
      </c>
      <c r="M6">
        <v>1799</v>
      </c>
      <c r="N6">
        <v>1799</v>
      </c>
      <c r="O6">
        <v>1799</v>
      </c>
      <c r="P6" s="1">
        <v>0.92256400000000005</v>
      </c>
    </row>
    <row r="7" spans="1:16" x14ac:dyDescent="0.25">
      <c r="A7" t="s">
        <v>16</v>
      </c>
      <c r="B7" s="19">
        <v>1231172157</v>
      </c>
      <c r="C7">
        <v>2064</v>
      </c>
      <c r="D7">
        <v>436</v>
      </c>
      <c r="E7" s="1">
        <v>0.8256</v>
      </c>
      <c r="F7" s="1">
        <v>0.1744</v>
      </c>
      <c r="G7">
        <v>48</v>
      </c>
      <c r="H7">
        <v>2</v>
      </c>
      <c r="I7">
        <v>2063</v>
      </c>
      <c r="J7" s="20">
        <v>0.99951599999999996</v>
      </c>
      <c r="K7">
        <v>1</v>
      </c>
      <c r="L7">
        <v>1968</v>
      </c>
      <c r="M7">
        <v>1968</v>
      </c>
      <c r="N7">
        <v>1968</v>
      </c>
      <c r="O7">
        <v>1968</v>
      </c>
      <c r="P7" s="1">
        <v>0.953488</v>
      </c>
    </row>
    <row r="8" spans="1:16" x14ac:dyDescent="0.25">
      <c r="A8" t="s">
        <v>16</v>
      </c>
      <c r="B8" s="19">
        <v>47515787</v>
      </c>
      <c r="C8">
        <v>1901</v>
      </c>
      <c r="D8">
        <v>599</v>
      </c>
      <c r="E8" s="1">
        <v>0.76039999999999996</v>
      </c>
      <c r="F8" s="1">
        <v>0.23960000000000001</v>
      </c>
      <c r="G8">
        <v>55</v>
      </c>
      <c r="H8">
        <v>2</v>
      </c>
      <c r="I8">
        <v>1899</v>
      </c>
      <c r="J8" s="20">
        <v>0.99894799999999995</v>
      </c>
      <c r="K8">
        <v>1</v>
      </c>
      <c r="L8">
        <v>1759</v>
      </c>
      <c r="M8">
        <v>1759</v>
      </c>
      <c r="N8">
        <v>1759</v>
      </c>
      <c r="O8">
        <v>1759</v>
      </c>
      <c r="P8" s="1">
        <v>0.92530199999999996</v>
      </c>
    </row>
    <row r="9" spans="1:16" x14ac:dyDescent="0.25">
      <c r="A9" t="s">
        <v>16</v>
      </c>
      <c r="B9" s="19">
        <v>1831916771</v>
      </c>
      <c r="C9">
        <v>1949</v>
      </c>
      <c r="D9">
        <v>551</v>
      </c>
      <c r="E9" s="1">
        <v>0.77959999999999996</v>
      </c>
      <c r="F9" s="1">
        <v>0.22040000000000001</v>
      </c>
      <c r="G9">
        <v>52</v>
      </c>
      <c r="H9">
        <v>1</v>
      </c>
      <c r="I9">
        <v>1949</v>
      </c>
      <c r="J9" s="20">
        <v>1</v>
      </c>
      <c r="K9">
        <v>1</v>
      </c>
      <c r="L9">
        <v>1793</v>
      </c>
      <c r="M9">
        <v>1793</v>
      </c>
      <c r="N9">
        <v>1793</v>
      </c>
      <c r="O9">
        <v>1793</v>
      </c>
      <c r="P9" s="1">
        <v>0.91995899999999997</v>
      </c>
    </row>
    <row r="10" spans="1:16" x14ac:dyDescent="0.25">
      <c r="A10" t="s">
        <v>16</v>
      </c>
      <c r="B10" s="19">
        <v>1180821757</v>
      </c>
      <c r="C10">
        <v>1982</v>
      </c>
      <c r="D10">
        <v>518</v>
      </c>
      <c r="E10" s="1">
        <v>0.79279999999999995</v>
      </c>
      <c r="F10" s="1">
        <v>0.2072</v>
      </c>
      <c r="G10">
        <v>50</v>
      </c>
      <c r="H10">
        <v>1</v>
      </c>
      <c r="I10">
        <v>1982</v>
      </c>
      <c r="J10" s="20">
        <v>1</v>
      </c>
      <c r="K10">
        <v>1</v>
      </c>
      <c r="L10">
        <v>1849</v>
      </c>
      <c r="M10">
        <v>1849</v>
      </c>
      <c r="N10">
        <v>1849</v>
      </c>
      <c r="O10">
        <v>1849</v>
      </c>
      <c r="P10" s="1">
        <v>0.93289599999999995</v>
      </c>
    </row>
    <row r="11" spans="1:16" x14ac:dyDescent="0.25">
      <c r="A11" t="s">
        <v>16</v>
      </c>
      <c r="B11" s="19">
        <v>807739080</v>
      </c>
      <c r="C11">
        <v>1943</v>
      </c>
      <c r="D11">
        <v>557</v>
      </c>
      <c r="E11" s="1">
        <v>0.7772</v>
      </c>
      <c r="F11" s="1">
        <v>0.2228</v>
      </c>
      <c r="G11">
        <v>49</v>
      </c>
      <c r="H11">
        <v>1</v>
      </c>
      <c r="I11">
        <v>1943</v>
      </c>
      <c r="J11" s="20">
        <v>1</v>
      </c>
      <c r="K11">
        <v>1</v>
      </c>
      <c r="L11">
        <v>1802</v>
      </c>
      <c r="M11">
        <v>1802</v>
      </c>
      <c r="N11">
        <v>1802</v>
      </c>
      <c r="O11">
        <v>1802</v>
      </c>
      <c r="P11" s="1">
        <v>0.92743200000000003</v>
      </c>
    </row>
    <row r="12" spans="1:16" x14ac:dyDescent="0.25">
      <c r="A12" t="s">
        <v>16</v>
      </c>
      <c r="B12" s="19">
        <v>947258535</v>
      </c>
      <c r="C12">
        <v>1965</v>
      </c>
      <c r="D12">
        <v>535</v>
      </c>
      <c r="E12" s="1">
        <v>0.78600000000000003</v>
      </c>
      <c r="F12" s="1">
        <v>0.214</v>
      </c>
      <c r="G12">
        <v>54</v>
      </c>
      <c r="H12">
        <v>1</v>
      </c>
      <c r="I12">
        <v>1965</v>
      </c>
      <c r="J12" s="20">
        <v>1</v>
      </c>
      <c r="K12">
        <v>2</v>
      </c>
      <c r="L12">
        <v>905</v>
      </c>
      <c r="M12">
        <v>1808</v>
      </c>
      <c r="N12">
        <v>2</v>
      </c>
      <c r="O12">
        <v>1810</v>
      </c>
      <c r="P12" s="1">
        <v>0.92112000000000005</v>
      </c>
    </row>
    <row r="13" spans="1:16" x14ac:dyDescent="0.25">
      <c r="A13" t="s">
        <v>16</v>
      </c>
      <c r="B13" s="19">
        <v>807981636</v>
      </c>
      <c r="C13">
        <v>1932</v>
      </c>
      <c r="D13">
        <v>568</v>
      </c>
      <c r="E13" s="1">
        <v>0.77280000000000004</v>
      </c>
      <c r="F13" s="1">
        <v>0.22720000000000001</v>
      </c>
      <c r="G13">
        <v>49</v>
      </c>
      <c r="H13">
        <v>2</v>
      </c>
      <c r="I13">
        <v>1931</v>
      </c>
      <c r="J13" s="20">
        <v>0.99948199999999998</v>
      </c>
      <c r="K13">
        <v>1</v>
      </c>
      <c r="L13">
        <v>1778</v>
      </c>
      <c r="M13">
        <v>1778</v>
      </c>
      <c r="N13">
        <v>1778</v>
      </c>
      <c r="O13">
        <v>1778</v>
      </c>
      <c r="P13" s="1">
        <v>0.92029000000000005</v>
      </c>
    </row>
    <row r="14" spans="1:16" x14ac:dyDescent="0.25">
      <c r="A14" t="s">
        <v>16</v>
      </c>
      <c r="B14" s="19">
        <v>435984023</v>
      </c>
      <c r="C14">
        <v>1973</v>
      </c>
      <c r="D14">
        <v>527</v>
      </c>
      <c r="E14" s="1">
        <v>0.78920000000000001</v>
      </c>
      <c r="F14" s="1">
        <v>0.21079999999999999</v>
      </c>
      <c r="G14">
        <v>49</v>
      </c>
      <c r="H14">
        <v>2</v>
      </c>
      <c r="I14">
        <v>1972</v>
      </c>
      <c r="J14" s="20">
        <v>0.99949299999999996</v>
      </c>
      <c r="K14">
        <v>1</v>
      </c>
      <c r="L14">
        <v>1836</v>
      </c>
      <c r="M14">
        <v>1836</v>
      </c>
      <c r="N14">
        <v>1836</v>
      </c>
      <c r="O14">
        <v>1836</v>
      </c>
      <c r="P14" s="1">
        <v>0.93056300000000003</v>
      </c>
    </row>
    <row r="15" spans="1:16" x14ac:dyDescent="0.25">
      <c r="A15" t="s">
        <v>16</v>
      </c>
      <c r="B15" s="19">
        <v>1112660439</v>
      </c>
      <c r="C15">
        <v>1955</v>
      </c>
      <c r="D15">
        <v>545</v>
      </c>
      <c r="E15" s="1">
        <v>0.78200000000000003</v>
      </c>
      <c r="F15" s="1">
        <v>0.218</v>
      </c>
      <c r="G15">
        <v>52</v>
      </c>
      <c r="H15">
        <v>3</v>
      </c>
      <c r="I15">
        <v>1951</v>
      </c>
      <c r="J15" s="20">
        <v>0.99795400000000001</v>
      </c>
      <c r="K15">
        <v>1</v>
      </c>
      <c r="L15">
        <v>1801</v>
      </c>
      <c r="M15">
        <v>1801</v>
      </c>
      <c r="N15">
        <v>1801</v>
      </c>
      <c r="O15">
        <v>1801</v>
      </c>
      <c r="P15" s="1">
        <v>0.92122800000000005</v>
      </c>
    </row>
    <row r="16" spans="1:16" x14ac:dyDescent="0.25">
      <c r="A16" t="s">
        <v>16</v>
      </c>
      <c r="B16" s="19">
        <v>1602806979</v>
      </c>
      <c r="C16">
        <v>1956</v>
      </c>
      <c r="D16">
        <v>544</v>
      </c>
      <c r="E16" s="1">
        <v>0.78239999999999998</v>
      </c>
      <c r="F16" s="1">
        <v>0.21759999999999999</v>
      </c>
      <c r="G16">
        <v>51</v>
      </c>
      <c r="H16">
        <v>5</v>
      </c>
      <c r="I16">
        <v>1952</v>
      </c>
      <c r="J16" s="20">
        <v>0.99795500000000004</v>
      </c>
      <c r="K16">
        <v>1</v>
      </c>
      <c r="L16">
        <v>1818</v>
      </c>
      <c r="M16">
        <v>1818</v>
      </c>
      <c r="N16">
        <v>1818</v>
      </c>
      <c r="O16">
        <v>1818</v>
      </c>
      <c r="P16" s="1">
        <v>0.92944800000000005</v>
      </c>
    </row>
    <row r="17" spans="1:16" x14ac:dyDescent="0.25">
      <c r="A17" t="s">
        <v>16</v>
      </c>
      <c r="B17" s="19">
        <v>1295802155</v>
      </c>
      <c r="C17">
        <v>1967</v>
      </c>
      <c r="D17">
        <v>533</v>
      </c>
      <c r="E17" s="1">
        <v>0.78680000000000005</v>
      </c>
      <c r="F17" s="1">
        <v>0.2132</v>
      </c>
      <c r="G17">
        <v>51</v>
      </c>
      <c r="H17">
        <v>3</v>
      </c>
      <c r="I17">
        <v>1964</v>
      </c>
      <c r="J17" s="20">
        <v>0.998475</v>
      </c>
      <c r="K17">
        <v>1</v>
      </c>
      <c r="L17">
        <v>1842</v>
      </c>
      <c r="M17">
        <v>1842</v>
      </c>
      <c r="N17">
        <v>1842</v>
      </c>
      <c r="O17">
        <v>1842</v>
      </c>
      <c r="P17" s="1">
        <v>0.93645100000000003</v>
      </c>
    </row>
    <row r="18" spans="1:16" x14ac:dyDescent="0.25">
      <c r="A18" t="s">
        <v>16</v>
      </c>
      <c r="B18" s="19">
        <v>1005991500</v>
      </c>
      <c r="C18">
        <v>1941</v>
      </c>
      <c r="D18">
        <v>559</v>
      </c>
      <c r="E18" s="1">
        <v>0.77639999999999998</v>
      </c>
      <c r="F18" s="1">
        <v>0.22359999999999999</v>
      </c>
      <c r="G18">
        <v>49</v>
      </c>
      <c r="H18">
        <v>2</v>
      </c>
      <c r="I18">
        <v>1912</v>
      </c>
      <c r="J18" s="20">
        <v>0.98505900000000002</v>
      </c>
      <c r="K18">
        <v>2</v>
      </c>
      <c r="L18">
        <v>906</v>
      </c>
      <c r="M18">
        <v>1795</v>
      </c>
      <c r="N18">
        <v>17</v>
      </c>
      <c r="O18">
        <v>1812</v>
      </c>
      <c r="P18" s="1">
        <v>0.93353900000000001</v>
      </c>
    </row>
    <row r="19" spans="1:16" x14ac:dyDescent="0.25">
      <c r="A19" t="s">
        <v>16</v>
      </c>
      <c r="B19" s="19">
        <v>68473979</v>
      </c>
      <c r="C19">
        <v>1994</v>
      </c>
      <c r="D19">
        <v>506</v>
      </c>
      <c r="E19" s="1">
        <v>0.79759999999999998</v>
      </c>
      <c r="F19" s="1">
        <v>0.2024</v>
      </c>
      <c r="G19">
        <v>49</v>
      </c>
      <c r="H19">
        <v>1</v>
      </c>
      <c r="I19">
        <v>1994</v>
      </c>
      <c r="J19" s="20">
        <v>1</v>
      </c>
      <c r="K19">
        <v>2</v>
      </c>
      <c r="L19">
        <v>933.5</v>
      </c>
      <c r="M19">
        <v>1866</v>
      </c>
      <c r="N19">
        <v>1</v>
      </c>
      <c r="O19">
        <v>1867</v>
      </c>
      <c r="P19" s="1">
        <v>0.93630899999999995</v>
      </c>
    </row>
    <row r="20" spans="1:16" x14ac:dyDescent="0.25">
      <c r="A20" t="s">
        <v>16</v>
      </c>
      <c r="B20" s="19">
        <v>878130657</v>
      </c>
      <c r="C20">
        <v>1847</v>
      </c>
      <c r="D20">
        <v>653</v>
      </c>
      <c r="E20" s="1">
        <v>0.73880000000000001</v>
      </c>
      <c r="F20" s="1">
        <v>0.26119999999999999</v>
      </c>
      <c r="G20">
        <v>50</v>
      </c>
      <c r="H20">
        <v>5</v>
      </c>
      <c r="I20">
        <v>1839</v>
      </c>
      <c r="J20" s="20">
        <v>0.99566900000000003</v>
      </c>
      <c r="K20">
        <v>1</v>
      </c>
      <c r="L20">
        <v>1690</v>
      </c>
      <c r="M20">
        <v>1690</v>
      </c>
      <c r="N20">
        <v>1690</v>
      </c>
      <c r="O20">
        <v>1690</v>
      </c>
      <c r="P20" s="1">
        <v>0.91499699999999995</v>
      </c>
    </row>
    <row r="21" spans="1:16" x14ac:dyDescent="0.25">
      <c r="A21" t="s">
        <v>16</v>
      </c>
      <c r="B21" s="19">
        <v>1708230074</v>
      </c>
      <c r="C21">
        <v>1945</v>
      </c>
      <c r="D21">
        <v>555</v>
      </c>
      <c r="E21" s="1">
        <v>0.77800000000000002</v>
      </c>
      <c r="F21" s="1">
        <v>0.222</v>
      </c>
      <c r="G21">
        <v>49</v>
      </c>
      <c r="H21">
        <v>2</v>
      </c>
      <c r="I21">
        <v>1937</v>
      </c>
      <c r="J21" s="20">
        <v>0.99588699999999997</v>
      </c>
      <c r="K21">
        <v>2</v>
      </c>
      <c r="L21">
        <v>908.5</v>
      </c>
      <c r="M21">
        <v>1814</v>
      </c>
      <c r="N21">
        <v>3</v>
      </c>
      <c r="O21">
        <v>1817</v>
      </c>
      <c r="P21" s="1">
        <v>0.93418999999999996</v>
      </c>
    </row>
    <row r="22" spans="1:16" x14ac:dyDescent="0.25">
      <c r="A22" t="s">
        <v>16</v>
      </c>
      <c r="B22" s="19">
        <v>1187164714</v>
      </c>
      <c r="C22">
        <v>1926</v>
      </c>
      <c r="D22">
        <v>574</v>
      </c>
      <c r="E22" s="1">
        <v>0.77039999999999997</v>
      </c>
      <c r="F22" s="1">
        <v>0.2296</v>
      </c>
      <c r="G22">
        <v>52</v>
      </c>
      <c r="H22">
        <v>1</v>
      </c>
      <c r="I22">
        <v>1926</v>
      </c>
      <c r="J22" s="20">
        <v>1</v>
      </c>
      <c r="K22">
        <v>1</v>
      </c>
      <c r="L22">
        <v>1766</v>
      </c>
      <c r="M22">
        <v>1766</v>
      </c>
      <c r="N22">
        <v>1766</v>
      </c>
      <c r="O22">
        <v>1766</v>
      </c>
      <c r="P22" s="1">
        <v>0.91692600000000002</v>
      </c>
    </row>
    <row r="23" spans="1:16" x14ac:dyDescent="0.25">
      <c r="A23" t="s">
        <v>16</v>
      </c>
      <c r="B23" s="19">
        <v>1175616820</v>
      </c>
      <c r="C23">
        <v>1955</v>
      </c>
      <c r="D23">
        <v>545</v>
      </c>
      <c r="E23" s="1">
        <v>0.78200000000000003</v>
      </c>
      <c r="F23" s="1">
        <v>0.218</v>
      </c>
      <c r="G23">
        <v>49</v>
      </c>
      <c r="H23">
        <v>4</v>
      </c>
      <c r="I23">
        <v>1943</v>
      </c>
      <c r="J23" s="20">
        <v>0.99386200000000002</v>
      </c>
      <c r="K23">
        <v>2</v>
      </c>
      <c r="L23">
        <v>916.5</v>
      </c>
      <c r="M23">
        <v>1830</v>
      </c>
      <c r="N23">
        <v>3</v>
      </c>
      <c r="O23">
        <v>1833</v>
      </c>
      <c r="P23" s="1">
        <v>0.93759599999999998</v>
      </c>
    </row>
    <row r="24" spans="1:16" x14ac:dyDescent="0.25">
      <c r="A24" t="s">
        <v>16</v>
      </c>
      <c r="B24" s="19">
        <v>1384660620</v>
      </c>
      <c r="C24">
        <v>1891</v>
      </c>
      <c r="D24">
        <v>609</v>
      </c>
      <c r="E24" s="1">
        <v>0.75639999999999996</v>
      </c>
      <c r="F24" s="1">
        <v>0.24360000000000001</v>
      </c>
      <c r="G24">
        <v>51</v>
      </c>
      <c r="H24">
        <v>4</v>
      </c>
      <c r="I24">
        <v>1886</v>
      </c>
      <c r="J24" s="20">
        <v>0.99735600000000002</v>
      </c>
      <c r="K24">
        <v>2</v>
      </c>
      <c r="L24">
        <v>858</v>
      </c>
      <c r="M24">
        <v>1707</v>
      </c>
      <c r="N24">
        <v>9</v>
      </c>
      <c r="O24">
        <v>1716</v>
      </c>
      <c r="P24" s="1">
        <v>0.90745600000000004</v>
      </c>
    </row>
    <row r="25" spans="1:16" x14ac:dyDescent="0.25">
      <c r="A25" t="s">
        <v>16</v>
      </c>
      <c r="B25" s="19">
        <v>1781396208</v>
      </c>
      <c r="C25">
        <v>1905</v>
      </c>
      <c r="D25">
        <v>595</v>
      </c>
      <c r="E25" s="1">
        <v>0.76200000000000001</v>
      </c>
      <c r="F25" s="1">
        <v>0.23799999999999999</v>
      </c>
      <c r="G25">
        <v>57</v>
      </c>
      <c r="H25">
        <v>2</v>
      </c>
      <c r="I25">
        <v>1903</v>
      </c>
      <c r="J25" s="20">
        <v>0.99895</v>
      </c>
      <c r="K25">
        <v>2</v>
      </c>
      <c r="L25">
        <v>873</v>
      </c>
      <c r="M25">
        <v>1719</v>
      </c>
      <c r="N25">
        <v>27</v>
      </c>
      <c r="O25">
        <v>1746</v>
      </c>
      <c r="P25" s="1">
        <v>0.91653499999999999</v>
      </c>
    </row>
    <row r="26" spans="1:16" x14ac:dyDescent="0.25">
      <c r="A26" t="s">
        <v>16</v>
      </c>
      <c r="B26" s="19">
        <v>507802654</v>
      </c>
      <c r="C26">
        <v>1920</v>
      </c>
      <c r="D26">
        <v>580</v>
      </c>
      <c r="E26" s="1">
        <v>0.76800000000000002</v>
      </c>
      <c r="F26" s="1">
        <v>0.23200000000000001</v>
      </c>
      <c r="G26">
        <v>51</v>
      </c>
      <c r="H26">
        <v>3</v>
      </c>
      <c r="I26">
        <v>1917</v>
      </c>
      <c r="J26" s="20">
        <v>0.99843700000000002</v>
      </c>
      <c r="K26">
        <v>1</v>
      </c>
      <c r="L26">
        <v>1768</v>
      </c>
      <c r="M26">
        <v>1768</v>
      </c>
      <c r="N26">
        <v>1768</v>
      </c>
      <c r="O26">
        <v>1768</v>
      </c>
      <c r="P26" s="1">
        <v>0.92083300000000001</v>
      </c>
    </row>
    <row r="27" spans="1:16" x14ac:dyDescent="0.25">
      <c r="A27" t="s">
        <v>16</v>
      </c>
      <c r="B27" s="19">
        <v>2045437637</v>
      </c>
      <c r="C27">
        <v>1958</v>
      </c>
      <c r="D27">
        <v>542</v>
      </c>
      <c r="E27" s="1">
        <v>0.78320000000000001</v>
      </c>
      <c r="F27" s="1">
        <v>0.21679999999999999</v>
      </c>
      <c r="G27">
        <v>49</v>
      </c>
      <c r="H27">
        <v>2</v>
      </c>
      <c r="I27">
        <v>1955</v>
      </c>
      <c r="J27" s="20">
        <v>0.99846800000000002</v>
      </c>
      <c r="K27">
        <v>2</v>
      </c>
      <c r="L27">
        <v>906.5</v>
      </c>
      <c r="M27">
        <v>1808</v>
      </c>
      <c r="N27">
        <v>5</v>
      </c>
      <c r="O27">
        <v>1813</v>
      </c>
      <c r="P27" s="1">
        <v>0.92594500000000002</v>
      </c>
    </row>
    <row r="28" spans="1:16" x14ac:dyDescent="0.25">
      <c r="A28" t="s">
        <v>16</v>
      </c>
      <c r="B28" s="19">
        <v>379364967</v>
      </c>
      <c r="C28">
        <v>2009</v>
      </c>
      <c r="D28">
        <v>491</v>
      </c>
      <c r="E28" s="1">
        <v>0.80359999999999998</v>
      </c>
      <c r="F28" s="1">
        <v>0.19639999999999999</v>
      </c>
      <c r="G28">
        <v>50</v>
      </c>
      <c r="H28">
        <v>2</v>
      </c>
      <c r="I28">
        <v>2008</v>
      </c>
      <c r="J28" s="20">
        <v>0.999502</v>
      </c>
      <c r="K28">
        <v>1</v>
      </c>
      <c r="L28">
        <v>1877</v>
      </c>
      <c r="M28">
        <v>1877</v>
      </c>
      <c r="N28">
        <v>1877</v>
      </c>
      <c r="O28">
        <v>1877</v>
      </c>
      <c r="P28" s="1">
        <v>0.93429600000000002</v>
      </c>
    </row>
    <row r="29" spans="1:16" x14ac:dyDescent="0.25">
      <c r="A29" t="s">
        <v>16</v>
      </c>
      <c r="B29" s="19">
        <v>449493216</v>
      </c>
      <c r="C29">
        <v>1916</v>
      </c>
      <c r="D29">
        <v>584</v>
      </c>
      <c r="E29" s="1">
        <v>0.76639999999999997</v>
      </c>
      <c r="F29" s="1">
        <v>0.2336</v>
      </c>
      <c r="G29">
        <v>49</v>
      </c>
      <c r="H29">
        <v>2</v>
      </c>
      <c r="I29">
        <v>1914</v>
      </c>
      <c r="J29" s="20">
        <v>0.99895599999999996</v>
      </c>
      <c r="K29">
        <v>1</v>
      </c>
      <c r="L29">
        <v>1762</v>
      </c>
      <c r="M29">
        <v>1762</v>
      </c>
      <c r="N29">
        <v>1762</v>
      </c>
      <c r="O29">
        <v>1762</v>
      </c>
      <c r="P29" s="1">
        <v>0.919624</v>
      </c>
    </row>
    <row r="30" spans="1:16" x14ac:dyDescent="0.25">
      <c r="A30" t="s">
        <v>16</v>
      </c>
      <c r="B30" s="19">
        <v>1595004247</v>
      </c>
      <c r="C30">
        <v>1871</v>
      </c>
      <c r="D30">
        <v>629</v>
      </c>
      <c r="E30" s="1">
        <v>0.74839999999999995</v>
      </c>
      <c r="F30" s="1">
        <v>0.25159999999999999</v>
      </c>
      <c r="G30">
        <v>48</v>
      </c>
      <c r="H30">
        <v>5</v>
      </c>
      <c r="I30">
        <v>1863</v>
      </c>
      <c r="J30" s="20">
        <v>0.99572400000000005</v>
      </c>
      <c r="K30">
        <v>2</v>
      </c>
      <c r="L30">
        <v>860.5</v>
      </c>
      <c r="M30">
        <v>1716</v>
      </c>
      <c r="N30">
        <v>5</v>
      </c>
      <c r="O30">
        <v>1721</v>
      </c>
      <c r="P30" s="1">
        <v>0.91982900000000001</v>
      </c>
    </row>
    <row r="31" spans="1:16" x14ac:dyDescent="0.25">
      <c r="A31" t="s">
        <v>16</v>
      </c>
      <c r="B31" s="19">
        <v>787315433</v>
      </c>
      <c r="C31">
        <v>1881</v>
      </c>
      <c r="D31">
        <v>619</v>
      </c>
      <c r="E31" s="1">
        <v>0.75239999999999996</v>
      </c>
      <c r="F31" s="1">
        <v>0.24759999999999999</v>
      </c>
      <c r="G31">
        <v>56</v>
      </c>
      <c r="H31">
        <v>2</v>
      </c>
      <c r="I31">
        <v>1880</v>
      </c>
      <c r="J31" s="20">
        <v>0.99946800000000002</v>
      </c>
      <c r="K31">
        <v>2</v>
      </c>
      <c r="L31">
        <v>854.5</v>
      </c>
      <c r="M31">
        <v>1703</v>
      </c>
      <c r="N31">
        <v>6</v>
      </c>
      <c r="O31">
        <v>1709</v>
      </c>
      <c r="P31" s="1">
        <v>0.90855900000000001</v>
      </c>
    </row>
    <row r="32" spans="1:16" x14ac:dyDescent="0.25">
      <c r="A32" t="s">
        <v>16</v>
      </c>
      <c r="B32" s="19">
        <v>1997340858</v>
      </c>
      <c r="C32">
        <v>1942</v>
      </c>
      <c r="D32">
        <v>558</v>
      </c>
      <c r="E32" s="1">
        <v>0.77680000000000005</v>
      </c>
      <c r="F32" s="1">
        <v>0.22320000000000001</v>
      </c>
      <c r="G32">
        <v>50</v>
      </c>
      <c r="H32">
        <v>3</v>
      </c>
      <c r="I32">
        <v>1940</v>
      </c>
      <c r="J32" s="20">
        <v>0.99897000000000002</v>
      </c>
      <c r="K32">
        <v>1</v>
      </c>
      <c r="L32">
        <v>1780</v>
      </c>
      <c r="M32">
        <v>1780</v>
      </c>
      <c r="N32">
        <v>1780</v>
      </c>
      <c r="O32">
        <v>1780</v>
      </c>
      <c r="P32" s="1">
        <v>0.91658099999999998</v>
      </c>
    </row>
    <row r="33" spans="1:16" x14ac:dyDescent="0.25">
      <c r="A33" t="s">
        <v>16</v>
      </c>
      <c r="B33" s="19">
        <v>227132392</v>
      </c>
      <c r="C33">
        <v>1999</v>
      </c>
      <c r="D33">
        <v>501</v>
      </c>
      <c r="E33" s="1">
        <v>0.79959999999999998</v>
      </c>
      <c r="F33" s="1">
        <v>0.20039999999999999</v>
      </c>
      <c r="G33">
        <v>52</v>
      </c>
      <c r="H33">
        <v>3</v>
      </c>
      <c r="I33">
        <v>1997</v>
      </c>
      <c r="J33" s="20">
        <v>0.99899899999999997</v>
      </c>
      <c r="K33">
        <v>1</v>
      </c>
      <c r="L33">
        <v>1859</v>
      </c>
      <c r="M33">
        <v>1859</v>
      </c>
      <c r="N33">
        <v>1859</v>
      </c>
      <c r="O33">
        <v>1859</v>
      </c>
      <c r="P33" s="1">
        <v>0.92996500000000004</v>
      </c>
    </row>
    <row r="34" spans="1:16" x14ac:dyDescent="0.25">
      <c r="A34" t="s">
        <v>16</v>
      </c>
      <c r="B34" s="19">
        <v>1308391767</v>
      </c>
      <c r="C34">
        <v>1960</v>
      </c>
      <c r="D34">
        <v>540</v>
      </c>
      <c r="E34" s="1">
        <v>0.78400000000000003</v>
      </c>
      <c r="F34" s="1">
        <v>0.216</v>
      </c>
      <c r="G34">
        <v>53</v>
      </c>
      <c r="H34">
        <v>4</v>
      </c>
      <c r="I34">
        <v>1952</v>
      </c>
      <c r="J34" s="20">
        <v>0.99591799999999997</v>
      </c>
      <c r="K34">
        <v>2</v>
      </c>
      <c r="L34">
        <v>908</v>
      </c>
      <c r="M34">
        <v>1809</v>
      </c>
      <c r="N34">
        <v>7</v>
      </c>
      <c r="O34">
        <v>1816</v>
      </c>
      <c r="P34" s="1">
        <v>0.92653099999999999</v>
      </c>
    </row>
    <row r="35" spans="1:16" x14ac:dyDescent="0.25">
      <c r="A35" t="s">
        <v>16</v>
      </c>
      <c r="B35" s="19">
        <v>654448054</v>
      </c>
      <c r="C35">
        <v>1933</v>
      </c>
      <c r="D35">
        <v>567</v>
      </c>
      <c r="E35" s="1">
        <v>0.7732</v>
      </c>
      <c r="F35" s="1">
        <v>0.2268</v>
      </c>
      <c r="G35">
        <v>49</v>
      </c>
      <c r="H35">
        <v>2</v>
      </c>
      <c r="I35">
        <v>1932</v>
      </c>
      <c r="J35" s="20">
        <v>0.99948300000000001</v>
      </c>
      <c r="K35">
        <v>2</v>
      </c>
      <c r="L35">
        <v>886.5</v>
      </c>
      <c r="M35">
        <v>1766</v>
      </c>
      <c r="N35">
        <v>7</v>
      </c>
      <c r="O35">
        <v>1773</v>
      </c>
      <c r="P35" s="1">
        <v>0.91722700000000001</v>
      </c>
    </row>
    <row r="36" spans="1:16" x14ac:dyDescent="0.25">
      <c r="A36" t="s">
        <v>16</v>
      </c>
      <c r="B36" s="19">
        <v>768629443</v>
      </c>
      <c r="C36">
        <v>1968</v>
      </c>
      <c r="D36">
        <v>532</v>
      </c>
      <c r="E36" s="1">
        <v>0.78720000000000001</v>
      </c>
      <c r="F36" s="1">
        <v>0.21279999999999999</v>
      </c>
      <c r="G36">
        <v>49</v>
      </c>
      <c r="H36">
        <v>3</v>
      </c>
      <c r="I36">
        <v>1960</v>
      </c>
      <c r="J36" s="20">
        <v>0.99593500000000001</v>
      </c>
      <c r="K36">
        <v>2</v>
      </c>
      <c r="L36">
        <v>922</v>
      </c>
      <c r="M36">
        <v>1843</v>
      </c>
      <c r="N36">
        <v>1</v>
      </c>
      <c r="O36">
        <v>1844</v>
      </c>
      <c r="P36" s="1">
        <v>0.93699200000000005</v>
      </c>
    </row>
    <row r="37" spans="1:16" x14ac:dyDescent="0.25">
      <c r="A37" t="s">
        <v>16</v>
      </c>
      <c r="B37" s="19">
        <v>1644217059</v>
      </c>
      <c r="C37">
        <v>1999</v>
      </c>
      <c r="D37">
        <v>501</v>
      </c>
      <c r="E37" s="1">
        <v>0.79959999999999998</v>
      </c>
      <c r="F37" s="1">
        <v>0.20039999999999999</v>
      </c>
      <c r="G37">
        <v>49</v>
      </c>
      <c r="H37">
        <v>1</v>
      </c>
      <c r="I37">
        <v>1999</v>
      </c>
      <c r="J37" s="20">
        <v>1</v>
      </c>
      <c r="K37">
        <v>1</v>
      </c>
      <c r="L37">
        <v>1863</v>
      </c>
      <c r="M37">
        <v>1863</v>
      </c>
      <c r="N37">
        <v>1863</v>
      </c>
      <c r="O37">
        <v>1863</v>
      </c>
      <c r="P37" s="1">
        <v>0.93196599999999996</v>
      </c>
    </row>
    <row r="38" spans="1:16" x14ac:dyDescent="0.25">
      <c r="A38" t="s">
        <v>16</v>
      </c>
      <c r="B38" s="19">
        <v>1391259038</v>
      </c>
      <c r="C38">
        <v>1935</v>
      </c>
      <c r="D38">
        <v>565</v>
      </c>
      <c r="E38" s="1">
        <v>0.77400000000000002</v>
      </c>
      <c r="F38" s="1">
        <v>0.22600000000000001</v>
      </c>
      <c r="G38">
        <v>54</v>
      </c>
      <c r="H38">
        <v>2</v>
      </c>
      <c r="I38">
        <v>1932</v>
      </c>
      <c r="J38" s="20">
        <v>0.99844999999999995</v>
      </c>
      <c r="K38">
        <v>1</v>
      </c>
      <c r="L38">
        <v>1786</v>
      </c>
      <c r="M38">
        <v>1786</v>
      </c>
      <c r="N38">
        <v>1786</v>
      </c>
      <c r="O38">
        <v>1786</v>
      </c>
      <c r="P38" s="1">
        <v>0.92299699999999996</v>
      </c>
    </row>
    <row r="39" spans="1:16" x14ac:dyDescent="0.25">
      <c r="A39" t="s">
        <v>16</v>
      </c>
      <c r="B39" s="19">
        <v>1678901178</v>
      </c>
      <c r="C39">
        <v>1953</v>
      </c>
      <c r="D39">
        <v>547</v>
      </c>
      <c r="E39" s="1">
        <v>0.78120000000000001</v>
      </c>
      <c r="F39" s="1">
        <v>0.21879999999999999</v>
      </c>
      <c r="G39">
        <v>50</v>
      </c>
      <c r="H39">
        <v>1</v>
      </c>
      <c r="I39">
        <v>1953</v>
      </c>
      <c r="J39" s="20">
        <v>1</v>
      </c>
      <c r="K39">
        <v>1</v>
      </c>
      <c r="L39">
        <v>1810</v>
      </c>
      <c r="M39">
        <v>1810</v>
      </c>
      <c r="N39">
        <v>1810</v>
      </c>
      <c r="O39">
        <v>1810</v>
      </c>
      <c r="P39" s="1">
        <v>0.92677900000000002</v>
      </c>
    </row>
    <row r="40" spans="1:16" x14ac:dyDescent="0.25">
      <c r="A40" t="s">
        <v>16</v>
      </c>
      <c r="B40" s="19">
        <v>1118735216</v>
      </c>
      <c r="C40">
        <v>2042</v>
      </c>
      <c r="D40">
        <v>458</v>
      </c>
      <c r="E40" s="1">
        <v>0.81679999999999997</v>
      </c>
      <c r="F40" s="1">
        <v>0.1832</v>
      </c>
      <c r="G40">
        <v>49</v>
      </c>
      <c r="H40">
        <v>1</v>
      </c>
      <c r="I40">
        <v>2042</v>
      </c>
      <c r="J40" s="20">
        <v>1</v>
      </c>
      <c r="K40">
        <v>1</v>
      </c>
      <c r="L40">
        <v>1933</v>
      </c>
      <c r="M40">
        <v>1933</v>
      </c>
      <c r="N40">
        <v>1933</v>
      </c>
      <c r="O40">
        <v>1933</v>
      </c>
      <c r="P40" s="1">
        <v>0.94662100000000005</v>
      </c>
    </row>
    <row r="41" spans="1:16" x14ac:dyDescent="0.25">
      <c r="A41" t="s">
        <v>16</v>
      </c>
      <c r="B41" s="19">
        <v>812527185</v>
      </c>
      <c r="C41">
        <v>1923</v>
      </c>
      <c r="D41">
        <v>577</v>
      </c>
      <c r="E41" s="1">
        <v>0.76919999999999999</v>
      </c>
      <c r="F41" s="1">
        <v>0.23080000000000001</v>
      </c>
      <c r="G41">
        <v>53</v>
      </c>
      <c r="H41">
        <v>2</v>
      </c>
      <c r="I41">
        <v>1922</v>
      </c>
      <c r="J41" s="20">
        <v>0.99948000000000004</v>
      </c>
      <c r="K41">
        <v>1</v>
      </c>
      <c r="L41">
        <v>1775</v>
      </c>
      <c r="M41">
        <v>1775</v>
      </c>
      <c r="N41">
        <v>1775</v>
      </c>
      <c r="O41">
        <v>1775</v>
      </c>
      <c r="P41" s="1">
        <v>0.923037</v>
      </c>
    </row>
    <row r="42" spans="1:16" x14ac:dyDescent="0.25">
      <c r="A42" t="s">
        <v>16</v>
      </c>
      <c r="B42" s="19">
        <v>1026696306</v>
      </c>
      <c r="C42">
        <v>1814</v>
      </c>
      <c r="D42">
        <v>686</v>
      </c>
      <c r="E42" s="1">
        <v>0.72560000000000002</v>
      </c>
      <c r="F42" s="1">
        <v>0.27439999999999998</v>
      </c>
      <c r="G42">
        <v>53</v>
      </c>
      <c r="H42">
        <v>5</v>
      </c>
      <c r="I42">
        <v>1808</v>
      </c>
      <c r="J42" s="20">
        <v>0.99669200000000002</v>
      </c>
      <c r="K42">
        <v>1</v>
      </c>
      <c r="L42">
        <v>1663</v>
      </c>
      <c r="M42">
        <v>1663</v>
      </c>
      <c r="N42">
        <v>1663</v>
      </c>
      <c r="O42">
        <v>1663</v>
      </c>
      <c r="P42" s="1">
        <v>0.91675899999999999</v>
      </c>
    </row>
    <row r="43" spans="1:16" x14ac:dyDescent="0.25">
      <c r="A43" t="s">
        <v>16</v>
      </c>
      <c r="B43" s="19">
        <v>1910586807</v>
      </c>
      <c r="C43">
        <v>1927</v>
      </c>
      <c r="D43">
        <v>573</v>
      </c>
      <c r="E43" s="1">
        <v>0.77080000000000004</v>
      </c>
      <c r="F43" s="1">
        <v>0.22919999999999999</v>
      </c>
      <c r="G43">
        <v>54</v>
      </c>
      <c r="H43">
        <v>2</v>
      </c>
      <c r="I43">
        <v>1926</v>
      </c>
      <c r="J43" s="20">
        <v>0.99948099999999995</v>
      </c>
      <c r="K43">
        <v>2</v>
      </c>
      <c r="L43">
        <v>895.5</v>
      </c>
      <c r="M43">
        <v>1790</v>
      </c>
      <c r="N43">
        <v>1</v>
      </c>
      <c r="O43">
        <v>1791</v>
      </c>
      <c r="P43" s="1">
        <v>0.92942400000000003</v>
      </c>
    </row>
    <row r="44" spans="1:16" x14ac:dyDescent="0.25">
      <c r="A44" t="s">
        <v>16</v>
      </c>
      <c r="B44" s="19">
        <v>903372613</v>
      </c>
      <c r="C44">
        <v>1980</v>
      </c>
      <c r="D44">
        <v>520</v>
      </c>
      <c r="E44" s="1">
        <v>0.79200000000000004</v>
      </c>
      <c r="F44" s="1">
        <v>0.20799999999999999</v>
      </c>
      <c r="G44">
        <v>50</v>
      </c>
      <c r="H44">
        <v>3</v>
      </c>
      <c r="I44">
        <v>1975</v>
      </c>
      <c r="J44" s="20">
        <v>0.997475</v>
      </c>
      <c r="K44">
        <v>1</v>
      </c>
      <c r="L44">
        <v>1848</v>
      </c>
      <c r="M44">
        <v>1848</v>
      </c>
      <c r="N44">
        <v>1848</v>
      </c>
      <c r="O44">
        <v>1848</v>
      </c>
      <c r="P44" s="1">
        <v>0.93333299999999997</v>
      </c>
    </row>
    <row r="45" spans="1:16" x14ac:dyDescent="0.25">
      <c r="A45" t="s">
        <v>16</v>
      </c>
      <c r="B45" s="19">
        <v>60576556</v>
      </c>
      <c r="C45">
        <v>1948</v>
      </c>
      <c r="D45">
        <v>552</v>
      </c>
      <c r="E45" s="1">
        <v>0.7792</v>
      </c>
      <c r="F45" s="1">
        <v>0.2208</v>
      </c>
      <c r="G45">
        <v>51</v>
      </c>
      <c r="H45">
        <v>3</v>
      </c>
      <c r="I45">
        <v>1944</v>
      </c>
      <c r="J45" s="20">
        <v>0.99794700000000003</v>
      </c>
      <c r="K45">
        <v>1</v>
      </c>
      <c r="L45">
        <v>1820</v>
      </c>
      <c r="M45">
        <v>1820</v>
      </c>
      <c r="N45">
        <v>1820</v>
      </c>
      <c r="O45">
        <v>1820</v>
      </c>
      <c r="P45" s="1">
        <v>0.93429200000000001</v>
      </c>
    </row>
    <row r="46" spans="1:16" x14ac:dyDescent="0.25">
      <c r="A46" t="s">
        <v>16</v>
      </c>
      <c r="B46" s="19">
        <v>462972700</v>
      </c>
      <c r="C46">
        <v>1961</v>
      </c>
      <c r="D46">
        <v>539</v>
      </c>
      <c r="E46" s="1">
        <v>0.78439999999999999</v>
      </c>
      <c r="F46" s="1">
        <v>0.21560000000000001</v>
      </c>
      <c r="G46">
        <v>50</v>
      </c>
      <c r="H46">
        <v>1</v>
      </c>
      <c r="I46">
        <v>1961</v>
      </c>
      <c r="J46" s="20">
        <v>1</v>
      </c>
      <c r="K46">
        <v>3</v>
      </c>
      <c r="L46">
        <v>603.33333300000004</v>
      </c>
      <c r="M46">
        <v>1790</v>
      </c>
      <c r="N46">
        <v>9</v>
      </c>
      <c r="O46">
        <v>1810</v>
      </c>
      <c r="P46" s="1">
        <v>0.92299799999999999</v>
      </c>
    </row>
    <row r="47" spans="1:16" x14ac:dyDescent="0.25">
      <c r="A47" t="s">
        <v>16</v>
      </c>
      <c r="B47" s="19">
        <v>404732612</v>
      </c>
      <c r="C47">
        <v>1961</v>
      </c>
      <c r="D47">
        <v>539</v>
      </c>
      <c r="E47" s="1">
        <v>0.78439999999999999</v>
      </c>
      <c r="F47" s="1">
        <v>0.21560000000000001</v>
      </c>
      <c r="G47">
        <v>49</v>
      </c>
      <c r="H47">
        <v>2</v>
      </c>
      <c r="I47">
        <v>1960</v>
      </c>
      <c r="J47" s="20">
        <v>0.99948999999999999</v>
      </c>
      <c r="K47">
        <v>2</v>
      </c>
      <c r="L47">
        <v>901.5</v>
      </c>
      <c r="M47">
        <v>1791</v>
      </c>
      <c r="N47">
        <v>12</v>
      </c>
      <c r="O47">
        <v>1803</v>
      </c>
      <c r="P47" s="1">
        <v>0.91942900000000005</v>
      </c>
    </row>
    <row r="48" spans="1:16" x14ac:dyDescent="0.25">
      <c r="A48" t="s">
        <v>16</v>
      </c>
      <c r="B48" s="19">
        <v>305594750</v>
      </c>
      <c r="C48">
        <v>1839</v>
      </c>
      <c r="D48">
        <v>661</v>
      </c>
      <c r="E48" s="1">
        <v>0.73560000000000003</v>
      </c>
      <c r="F48" s="1">
        <v>0.26440000000000002</v>
      </c>
      <c r="G48">
        <v>49</v>
      </c>
      <c r="H48">
        <v>8</v>
      </c>
      <c r="I48">
        <v>1829</v>
      </c>
      <c r="J48" s="20">
        <v>0.99456199999999995</v>
      </c>
      <c r="K48">
        <v>3</v>
      </c>
      <c r="L48">
        <v>559.33333300000004</v>
      </c>
      <c r="M48">
        <v>1641</v>
      </c>
      <c r="N48">
        <v>1</v>
      </c>
      <c r="O48">
        <v>1678</v>
      </c>
      <c r="P48" s="1">
        <v>0.91245200000000004</v>
      </c>
    </row>
    <row r="49" spans="1:16" x14ac:dyDescent="0.25">
      <c r="A49" t="s">
        <v>16</v>
      </c>
      <c r="B49" s="19">
        <v>2024957062</v>
      </c>
      <c r="C49">
        <v>1963</v>
      </c>
      <c r="D49">
        <v>537</v>
      </c>
      <c r="E49" s="1">
        <v>0.78520000000000001</v>
      </c>
      <c r="F49" s="1">
        <v>0.21479999999999999</v>
      </c>
      <c r="G49">
        <v>50</v>
      </c>
      <c r="H49">
        <v>2</v>
      </c>
      <c r="I49">
        <v>1962</v>
      </c>
      <c r="J49" s="20">
        <v>0.99949100000000002</v>
      </c>
      <c r="K49">
        <v>1</v>
      </c>
      <c r="L49">
        <v>1832</v>
      </c>
      <c r="M49">
        <v>1832</v>
      </c>
      <c r="N49">
        <v>1832</v>
      </c>
      <c r="O49">
        <v>1832</v>
      </c>
      <c r="P49" s="1">
        <v>0.93326500000000001</v>
      </c>
    </row>
    <row r="50" spans="1:16" x14ac:dyDescent="0.25">
      <c r="A50" t="s">
        <v>16</v>
      </c>
      <c r="B50" s="19">
        <v>1717830072</v>
      </c>
      <c r="C50">
        <v>1933</v>
      </c>
      <c r="D50">
        <v>567</v>
      </c>
      <c r="E50" s="1">
        <v>0.7732</v>
      </c>
      <c r="F50" s="1">
        <v>0.2268</v>
      </c>
      <c r="G50">
        <v>54</v>
      </c>
      <c r="H50">
        <v>2</v>
      </c>
      <c r="I50">
        <v>1931</v>
      </c>
      <c r="J50" s="20">
        <v>0.99896499999999999</v>
      </c>
      <c r="K50">
        <v>3</v>
      </c>
      <c r="L50">
        <v>594.66666699999996</v>
      </c>
      <c r="M50">
        <v>1762</v>
      </c>
      <c r="N50">
        <v>7</v>
      </c>
      <c r="O50">
        <v>1784</v>
      </c>
      <c r="P50" s="1">
        <v>0.92291800000000002</v>
      </c>
    </row>
    <row r="51" spans="1:16" x14ac:dyDescent="0.25">
      <c r="A51" t="s">
        <v>16</v>
      </c>
      <c r="B51" s="19">
        <v>359114946</v>
      </c>
      <c r="C51">
        <v>1931</v>
      </c>
      <c r="D51">
        <v>569</v>
      </c>
      <c r="E51" s="1">
        <v>0.77239999999999998</v>
      </c>
      <c r="F51" s="1">
        <v>0.2276</v>
      </c>
      <c r="G51">
        <v>54</v>
      </c>
      <c r="H51">
        <v>1</v>
      </c>
      <c r="I51">
        <v>1931</v>
      </c>
      <c r="J51" s="20">
        <v>1</v>
      </c>
      <c r="K51">
        <v>1</v>
      </c>
      <c r="L51">
        <v>1793</v>
      </c>
      <c r="M51">
        <v>1793</v>
      </c>
      <c r="N51">
        <v>1793</v>
      </c>
      <c r="O51">
        <v>1793</v>
      </c>
      <c r="P51" s="1">
        <v>0.92853399999999997</v>
      </c>
    </row>
    <row r="52" spans="1:16" x14ac:dyDescent="0.25">
      <c r="A52" t="s">
        <v>26</v>
      </c>
      <c r="C52">
        <f>SUBTOTAL(101,CA8_wall30_it2_neigh4[floors])</f>
        <v>1943.24</v>
      </c>
      <c r="D52">
        <f>SUBTOTAL(101,CA8_wall30_it2_neigh4[walls])</f>
        <v>556.76</v>
      </c>
      <c r="E52" s="2">
        <f>SUBTOTAL(101,CA8_wall30_it2_neigh4[floor_percent])</f>
        <v>0.7772960000000001</v>
      </c>
      <c r="F52" s="2">
        <f>SUBTOTAL(101,CA8_wall30_it2_neigh4[wall_percent])</f>
        <v>0.2227040000000001</v>
      </c>
      <c r="G52">
        <f>SUBTOTAL(101,CA8_wall30_it2_neigh4[longest_shortest_path])</f>
        <v>51.12</v>
      </c>
      <c r="H52">
        <f>SUBTOTAL(101,CA8_wall30_it2_neigh4[component_count])</f>
        <v>2.44</v>
      </c>
      <c r="I52">
        <f>SUBTOTAL(101,CA8_wall30_it2_neigh4[max_component_size])</f>
        <v>1940.02</v>
      </c>
      <c r="J52">
        <f>SUBTOTAL(101,CA8_wall30_it2_neigh4[connectivity_ratio])</f>
        <v>0.99832756000000022</v>
      </c>
      <c r="K52">
        <f>SUBTOTAL(101,CA8_wall30_it2_neigh4[room_count])</f>
        <v>1.44</v>
      </c>
      <c r="L52">
        <f>SUBTOTAL(101,CA8_wall30_it2_neigh4[avg_room_size])</f>
        <v>1443.1866666600001</v>
      </c>
      <c r="M52">
        <f>SUBTOTAL(101,CA8_wall30_it2_neigh4[max_room_size])</f>
        <v>1795.96</v>
      </c>
      <c r="N52">
        <f>SUBTOTAL(101,CA8_wall30_it2_neigh4[min_room_size])</f>
        <v>1124.32</v>
      </c>
      <c r="O52">
        <f>SUBTOTAL(101,CA8_wall30_it2_neigh4[room_tiles])</f>
        <v>1799.72</v>
      </c>
      <c r="P52" s="2">
        <f>SUBTOTAL(101,CA8_wall30_it2_neigh4[room_ratio])</f>
        <v>0.92597744000000004</v>
      </c>
    </row>
    <row r="53" spans="1:16" x14ac:dyDescent="0.25">
      <c r="A53" s="22" t="s">
        <v>35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CB1A-1849-4B7D-A292-9E1C97391464}">
  <dimension ref="A1:P53"/>
  <sheetViews>
    <sheetView topLeftCell="A25" workbookViewId="0">
      <selection activeCell="H57" sqref="H57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3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1260577915</v>
      </c>
      <c r="C2">
        <v>2232</v>
      </c>
      <c r="D2">
        <v>268</v>
      </c>
      <c r="E2" s="1">
        <v>0.89280000000000004</v>
      </c>
      <c r="F2" s="1">
        <v>0.1072</v>
      </c>
      <c r="G2">
        <v>49</v>
      </c>
      <c r="H2">
        <v>1</v>
      </c>
      <c r="I2">
        <v>2232</v>
      </c>
      <c r="J2" s="23">
        <v>1</v>
      </c>
      <c r="K2">
        <v>1</v>
      </c>
      <c r="L2">
        <v>2162</v>
      </c>
      <c r="M2">
        <v>2162</v>
      </c>
      <c r="N2">
        <v>2162</v>
      </c>
      <c r="O2">
        <v>2162</v>
      </c>
      <c r="P2" s="1">
        <v>0.968638</v>
      </c>
    </row>
    <row r="3" spans="1:16" x14ac:dyDescent="0.25">
      <c r="A3" t="s">
        <v>16</v>
      </c>
      <c r="B3" s="19">
        <v>693025280</v>
      </c>
      <c r="C3">
        <v>2163</v>
      </c>
      <c r="D3">
        <v>337</v>
      </c>
      <c r="E3" s="1">
        <v>0.86519999999999997</v>
      </c>
      <c r="F3" s="1">
        <v>0.1348</v>
      </c>
      <c r="G3">
        <v>49</v>
      </c>
      <c r="H3">
        <v>1</v>
      </c>
      <c r="I3">
        <v>2163</v>
      </c>
      <c r="J3" s="23">
        <v>1</v>
      </c>
      <c r="K3">
        <v>1</v>
      </c>
      <c r="L3">
        <v>2092</v>
      </c>
      <c r="M3">
        <v>2092</v>
      </c>
      <c r="N3">
        <v>2092</v>
      </c>
      <c r="O3">
        <v>2092</v>
      </c>
      <c r="P3" s="1">
        <v>0.96717500000000001</v>
      </c>
    </row>
    <row r="4" spans="1:16" x14ac:dyDescent="0.25">
      <c r="A4" t="s">
        <v>16</v>
      </c>
      <c r="B4" s="19">
        <v>561785079</v>
      </c>
      <c r="C4">
        <v>2264</v>
      </c>
      <c r="D4">
        <v>236</v>
      </c>
      <c r="E4" s="1">
        <v>0.90559999999999996</v>
      </c>
      <c r="F4" s="1">
        <v>9.4399999999999998E-2</v>
      </c>
      <c r="G4">
        <v>49</v>
      </c>
      <c r="H4">
        <v>1</v>
      </c>
      <c r="I4">
        <v>2264</v>
      </c>
      <c r="J4" s="23">
        <v>1</v>
      </c>
      <c r="K4">
        <v>1</v>
      </c>
      <c r="L4">
        <v>2202</v>
      </c>
      <c r="M4">
        <v>2202</v>
      </c>
      <c r="N4">
        <v>2202</v>
      </c>
      <c r="O4">
        <v>2202</v>
      </c>
      <c r="P4" s="1">
        <v>0.97261500000000001</v>
      </c>
    </row>
    <row r="5" spans="1:16" x14ac:dyDescent="0.25">
      <c r="A5" t="s">
        <v>16</v>
      </c>
      <c r="B5" s="19">
        <v>317927207</v>
      </c>
      <c r="C5">
        <v>2188</v>
      </c>
      <c r="D5">
        <v>312</v>
      </c>
      <c r="E5" s="1">
        <v>0.87519999999999998</v>
      </c>
      <c r="F5" s="1">
        <v>0.12479999999999999</v>
      </c>
      <c r="G5">
        <v>49</v>
      </c>
      <c r="H5">
        <v>1</v>
      </c>
      <c r="I5">
        <v>2188</v>
      </c>
      <c r="J5" s="23">
        <v>1</v>
      </c>
      <c r="K5">
        <v>1</v>
      </c>
      <c r="L5">
        <v>2112</v>
      </c>
      <c r="M5">
        <v>2112</v>
      </c>
      <c r="N5">
        <v>2112</v>
      </c>
      <c r="O5">
        <v>2112</v>
      </c>
      <c r="P5" s="1">
        <v>0.96526500000000004</v>
      </c>
    </row>
    <row r="6" spans="1:16" x14ac:dyDescent="0.25">
      <c r="A6" t="s">
        <v>16</v>
      </c>
      <c r="B6" s="19">
        <v>548112839</v>
      </c>
      <c r="C6">
        <v>2152</v>
      </c>
      <c r="D6">
        <v>348</v>
      </c>
      <c r="E6" s="1">
        <v>0.86080000000000001</v>
      </c>
      <c r="F6" s="1">
        <v>0.13919999999999999</v>
      </c>
      <c r="G6">
        <v>56</v>
      </c>
      <c r="H6">
        <v>1</v>
      </c>
      <c r="I6">
        <v>2152</v>
      </c>
      <c r="J6" s="23">
        <v>1</v>
      </c>
      <c r="K6">
        <v>1</v>
      </c>
      <c r="L6">
        <v>2083</v>
      </c>
      <c r="M6">
        <v>2083</v>
      </c>
      <c r="N6">
        <v>2083</v>
      </c>
      <c r="O6">
        <v>2083</v>
      </c>
      <c r="P6" s="1">
        <v>0.96793700000000005</v>
      </c>
    </row>
    <row r="7" spans="1:16" x14ac:dyDescent="0.25">
      <c r="A7" t="s">
        <v>16</v>
      </c>
      <c r="B7" s="19">
        <v>1240375525</v>
      </c>
      <c r="C7">
        <v>2199</v>
      </c>
      <c r="D7">
        <v>301</v>
      </c>
      <c r="E7" s="1">
        <v>0.87960000000000005</v>
      </c>
      <c r="F7" s="1">
        <v>0.12039999999999999</v>
      </c>
      <c r="G7">
        <v>49</v>
      </c>
      <c r="H7">
        <v>1</v>
      </c>
      <c r="I7">
        <v>2199</v>
      </c>
      <c r="J7" s="23">
        <v>1</v>
      </c>
      <c r="K7">
        <v>1</v>
      </c>
      <c r="L7">
        <v>2122</v>
      </c>
      <c r="M7">
        <v>2122</v>
      </c>
      <c r="N7">
        <v>2122</v>
      </c>
      <c r="O7">
        <v>2122</v>
      </c>
      <c r="P7" s="1">
        <v>0.96498399999999995</v>
      </c>
    </row>
    <row r="8" spans="1:16" x14ac:dyDescent="0.25">
      <c r="A8" t="s">
        <v>16</v>
      </c>
      <c r="B8" s="19">
        <v>673654289</v>
      </c>
      <c r="C8">
        <v>2262</v>
      </c>
      <c r="D8">
        <v>238</v>
      </c>
      <c r="E8" s="1">
        <v>0.90480000000000005</v>
      </c>
      <c r="F8" s="1">
        <v>9.5200000000000007E-2</v>
      </c>
      <c r="G8">
        <v>49</v>
      </c>
      <c r="H8">
        <v>1</v>
      </c>
      <c r="I8">
        <v>2262</v>
      </c>
      <c r="J8" s="23">
        <v>1</v>
      </c>
      <c r="K8">
        <v>1</v>
      </c>
      <c r="L8">
        <v>2201</v>
      </c>
      <c r="M8">
        <v>2201</v>
      </c>
      <c r="N8">
        <v>2201</v>
      </c>
      <c r="O8">
        <v>2201</v>
      </c>
      <c r="P8" s="1">
        <v>0.97303300000000004</v>
      </c>
    </row>
    <row r="9" spans="1:16" x14ac:dyDescent="0.25">
      <c r="A9" t="s">
        <v>16</v>
      </c>
      <c r="B9" s="19">
        <v>1507780499</v>
      </c>
      <c r="C9">
        <v>2266</v>
      </c>
      <c r="D9">
        <v>234</v>
      </c>
      <c r="E9" s="1">
        <v>0.90639999999999998</v>
      </c>
      <c r="F9" s="1">
        <v>9.3600000000000003E-2</v>
      </c>
      <c r="G9">
        <v>49</v>
      </c>
      <c r="H9">
        <v>1</v>
      </c>
      <c r="I9">
        <v>2266</v>
      </c>
      <c r="J9" s="23">
        <v>1</v>
      </c>
      <c r="K9">
        <v>1</v>
      </c>
      <c r="L9">
        <v>2208</v>
      </c>
      <c r="M9">
        <v>2208</v>
      </c>
      <c r="N9">
        <v>2208</v>
      </c>
      <c r="O9">
        <v>2208</v>
      </c>
      <c r="P9" s="1">
        <v>0.97440400000000005</v>
      </c>
    </row>
    <row r="10" spans="1:16" x14ac:dyDescent="0.25">
      <c r="A10" t="s">
        <v>16</v>
      </c>
      <c r="B10" s="19">
        <v>1327405308</v>
      </c>
      <c r="C10">
        <v>2084</v>
      </c>
      <c r="D10">
        <v>416</v>
      </c>
      <c r="E10" s="1">
        <v>0.83360000000000001</v>
      </c>
      <c r="F10" s="1">
        <v>0.16639999999999999</v>
      </c>
      <c r="G10">
        <v>49</v>
      </c>
      <c r="H10">
        <v>1</v>
      </c>
      <c r="I10">
        <v>2084</v>
      </c>
      <c r="J10" s="23">
        <v>1</v>
      </c>
      <c r="K10">
        <v>1</v>
      </c>
      <c r="L10">
        <v>2010</v>
      </c>
      <c r="M10">
        <v>2010</v>
      </c>
      <c r="N10">
        <v>2010</v>
      </c>
      <c r="O10">
        <v>2010</v>
      </c>
      <c r="P10" s="1">
        <v>0.96449099999999999</v>
      </c>
    </row>
    <row r="11" spans="1:16" x14ac:dyDescent="0.25">
      <c r="A11" t="s">
        <v>16</v>
      </c>
      <c r="B11" s="19">
        <v>1434899561</v>
      </c>
      <c r="C11">
        <v>2220</v>
      </c>
      <c r="D11">
        <v>280</v>
      </c>
      <c r="E11" s="1">
        <v>0.88800000000000001</v>
      </c>
      <c r="F11" s="1">
        <v>0.112</v>
      </c>
      <c r="G11">
        <v>53</v>
      </c>
      <c r="H11">
        <v>1</v>
      </c>
      <c r="I11">
        <v>2220</v>
      </c>
      <c r="J11" s="23">
        <v>1</v>
      </c>
      <c r="K11">
        <v>1</v>
      </c>
      <c r="L11">
        <v>2144</v>
      </c>
      <c r="M11">
        <v>2144</v>
      </c>
      <c r="N11">
        <v>2144</v>
      </c>
      <c r="O11">
        <v>2144</v>
      </c>
      <c r="P11" s="1">
        <v>0.96576600000000001</v>
      </c>
    </row>
    <row r="12" spans="1:16" x14ac:dyDescent="0.25">
      <c r="A12" t="s">
        <v>16</v>
      </c>
      <c r="B12" s="19">
        <v>1180445825</v>
      </c>
      <c r="C12">
        <v>2097</v>
      </c>
      <c r="D12">
        <v>403</v>
      </c>
      <c r="E12" s="1">
        <v>0.83879999999999999</v>
      </c>
      <c r="F12" s="1">
        <v>0.16120000000000001</v>
      </c>
      <c r="G12">
        <v>49</v>
      </c>
      <c r="H12">
        <v>1</v>
      </c>
      <c r="I12">
        <v>2097</v>
      </c>
      <c r="J12" s="23">
        <v>1</v>
      </c>
      <c r="K12">
        <v>1</v>
      </c>
      <c r="L12">
        <v>2024</v>
      </c>
      <c r="M12">
        <v>2024</v>
      </c>
      <c r="N12">
        <v>2024</v>
      </c>
      <c r="O12">
        <v>2024</v>
      </c>
      <c r="P12" s="1">
        <v>0.96518800000000005</v>
      </c>
    </row>
    <row r="13" spans="1:16" x14ac:dyDescent="0.25">
      <c r="A13" t="s">
        <v>16</v>
      </c>
      <c r="B13" s="19">
        <v>101701916</v>
      </c>
      <c r="C13">
        <v>2214</v>
      </c>
      <c r="D13">
        <v>286</v>
      </c>
      <c r="E13" s="1">
        <v>0.88560000000000005</v>
      </c>
      <c r="F13" s="1">
        <v>0.1144</v>
      </c>
      <c r="G13">
        <v>49</v>
      </c>
      <c r="H13">
        <v>1</v>
      </c>
      <c r="I13">
        <v>2214</v>
      </c>
      <c r="J13" s="23">
        <v>1</v>
      </c>
      <c r="K13">
        <v>1</v>
      </c>
      <c r="L13">
        <v>2149</v>
      </c>
      <c r="M13">
        <v>2149</v>
      </c>
      <c r="N13">
        <v>2149</v>
      </c>
      <c r="O13">
        <v>2149</v>
      </c>
      <c r="P13" s="1">
        <v>0.97064099999999998</v>
      </c>
    </row>
    <row r="14" spans="1:16" x14ac:dyDescent="0.25">
      <c r="A14" t="s">
        <v>16</v>
      </c>
      <c r="B14" s="19">
        <v>1552472936</v>
      </c>
      <c r="C14">
        <v>2218</v>
      </c>
      <c r="D14">
        <v>282</v>
      </c>
      <c r="E14" s="1">
        <v>0.88719999999999999</v>
      </c>
      <c r="F14" s="1">
        <v>0.1128</v>
      </c>
      <c r="G14">
        <v>49</v>
      </c>
      <c r="H14">
        <v>1</v>
      </c>
      <c r="I14">
        <v>2218</v>
      </c>
      <c r="J14" s="23">
        <v>1</v>
      </c>
      <c r="K14">
        <v>1</v>
      </c>
      <c r="L14">
        <v>2142</v>
      </c>
      <c r="M14">
        <v>2142</v>
      </c>
      <c r="N14">
        <v>2142</v>
      </c>
      <c r="O14">
        <v>2142</v>
      </c>
      <c r="P14" s="1">
        <v>0.96573500000000001</v>
      </c>
    </row>
    <row r="15" spans="1:16" x14ac:dyDescent="0.25">
      <c r="A15" t="s">
        <v>16</v>
      </c>
      <c r="B15" s="19">
        <v>709120347</v>
      </c>
      <c r="C15">
        <v>2178</v>
      </c>
      <c r="D15">
        <v>322</v>
      </c>
      <c r="E15" s="1">
        <v>0.87119999999999997</v>
      </c>
      <c r="F15" s="1">
        <v>0.1288</v>
      </c>
      <c r="G15">
        <v>49</v>
      </c>
      <c r="H15">
        <v>1</v>
      </c>
      <c r="I15">
        <v>2178</v>
      </c>
      <c r="J15" s="23">
        <v>1</v>
      </c>
      <c r="K15">
        <v>1</v>
      </c>
      <c r="L15">
        <v>2104</v>
      </c>
      <c r="M15">
        <v>2104</v>
      </c>
      <c r="N15">
        <v>2104</v>
      </c>
      <c r="O15">
        <v>2104</v>
      </c>
      <c r="P15" s="1">
        <v>0.96602399999999999</v>
      </c>
    </row>
    <row r="16" spans="1:16" x14ac:dyDescent="0.25">
      <c r="A16" t="s">
        <v>16</v>
      </c>
      <c r="B16" s="19">
        <v>1977131392</v>
      </c>
      <c r="C16">
        <v>2233</v>
      </c>
      <c r="D16">
        <v>267</v>
      </c>
      <c r="E16" s="1">
        <v>0.89319999999999999</v>
      </c>
      <c r="F16" s="1">
        <v>0.10680000000000001</v>
      </c>
      <c r="G16">
        <v>49</v>
      </c>
      <c r="H16">
        <v>1</v>
      </c>
      <c r="I16">
        <v>2233</v>
      </c>
      <c r="J16" s="23">
        <v>1</v>
      </c>
      <c r="K16">
        <v>1</v>
      </c>
      <c r="L16">
        <v>2164</v>
      </c>
      <c r="M16">
        <v>2164</v>
      </c>
      <c r="N16">
        <v>2164</v>
      </c>
      <c r="O16">
        <v>2164</v>
      </c>
      <c r="P16" s="1">
        <v>0.96909999999999996</v>
      </c>
    </row>
    <row r="17" spans="1:16" x14ac:dyDescent="0.25">
      <c r="A17" t="s">
        <v>16</v>
      </c>
      <c r="B17" s="19">
        <v>217800528</v>
      </c>
      <c r="C17">
        <v>2227</v>
      </c>
      <c r="D17">
        <v>273</v>
      </c>
      <c r="E17" s="1">
        <v>0.89080000000000004</v>
      </c>
      <c r="F17" s="1">
        <v>0.10920000000000001</v>
      </c>
      <c r="G17">
        <v>49</v>
      </c>
      <c r="H17">
        <v>1</v>
      </c>
      <c r="I17">
        <v>2227</v>
      </c>
      <c r="J17" s="23">
        <v>1</v>
      </c>
      <c r="K17">
        <v>1</v>
      </c>
      <c r="L17">
        <v>2165</v>
      </c>
      <c r="M17">
        <v>2165</v>
      </c>
      <c r="N17">
        <v>2165</v>
      </c>
      <c r="O17">
        <v>2165</v>
      </c>
      <c r="P17" s="1">
        <v>0.97216000000000002</v>
      </c>
    </row>
    <row r="18" spans="1:16" x14ac:dyDescent="0.25">
      <c r="A18" t="s">
        <v>16</v>
      </c>
      <c r="B18" s="19">
        <v>1709498168</v>
      </c>
      <c r="C18">
        <v>2188</v>
      </c>
      <c r="D18">
        <v>312</v>
      </c>
      <c r="E18" s="1">
        <v>0.87519999999999998</v>
      </c>
      <c r="F18" s="1">
        <v>0.12479999999999999</v>
      </c>
      <c r="G18">
        <v>53</v>
      </c>
      <c r="H18">
        <v>1</v>
      </c>
      <c r="I18">
        <v>2188</v>
      </c>
      <c r="J18" s="23">
        <v>1</v>
      </c>
      <c r="K18">
        <v>1</v>
      </c>
      <c r="L18">
        <v>2115</v>
      </c>
      <c r="M18">
        <v>2115</v>
      </c>
      <c r="N18">
        <v>2115</v>
      </c>
      <c r="O18">
        <v>2115</v>
      </c>
      <c r="P18" s="1">
        <v>0.96663600000000005</v>
      </c>
    </row>
    <row r="19" spans="1:16" x14ac:dyDescent="0.25">
      <c r="A19" t="s">
        <v>16</v>
      </c>
      <c r="B19" s="19">
        <v>1647310276</v>
      </c>
      <c r="C19">
        <v>2185</v>
      </c>
      <c r="D19">
        <v>315</v>
      </c>
      <c r="E19" s="1">
        <v>0.874</v>
      </c>
      <c r="F19" s="1">
        <v>0.126</v>
      </c>
      <c r="G19">
        <v>55</v>
      </c>
      <c r="H19">
        <v>1</v>
      </c>
      <c r="I19">
        <v>2185</v>
      </c>
      <c r="J19" s="23">
        <v>1</v>
      </c>
      <c r="K19">
        <v>1</v>
      </c>
      <c r="L19">
        <v>2114</v>
      </c>
      <c r="M19">
        <v>2114</v>
      </c>
      <c r="N19">
        <v>2114</v>
      </c>
      <c r="O19">
        <v>2114</v>
      </c>
      <c r="P19" s="1">
        <v>0.96750599999999998</v>
      </c>
    </row>
    <row r="20" spans="1:16" x14ac:dyDescent="0.25">
      <c r="A20" t="s">
        <v>16</v>
      </c>
      <c r="B20" s="19">
        <v>1944162245</v>
      </c>
      <c r="C20">
        <v>2197</v>
      </c>
      <c r="D20">
        <v>303</v>
      </c>
      <c r="E20" s="1">
        <v>0.87880000000000003</v>
      </c>
      <c r="F20" s="1">
        <v>0.1212</v>
      </c>
      <c r="G20">
        <v>48</v>
      </c>
      <c r="H20">
        <v>1</v>
      </c>
      <c r="I20">
        <v>2197</v>
      </c>
      <c r="J20" s="23">
        <v>1</v>
      </c>
      <c r="K20">
        <v>1</v>
      </c>
      <c r="L20">
        <v>2135</v>
      </c>
      <c r="M20">
        <v>2135</v>
      </c>
      <c r="N20">
        <v>2135</v>
      </c>
      <c r="O20">
        <v>2135</v>
      </c>
      <c r="P20" s="1">
        <v>0.97177999999999998</v>
      </c>
    </row>
    <row r="21" spans="1:16" x14ac:dyDescent="0.25">
      <c r="A21" t="s">
        <v>16</v>
      </c>
      <c r="B21" s="19">
        <v>520795500</v>
      </c>
      <c r="C21">
        <v>2267</v>
      </c>
      <c r="D21">
        <v>233</v>
      </c>
      <c r="E21" s="1">
        <v>0.90680000000000005</v>
      </c>
      <c r="F21" s="1">
        <v>9.3200000000000005E-2</v>
      </c>
      <c r="G21">
        <v>49</v>
      </c>
      <c r="H21">
        <v>2</v>
      </c>
      <c r="I21">
        <v>2249</v>
      </c>
      <c r="J21" s="23">
        <v>0.99206000000000005</v>
      </c>
      <c r="K21">
        <v>2</v>
      </c>
      <c r="L21">
        <v>1100</v>
      </c>
      <c r="M21">
        <v>2189</v>
      </c>
      <c r="N21">
        <v>11</v>
      </c>
      <c r="O21">
        <v>2200</v>
      </c>
      <c r="P21" s="1">
        <v>0.97044600000000003</v>
      </c>
    </row>
    <row r="22" spans="1:16" x14ac:dyDescent="0.25">
      <c r="A22" t="s">
        <v>16</v>
      </c>
      <c r="B22" s="19">
        <v>560651207</v>
      </c>
      <c r="C22">
        <v>2066</v>
      </c>
      <c r="D22">
        <v>434</v>
      </c>
      <c r="E22" s="1">
        <v>0.82640000000000002</v>
      </c>
      <c r="F22" s="1">
        <v>0.1736</v>
      </c>
      <c r="G22">
        <v>56</v>
      </c>
      <c r="H22">
        <v>1</v>
      </c>
      <c r="I22">
        <v>2066</v>
      </c>
      <c r="J22" s="23">
        <v>1</v>
      </c>
      <c r="K22">
        <v>1</v>
      </c>
      <c r="L22">
        <v>1972</v>
      </c>
      <c r="M22">
        <v>1972</v>
      </c>
      <c r="N22">
        <v>1972</v>
      </c>
      <c r="O22">
        <v>1972</v>
      </c>
      <c r="P22" s="1">
        <v>0.95450100000000004</v>
      </c>
    </row>
    <row r="23" spans="1:16" x14ac:dyDescent="0.25">
      <c r="A23" t="s">
        <v>16</v>
      </c>
      <c r="B23" s="19">
        <v>842030470</v>
      </c>
      <c r="C23">
        <v>2259</v>
      </c>
      <c r="D23">
        <v>241</v>
      </c>
      <c r="E23" s="1">
        <v>0.90359999999999996</v>
      </c>
      <c r="F23" s="1">
        <v>9.64E-2</v>
      </c>
      <c r="G23">
        <v>49</v>
      </c>
      <c r="H23">
        <v>1</v>
      </c>
      <c r="I23">
        <v>2259</v>
      </c>
      <c r="J23" s="23">
        <v>1</v>
      </c>
      <c r="K23">
        <v>1</v>
      </c>
      <c r="L23">
        <v>2215</v>
      </c>
      <c r="M23">
        <v>2215</v>
      </c>
      <c r="N23">
        <v>2215</v>
      </c>
      <c r="O23">
        <v>2215</v>
      </c>
      <c r="P23" s="1">
        <v>0.980522</v>
      </c>
    </row>
    <row r="24" spans="1:16" x14ac:dyDescent="0.25">
      <c r="A24" t="s">
        <v>16</v>
      </c>
      <c r="B24" s="19">
        <v>1714074571</v>
      </c>
      <c r="C24">
        <v>2198</v>
      </c>
      <c r="D24">
        <v>302</v>
      </c>
      <c r="E24" s="1">
        <v>0.87919999999999998</v>
      </c>
      <c r="F24" s="1">
        <v>0.1208</v>
      </c>
      <c r="G24">
        <v>49</v>
      </c>
      <c r="H24">
        <v>1</v>
      </c>
      <c r="I24">
        <v>2198</v>
      </c>
      <c r="J24" s="23">
        <v>1</v>
      </c>
      <c r="K24">
        <v>1</v>
      </c>
      <c r="L24">
        <v>2128</v>
      </c>
      <c r="M24">
        <v>2128</v>
      </c>
      <c r="N24">
        <v>2128</v>
      </c>
      <c r="O24">
        <v>2128</v>
      </c>
      <c r="P24" s="1">
        <v>0.96815300000000004</v>
      </c>
    </row>
    <row r="25" spans="1:16" x14ac:dyDescent="0.25">
      <c r="A25" t="s">
        <v>16</v>
      </c>
      <c r="B25" s="19">
        <v>1416464481</v>
      </c>
      <c r="C25">
        <v>2233</v>
      </c>
      <c r="D25">
        <v>267</v>
      </c>
      <c r="E25" s="1">
        <v>0.89319999999999999</v>
      </c>
      <c r="F25" s="1">
        <v>0.10680000000000001</v>
      </c>
      <c r="G25">
        <v>49</v>
      </c>
      <c r="H25">
        <v>1</v>
      </c>
      <c r="I25">
        <v>2233</v>
      </c>
      <c r="J25" s="23">
        <v>1</v>
      </c>
      <c r="K25">
        <v>1</v>
      </c>
      <c r="L25">
        <v>2152</v>
      </c>
      <c r="M25">
        <v>2152</v>
      </c>
      <c r="N25">
        <v>2152</v>
      </c>
      <c r="O25">
        <v>2152</v>
      </c>
      <c r="P25" s="1">
        <v>0.96372599999999997</v>
      </c>
    </row>
    <row r="26" spans="1:16" x14ac:dyDescent="0.25">
      <c r="A26" t="s">
        <v>16</v>
      </c>
      <c r="B26" s="19">
        <v>1951991012</v>
      </c>
      <c r="C26">
        <v>2241</v>
      </c>
      <c r="D26">
        <v>259</v>
      </c>
      <c r="E26" s="1">
        <v>0.89639999999999997</v>
      </c>
      <c r="F26" s="1">
        <v>0.1036</v>
      </c>
      <c r="G26">
        <v>51</v>
      </c>
      <c r="H26">
        <v>1</v>
      </c>
      <c r="I26">
        <v>2241</v>
      </c>
      <c r="J26" s="23">
        <v>1</v>
      </c>
      <c r="K26">
        <v>1</v>
      </c>
      <c r="L26">
        <v>2176</v>
      </c>
      <c r="M26">
        <v>2176</v>
      </c>
      <c r="N26">
        <v>2176</v>
      </c>
      <c r="O26">
        <v>2176</v>
      </c>
      <c r="P26" s="1">
        <v>0.97099500000000005</v>
      </c>
    </row>
    <row r="27" spans="1:16" x14ac:dyDescent="0.25">
      <c r="A27" t="s">
        <v>16</v>
      </c>
      <c r="B27" s="19">
        <v>368395375</v>
      </c>
      <c r="C27">
        <v>2246</v>
      </c>
      <c r="D27">
        <v>254</v>
      </c>
      <c r="E27" s="1">
        <v>0.89839999999999998</v>
      </c>
      <c r="F27" s="1">
        <v>0.1016</v>
      </c>
      <c r="G27">
        <v>49</v>
      </c>
      <c r="H27">
        <v>1</v>
      </c>
      <c r="I27">
        <v>2246</v>
      </c>
      <c r="J27" s="23">
        <v>1</v>
      </c>
      <c r="K27">
        <v>1</v>
      </c>
      <c r="L27">
        <v>2181</v>
      </c>
      <c r="M27">
        <v>2181</v>
      </c>
      <c r="N27">
        <v>2181</v>
      </c>
      <c r="O27">
        <v>2181</v>
      </c>
      <c r="P27" s="1">
        <v>0.97106000000000003</v>
      </c>
    </row>
    <row r="28" spans="1:16" x14ac:dyDescent="0.25">
      <c r="A28" t="s">
        <v>16</v>
      </c>
      <c r="B28" s="19">
        <v>171868072</v>
      </c>
      <c r="C28">
        <v>2250</v>
      </c>
      <c r="D28">
        <v>250</v>
      </c>
      <c r="E28" s="1">
        <v>0.9</v>
      </c>
      <c r="F28" s="1">
        <v>0.1</v>
      </c>
      <c r="G28">
        <v>49</v>
      </c>
      <c r="H28">
        <v>1</v>
      </c>
      <c r="I28">
        <v>2250</v>
      </c>
      <c r="J28" s="23">
        <v>1</v>
      </c>
      <c r="K28">
        <v>1</v>
      </c>
      <c r="L28">
        <v>2173</v>
      </c>
      <c r="M28">
        <v>2173</v>
      </c>
      <c r="N28">
        <v>2173</v>
      </c>
      <c r="O28">
        <v>2173</v>
      </c>
      <c r="P28" s="1">
        <v>0.96577800000000003</v>
      </c>
    </row>
    <row r="29" spans="1:16" x14ac:dyDescent="0.25">
      <c r="A29" t="s">
        <v>16</v>
      </c>
      <c r="B29" s="19">
        <v>826120546</v>
      </c>
      <c r="C29">
        <v>2236</v>
      </c>
      <c r="D29">
        <v>264</v>
      </c>
      <c r="E29" s="1">
        <v>0.89439999999999997</v>
      </c>
      <c r="F29" s="1">
        <v>0.1056</v>
      </c>
      <c r="G29">
        <v>49</v>
      </c>
      <c r="H29">
        <v>1</v>
      </c>
      <c r="I29">
        <v>2236</v>
      </c>
      <c r="J29" s="23">
        <v>1</v>
      </c>
      <c r="K29">
        <v>1</v>
      </c>
      <c r="L29">
        <v>2175</v>
      </c>
      <c r="M29">
        <v>2175</v>
      </c>
      <c r="N29">
        <v>2175</v>
      </c>
      <c r="O29">
        <v>2175</v>
      </c>
      <c r="P29" s="1">
        <v>0.972719</v>
      </c>
    </row>
    <row r="30" spans="1:16" x14ac:dyDescent="0.25">
      <c r="A30" t="s">
        <v>16</v>
      </c>
      <c r="B30" s="19">
        <v>1366183063</v>
      </c>
      <c r="C30">
        <v>2212</v>
      </c>
      <c r="D30">
        <v>288</v>
      </c>
      <c r="E30" s="1">
        <v>0.88480000000000003</v>
      </c>
      <c r="F30" s="1">
        <v>0.1152</v>
      </c>
      <c r="G30">
        <v>51</v>
      </c>
      <c r="H30">
        <v>1</v>
      </c>
      <c r="I30">
        <v>2212</v>
      </c>
      <c r="J30" s="23">
        <v>1</v>
      </c>
      <c r="K30">
        <v>1</v>
      </c>
      <c r="L30">
        <v>2144</v>
      </c>
      <c r="M30">
        <v>2144</v>
      </c>
      <c r="N30">
        <v>2144</v>
      </c>
      <c r="O30">
        <v>2144</v>
      </c>
      <c r="P30" s="1">
        <v>0.96925899999999998</v>
      </c>
    </row>
    <row r="31" spans="1:16" x14ac:dyDescent="0.25">
      <c r="A31" t="s">
        <v>16</v>
      </c>
      <c r="B31" s="19">
        <v>1923818522</v>
      </c>
      <c r="C31">
        <v>2160</v>
      </c>
      <c r="D31">
        <v>340</v>
      </c>
      <c r="E31" s="1">
        <v>0.86399999999999999</v>
      </c>
      <c r="F31" s="1">
        <v>0.13600000000000001</v>
      </c>
      <c r="G31">
        <v>49</v>
      </c>
      <c r="H31">
        <v>1</v>
      </c>
      <c r="I31">
        <v>2160</v>
      </c>
      <c r="J31" s="23">
        <v>1</v>
      </c>
      <c r="K31">
        <v>1</v>
      </c>
      <c r="L31">
        <v>2076</v>
      </c>
      <c r="M31">
        <v>2076</v>
      </c>
      <c r="N31">
        <v>2076</v>
      </c>
      <c r="O31">
        <v>2076</v>
      </c>
      <c r="P31" s="1">
        <v>0.96111100000000005</v>
      </c>
    </row>
    <row r="32" spans="1:16" x14ac:dyDescent="0.25">
      <c r="A32" t="s">
        <v>16</v>
      </c>
      <c r="B32" s="19">
        <v>992599141</v>
      </c>
      <c r="C32">
        <v>2239</v>
      </c>
      <c r="D32">
        <v>261</v>
      </c>
      <c r="E32" s="1">
        <v>0.89559999999999995</v>
      </c>
      <c r="F32" s="1">
        <v>0.10440000000000001</v>
      </c>
      <c r="G32">
        <v>49</v>
      </c>
      <c r="H32">
        <v>1</v>
      </c>
      <c r="I32">
        <v>2239</v>
      </c>
      <c r="J32" s="23">
        <v>1</v>
      </c>
      <c r="K32">
        <v>1</v>
      </c>
      <c r="L32">
        <v>2173</v>
      </c>
      <c r="M32">
        <v>2173</v>
      </c>
      <c r="N32">
        <v>2173</v>
      </c>
      <c r="O32">
        <v>2173</v>
      </c>
      <c r="P32" s="1">
        <v>0.97052300000000002</v>
      </c>
    </row>
    <row r="33" spans="1:16" x14ac:dyDescent="0.25">
      <c r="A33" t="s">
        <v>16</v>
      </c>
      <c r="B33" s="19">
        <v>305516772</v>
      </c>
      <c r="C33">
        <v>2266</v>
      </c>
      <c r="D33">
        <v>234</v>
      </c>
      <c r="E33" s="1">
        <v>0.90639999999999998</v>
      </c>
      <c r="F33" s="1">
        <v>9.3600000000000003E-2</v>
      </c>
      <c r="G33">
        <v>49</v>
      </c>
      <c r="H33">
        <v>1</v>
      </c>
      <c r="I33">
        <v>2266</v>
      </c>
      <c r="J33" s="23">
        <v>1</v>
      </c>
      <c r="K33">
        <v>1</v>
      </c>
      <c r="L33">
        <v>2194</v>
      </c>
      <c r="M33">
        <v>2194</v>
      </c>
      <c r="N33">
        <v>2194</v>
      </c>
      <c r="O33">
        <v>2194</v>
      </c>
      <c r="P33" s="1">
        <v>0.96822600000000003</v>
      </c>
    </row>
    <row r="34" spans="1:16" x14ac:dyDescent="0.25">
      <c r="A34" t="s">
        <v>16</v>
      </c>
      <c r="B34" s="19">
        <v>1154460931</v>
      </c>
      <c r="C34">
        <v>2260</v>
      </c>
      <c r="D34">
        <v>240</v>
      </c>
      <c r="E34" s="1">
        <v>0.90400000000000003</v>
      </c>
      <c r="F34" s="1">
        <v>9.6000000000000002E-2</v>
      </c>
      <c r="G34">
        <v>49</v>
      </c>
      <c r="H34">
        <v>1</v>
      </c>
      <c r="I34">
        <v>2260</v>
      </c>
      <c r="J34" s="23">
        <v>1</v>
      </c>
      <c r="K34">
        <v>1</v>
      </c>
      <c r="L34">
        <v>2200</v>
      </c>
      <c r="M34">
        <v>2200</v>
      </c>
      <c r="N34">
        <v>2200</v>
      </c>
      <c r="O34">
        <v>2200</v>
      </c>
      <c r="P34" s="1">
        <v>0.97345099999999996</v>
      </c>
    </row>
    <row r="35" spans="1:16" x14ac:dyDescent="0.25">
      <c r="A35" t="s">
        <v>16</v>
      </c>
      <c r="B35" s="19">
        <v>206289442</v>
      </c>
      <c r="C35">
        <v>2197</v>
      </c>
      <c r="D35">
        <v>303</v>
      </c>
      <c r="E35" s="1">
        <v>0.87880000000000003</v>
      </c>
      <c r="F35" s="1">
        <v>0.1212</v>
      </c>
      <c r="G35">
        <v>49</v>
      </c>
      <c r="H35">
        <v>1</v>
      </c>
      <c r="I35">
        <v>2197</v>
      </c>
      <c r="J35" s="23">
        <v>1</v>
      </c>
      <c r="K35">
        <v>1</v>
      </c>
      <c r="L35">
        <v>2117</v>
      </c>
      <c r="M35">
        <v>2117</v>
      </c>
      <c r="N35">
        <v>2117</v>
      </c>
      <c r="O35">
        <v>2117</v>
      </c>
      <c r="P35" s="1">
        <v>0.96358699999999997</v>
      </c>
    </row>
    <row r="36" spans="1:16" x14ac:dyDescent="0.25">
      <c r="A36" t="s">
        <v>16</v>
      </c>
      <c r="B36" s="19">
        <v>135595224</v>
      </c>
      <c r="C36">
        <v>2141</v>
      </c>
      <c r="D36">
        <v>359</v>
      </c>
      <c r="E36" s="1">
        <v>0.85640000000000005</v>
      </c>
      <c r="F36" s="1">
        <v>0.14360000000000001</v>
      </c>
      <c r="G36">
        <v>53</v>
      </c>
      <c r="H36">
        <v>1</v>
      </c>
      <c r="I36">
        <v>2141</v>
      </c>
      <c r="J36" s="23">
        <v>1</v>
      </c>
      <c r="K36">
        <v>1</v>
      </c>
      <c r="L36">
        <v>2065</v>
      </c>
      <c r="M36">
        <v>2065</v>
      </c>
      <c r="N36">
        <v>2065</v>
      </c>
      <c r="O36">
        <v>2065</v>
      </c>
      <c r="P36" s="1">
        <v>0.964503</v>
      </c>
    </row>
    <row r="37" spans="1:16" x14ac:dyDescent="0.25">
      <c r="A37" t="s">
        <v>16</v>
      </c>
      <c r="B37" s="19">
        <v>1743261211</v>
      </c>
      <c r="C37">
        <v>2192</v>
      </c>
      <c r="D37">
        <v>308</v>
      </c>
      <c r="E37" s="1">
        <v>0.87680000000000002</v>
      </c>
      <c r="F37" s="1">
        <v>0.1232</v>
      </c>
      <c r="G37">
        <v>51</v>
      </c>
      <c r="H37">
        <v>1</v>
      </c>
      <c r="I37">
        <v>2192</v>
      </c>
      <c r="J37" s="23">
        <v>1</v>
      </c>
      <c r="K37">
        <v>1</v>
      </c>
      <c r="L37">
        <v>2131</v>
      </c>
      <c r="M37">
        <v>2131</v>
      </c>
      <c r="N37">
        <v>2131</v>
      </c>
      <c r="O37">
        <v>2131</v>
      </c>
      <c r="P37" s="1">
        <v>0.97217200000000004</v>
      </c>
    </row>
    <row r="38" spans="1:16" x14ac:dyDescent="0.25">
      <c r="A38" t="s">
        <v>16</v>
      </c>
      <c r="B38" s="19">
        <v>1282254856</v>
      </c>
      <c r="C38">
        <v>2180</v>
      </c>
      <c r="D38">
        <v>320</v>
      </c>
      <c r="E38" s="1">
        <v>0.872</v>
      </c>
      <c r="F38" s="1">
        <v>0.128</v>
      </c>
      <c r="G38">
        <v>49</v>
      </c>
      <c r="H38">
        <v>1</v>
      </c>
      <c r="I38">
        <v>2180</v>
      </c>
      <c r="J38" s="23">
        <v>1</v>
      </c>
      <c r="K38">
        <v>1</v>
      </c>
      <c r="L38">
        <v>2127</v>
      </c>
      <c r="M38">
        <v>2127</v>
      </c>
      <c r="N38">
        <v>2127</v>
      </c>
      <c r="O38">
        <v>2127</v>
      </c>
      <c r="P38" s="1">
        <v>0.975688</v>
      </c>
    </row>
    <row r="39" spans="1:16" x14ac:dyDescent="0.25">
      <c r="A39" t="s">
        <v>16</v>
      </c>
      <c r="B39" s="19">
        <v>152177163</v>
      </c>
      <c r="C39">
        <v>2035</v>
      </c>
      <c r="D39">
        <v>465</v>
      </c>
      <c r="E39" s="1">
        <v>0.81399999999999995</v>
      </c>
      <c r="F39" s="1">
        <v>0.186</v>
      </c>
      <c r="G39">
        <v>50</v>
      </c>
      <c r="H39">
        <v>1</v>
      </c>
      <c r="I39">
        <v>2035</v>
      </c>
      <c r="J39" s="23">
        <v>1</v>
      </c>
      <c r="K39">
        <v>1</v>
      </c>
      <c r="L39">
        <v>1940</v>
      </c>
      <c r="M39">
        <v>1940</v>
      </c>
      <c r="N39">
        <v>1940</v>
      </c>
      <c r="O39">
        <v>1940</v>
      </c>
      <c r="P39" s="1">
        <v>0.95331699999999997</v>
      </c>
    </row>
    <row r="40" spans="1:16" x14ac:dyDescent="0.25">
      <c r="A40" t="s">
        <v>16</v>
      </c>
      <c r="B40" s="19">
        <v>408015901</v>
      </c>
      <c r="C40">
        <v>2188</v>
      </c>
      <c r="D40">
        <v>312</v>
      </c>
      <c r="E40" s="1">
        <v>0.87519999999999998</v>
      </c>
      <c r="F40" s="1">
        <v>0.12479999999999999</v>
      </c>
      <c r="G40">
        <v>49</v>
      </c>
      <c r="H40">
        <v>1</v>
      </c>
      <c r="I40">
        <v>2188</v>
      </c>
      <c r="J40" s="23">
        <v>1</v>
      </c>
      <c r="K40">
        <v>1</v>
      </c>
      <c r="L40">
        <v>2120</v>
      </c>
      <c r="M40">
        <v>2120</v>
      </c>
      <c r="N40">
        <v>2120</v>
      </c>
      <c r="O40">
        <v>2120</v>
      </c>
      <c r="P40" s="1">
        <v>0.96892100000000003</v>
      </c>
    </row>
    <row r="41" spans="1:16" x14ac:dyDescent="0.25">
      <c r="A41" t="s">
        <v>16</v>
      </c>
      <c r="B41" s="19">
        <v>252242997</v>
      </c>
      <c r="C41">
        <v>2198</v>
      </c>
      <c r="D41">
        <v>302</v>
      </c>
      <c r="E41" s="1">
        <v>0.87919999999999998</v>
      </c>
      <c r="F41" s="1">
        <v>0.1208</v>
      </c>
      <c r="G41">
        <v>49</v>
      </c>
      <c r="H41">
        <v>1</v>
      </c>
      <c r="I41">
        <v>2198</v>
      </c>
      <c r="J41" s="23">
        <v>1</v>
      </c>
      <c r="K41">
        <v>1</v>
      </c>
      <c r="L41">
        <v>2136</v>
      </c>
      <c r="M41">
        <v>2136</v>
      </c>
      <c r="N41">
        <v>2136</v>
      </c>
      <c r="O41">
        <v>2136</v>
      </c>
      <c r="P41" s="1">
        <v>0.97179300000000002</v>
      </c>
    </row>
    <row r="42" spans="1:16" x14ac:dyDescent="0.25">
      <c r="A42" t="s">
        <v>16</v>
      </c>
      <c r="B42" s="19">
        <v>355263054</v>
      </c>
      <c r="C42">
        <v>2258</v>
      </c>
      <c r="D42">
        <v>242</v>
      </c>
      <c r="E42" s="1">
        <v>0.9032</v>
      </c>
      <c r="F42" s="1">
        <v>9.6799999999999997E-2</v>
      </c>
      <c r="G42">
        <v>49</v>
      </c>
      <c r="H42">
        <v>1</v>
      </c>
      <c r="I42">
        <v>2258</v>
      </c>
      <c r="J42" s="23">
        <v>1</v>
      </c>
      <c r="K42">
        <v>1</v>
      </c>
      <c r="L42">
        <v>2185</v>
      </c>
      <c r="M42">
        <v>2185</v>
      </c>
      <c r="N42">
        <v>2185</v>
      </c>
      <c r="O42">
        <v>2185</v>
      </c>
      <c r="P42" s="1">
        <v>0.96767099999999995</v>
      </c>
    </row>
    <row r="43" spans="1:16" x14ac:dyDescent="0.25">
      <c r="A43" t="s">
        <v>16</v>
      </c>
      <c r="B43" s="19">
        <v>1189575801</v>
      </c>
      <c r="C43">
        <v>2035</v>
      </c>
      <c r="D43">
        <v>465</v>
      </c>
      <c r="E43" s="1">
        <v>0.81399999999999995</v>
      </c>
      <c r="F43" s="1">
        <v>0.186</v>
      </c>
      <c r="G43">
        <v>49</v>
      </c>
      <c r="H43">
        <v>3</v>
      </c>
      <c r="I43">
        <v>1949</v>
      </c>
      <c r="J43" s="23">
        <v>0.95774000000000004</v>
      </c>
      <c r="K43">
        <v>3</v>
      </c>
      <c r="L43">
        <v>649</v>
      </c>
      <c r="M43">
        <v>1878</v>
      </c>
      <c r="N43">
        <v>3</v>
      </c>
      <c r="O43">
        <v>1947</v>
      </c>
      <c r="P43" s="1">
        <v>0.95675699999999997</v>
      </c>
    </row>
    <row r="44" spans="1:16" x14ac:dyDescent="0.25">
      <c r="A44" t="s">
        <v>16</v>
      </c>
      <c r="B44" s="19">
        <v>1232763634</v>
      </c>
      <c r="C44">
        <v>2197</v>
      </c>
      <c r="D44">
        <v>303</v>
      </c>
      <c r="E44" s="1">
        <v>0.87880000000000003</v>
      </c>
      <c r="F44" s="1">
        <v>0.1212</v>
      </c>
      <c r="G44">
        <v>49</v>
      </c>
      <c r="H44">
        <v>1</v>
      </c>
      <c r="I44">
        <v>2197</v>
      </c>
      <c r="J44" s="23">
        <v>1</v>
      </c>
      <c r="K44">
        <v>1</v>
      </c>
      <c r="L44">
        <v>2129</v>
      </c>
      <c r="M44">
        <v>2129</v>
      </c>
      <c r="N44">
        <v>2129</v>
      </c>
      <c r="O44">
        <v>2129</v>
      </c>
      <c r="P44" s="1">
        <v>0.96904900000000005</v>
      </c>
    </row>
    <row r="45" spans="1:16" x14ac:dyDescent="0.25">
      <c r="A45" t="s">
        <v>16</v>
      </c>
      <c r="B45" s="19">
        <v>1436677058</v>
      </c>
      <c r="C45">
        <v>2217</v>
      </c>
      <c r="D45">
        <v>283</v>
      </c>
      <c r="E45" s="1">
        <v>0.88680000000000003</v>
      </c>
      <c r="F45" s="1">
        <v>0.1132</v>
      </c>
      <c r="G45">
        <v>49</v>
      </c>
      <c r="H45">
        <v>1</v>
      </c>
      <c r="I45">
        <v>2217</v>
      </c>
      <c r="J45" s="23">
        <v>1</v>
      </c>
      <c r="K45">
        <v>1</v>
      </c>
      <c r="L45">
        <v>2144</v>
      </c>
      <c r="M45">
        <v>2144</v>
      </c>
      <c r="N45">
        <v>2144</v>
      </c>
      <c r="O45">
        <v>2144</v>
      </c>
      <c r="P45" s="1">
        <v>0.96707299999999996</v>
      </c>
    </row>
    <row r="46" spans="1:16" x14ac:dyDescent="0.25">
      <c r="A46" t="s">
        <v>16</v>
      </c>
      <c r="B46" s="19">
        <v>1292524776</v>
      </c>
      <c r="C46">
        <v>2199</v>
      </c>
      <c r="D46">
        <v>301</v>
      </c>
      <c r="E46" s="1">
        <v>0.87960000000000005</v>
      </c>
      <c r="F46" s="1">
        <v>0.12039999999999999</v>
      </c>
      <c r="G46">
        <v>50</v>
      </c>
      <c r="H46">
        <v>1</v>
      </c>
      <c r="I46">
        <v>2199</v>
      </c>
      <c r="J46" s="23">
        <v>1</v>
      </c>
      <c r="K46">
        <v>1</v>
      </c>
      <c r="L46">
        <v>2132</v>
      </c>
      <c r="M46">
        <v>2132</v>
      </c>
      <c r="N46">
        <v>2132</v>
      </c>
      <c r="O46">
        <v>2132</v>
      </c>
      <c r="P46" s="1">
        <v>0.96953199999999995</v>
      </c>
    </row>
    <row r="47" spans="1:16" x14ac:dyDescent="0.25">
      <c r="A47" t="s">
        <v>16</v>
      </c>
      <c r="B47" s="19">
        <v>1602154057</v>
      </c>
      <c r="C47">
        <v>2277</v>
      </c>
      <c r="D47">
        <v>223</v>
      </c>
      <c r="E47" s="1">
        <v>0.91080000000000005</v>
      </c>
      <c r="F47" s="1">
        <v>8.9200000000000002E-2</v>
      </c>
      <c r="G47">
        <v>49</v>
      </c>
      <c r="H47">
        <v>1</v>
      </c>
      <c r="I47">
        <v>2277</v>
      </c>
      <c r="J47" s="23">
        <v>1</v>
      </c>
      <c r="K47">
        <v>1</v>
      </c>
      <c r="L47">
        <v>2225</v>
      </c>
      <c r="M47">
        <v>2225</v>
      </c>
      <c r="N47">
        <v>2225</v>
      </c>
      <c r="O47">
        <v>2225</v>
      </c>
      <c r="P47" s="1">
        <v>0.977163</v>
      </c>
    </row>
    <row r="48" spans="1:16" x14ac:dyDescent="0.25">
      <c r="A48" t="s">
        <v>16</v>
      </c>
      <c r="B48" s="19">
        <v>699625070</v>
      </c>
      <c r="C48">
        <v>2161</v>
      </c>
      <c r="D48">
        <v>339</v>
      </c>
      <c r="E48" s="1">
        <v>0.86439999999999995</v>
      </c>
      <c r="F48" s="1">
        <v>0.1356</v>
      </c>
      <c r="G48">
        <v>49</v>
      </c>
      <c r="H48">
        <v>1</v>
      </c>
      <c r="I48">
        <v>2161</v>
      </c>
      <c r="J48" s="23">
        <v>1</v>
      </c>
      <c r="K48">
        <v>1</v>
      </c>
      <c r="L48">
        <v>2088</v>
      </c>
      <c r="M48">
        <v>2088</v>
      </c>
      <c r="N48">
        <v>2088</v>
      </c>
      <c r="O48">
        <v>2088</v>
      </c>
      <c r="P48" s="1">
        <v>0.96621900000000005</v>
      </c>
    </row>
    <row r="49" spans="1:16" x14ac:dyDescent="0.25">
      <c r="A49" t="s">
        <v>16</v>
      </c>
      <c r="B49" s="19">
        <v>906146307</v>
      </c>
      <c r="C49">
        <v>2247</v>
      </c>
      <c r="D49">
        <v>253</v>
      </c>
      <c r="E49" s="1">
        <v>0.89880000000000004</v>
      </c>
      <c r="F49" s="1">
        <v>0.1012</v>
      </c>
      <c r="G49">
        <v>50</v>
      </c>
      <c r="H49">
        <v>2</v>
      </c>
      <c r="I49">
        <v>2206</v>
      </c>
      <c r="J49" s="23">
        <v>0.98175299999999999</v>
      </c>
      <c r="K49">
        <v>2</v>
      </c>
      <c r="L49">
        <v>1091.5</v>
      </c>
      <c r="M49">
        <v>2150</v>
      </c>
      <c r="N49">
        <v>33</v>
      </c>
      <c r="O49">
        <v>2183</v>
      </c>
      <c r="P49" s="1">
        <v>0.97151799999999999</v>
      </c>
    </row>
    <row r="50" spans="1:16" x14ac:dyDescent="0.25">
      <c r="A50" t="s">
        <v>16</v>
      </c>
      <c r="B50" s="19">
        <v>1956511262</v>
      </c>
      <c r="C50">
        <v>2218</v>
      </c>
      <c r="D50">
        <v>282</v>
      </c>
      <c r="E50" s="1">
        <v>0.88719999999999999</v>
      </c>
      <c r="F50" s="1">
        <v>0.1128</v>
      </c>
      <c r="G50">
        <v>49</v>
      </c>
      <c r="H50">
        <v>1</v>
      </c>
      <c r="I50">
        <v>2218</v>
      </c>
      <c r="J50" s="23">
        <v>1</v>
      </c>
      <c r="K50">
        <v>1</v>
      </c>
      <c r="L50">
        <v>2153</v>
      </c>
      <c r="M50">
        <v>2153</v>
      </c>
      <c r="N50">
        <v>2153</v>
      </c>
      <c r="O50">
        <v>2153</v>
      </c>
      <c r="P50" s="1">
        <v>0.97069399999999995</v>
      </c>
    </row>
    <row r="51" spans="1:16" x14ac:dyDescent="0.25">
      <c r="A51" t="s">
        <v>16</v>
      </c>
      <c r="B51" s="19">
        <v>443513271</v>
      </c>
      <c r="C51">
        <v>2043</v>
      </c>
      <c r="D51">
        <v>457</v>
      </c>
      <c r="E51" s="1">
        <v>0.81720000000000004</v>
      </c>
      <c r="F51" s="1">
        <v>0.18279999999999999</v>
      </c>
      <c r="G51">
        <v>54</v>
      </c>
      <c r="H51">
        <v>1</v>
      </c>
      <c r="I51">
        <v>2043</v>
      </c>
      <c r="J51" s="23">
        <v>1</v>
      </c>
      <c r="K51">
        <v>2</v>
      </c>
      <c r="L51">
        <v>979.5</v>
      </c>
      <c r="M51">
        <v>1955</v>
      </c>
      <c r="N51">
        <v>4</v>
      </c>
      <c r="O51">
        <v>1959</v>
      </c>
      <c r="P51" s="1">
        <v>0.95888399999999996</v>
      </c>
    </row>
    <row r="52" spans="1:16" x14ac:dyDescent="0.25">
      <c r="A52" t="s">
        <v>26</v>
      </c>
      <c r="B52"/>
      <c r="C52">
        <f>SUBTOTAL(101,CA8_wall50_it6_neigh5[floors])</f>
        <v>2197.66</v>
      </c>
      <c r="D52">
        <f>SUBTOTAL(101,CA8_wall50_it6_neigh5[walls])</f>
        <v>302.33999999999997</v>
      </c>
      <c r="E52" s="2">
        <f>SUBTOTAL(101,CA8_wall50_it6_neigh5[floor_percent])</f>
        <v>0.87906400000000018</v>
      </c>
      <c r="F52" s="2">
        <f>SUBTOTAL(101,CA8_wall50_it6_neigh5[wall_percent])</f>
        <v>0.120936</v>
      </c>
      <c r="G52">
        <f>SUBTOTAL(101,CA8_wall50_it6_neigh5[longest_shortest_path])</f>
        <v>49.9</v>
      </c>
      <c r="H52">
        <f>SUBTOTAL(101,CA8_wall50_it6_neigh5[component_count])</f>
        <v>1.08</v>
      </c>
      <c r="I52">
        <f>SUBTOTAL(101,CA8_wall50_it6_neigh5[max_component_size])</f>
        <v>2194.7600000000002</v>
      </c>
      <c r="J52" s="21">
        <f>SUBTOTAL(101,CA8_wall50_it6_neigh5[connectivity_ratio])</f>
        <v>0.9986310599999999</v>
      </c>
      <c r="K52">
        <f>SUBTOTAL(101,CA8_wall50_it6_neigh5[room_count])</f>
        <v>1.1000000000000001</v>
      </c>
      <c r="L52">
        <f>SUBTOTAL(101,CA8_wall50_it6_neigh5[avg_room_size])</f>
        <v>2038.38</v>
      </c>
      <c r="M52">
        <f>SUBTOTAL(101,CA8_wall50_it6_neigh5[max_room_size])</f>
        <v>2125.42</v>
      </c>
      <c r="N52">
        <f>SUBTOTAL(101,CA8_wall50_it6_neigh5[min_room_size])</f>
        <v>1963</v>
      </c>
      <c r="O52">
        <f>SUBTOTAL(101,CA8_wall50_it6_neigh5[room_tiles])</f>
        <v>2127.7600000000002</v>
      </c>
      <c r="P52" s="2">
        <f>SUBTOTAL(101,CA8_wall50_it6_neigh5[room_ratio])</f>
        <v>0.96808178000000022</v>
      </c>
    </row>
    <row r="53" spans="1:16" x14ac:dyDescent="0.25">
      <c r="A53" s="22" t="s">
        <v>36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9B59-CB15-4D9C-BAF4-A4CFF3C53A57}">
  <dimension ref="A1:P53"/>
  <sheetViews>
    <sheetView topLeftCell="A19" workbookViewId="0">
      <selection activeCell="A53" sqref="A53:F53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1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1203763791</v>
      </c>
      <c r="C2">
        <v>2111</v>
      </c>
      <c r="D2">
        <v>389</v>
      </c>
      <c r="E2" s="1">
        <v>0.84440000000000004</v>
      </c>
      <c r="F2" s="1">
        <v>0.15559999999999999</v>
      </c>
      <c r="G2">
        <v>49</v>
      </c>
      <c r="H2">
        <v>1</v>
      </c>
      <c r="I2">
        <v>2111</v>
      </c>
      <c r="J2" s="20">
        <v>1</v>
      </c>
      <c r="K2">
        <v>1</v>
      </c>
      <c r="L2">
        <v>2024</v>
      </c>
      <c r="M2">
        <v>2024</v>
      </c>
      <c r="N2">
        <v>2024</v>
      </c>
      <c r="O2">
        <v>2024</v>
      </c>
      <c r="P2" s="1">
        <v>0.95878699999999994</v>
      </c>
    </row>
    <row r="3" spans="1:16" x14ac:dyDescent="0.25">
      <c r="A3" t="s">
        <v>16</v>
      </c>
      <c r="B3" s="19">
        <v>855996265</v>
      </c>
      <c r="C3">
        <v>2103</v>
      </c>
      <c r="D3">
        <v>397</v>
      </c>
      <c r="E3" s="1">
        <v>0.84119999999999995</v>
      </c>
      <c r="F3" s="1">
        <v>0.1588</v>
      </c>
      <c r="G3">
        <v>49</v>
      </c>
      <c r="H3">
        <v>1</v>
      </c>
      <c r="I3">
        <v>2103</v>
      </c>
      <c r="J3" s="20">
        <v>1</v>
      </c>
      <c r="K3">
        <v>1</v>
      </c>
      <c r="L3">
        <v>2020</v>
      </c>
      <c r="M3">
        <v>2020</v>
      </c>
      <c r="N3">
        <v>2020</v>
      </c>
      <c r="O3">
        <v>2020</v>
      </c>
      <c r="P3" s="1">
        <v>0.96053299999999997</v>
      </c>
    </row>
    <row r="4" spans="1:16" x14ac:dyDescent="0.25">
      <c r="A4" t="s">
        <v>16</v>
      </c>
      <c r="B4" s="19">
        <v>1722280994</v>
      </c>
      <c r="C4">
        <v>2197</v>
      </c>
      <c r="D4">
        <v>303</v>
      </c>
      <c r="E4" s="1">
        <v>0.87880000000000003</v>
      </c>
      <c r="F4" s="1">
        <v>0.1212</v>
      </c>
      <c r="G4">
        <v>52</v>
      </c>
      <c r="H4">
        <v>1</v>
      </c>
      <c r="I4">
        <v>2197</v>
      </c>
      <c r="J4" s="20">
        <v>1</v>
      </c>
      <c r="K4">
        <v>1</v>
      </c>
      <c r="L4">
        <v>2120</v>
      </c>
      <c r="M4">
        <v>2120</v>
      </c>
      <c r="N4">
        <v>2120</v>
      </c>
      <c r="O4">
        <v>2120</v>
      </c>
      <c r="P4" s="1">
        <v>0.96495200000000003</v>
      </c>
    </row>
    <row r="5" spans="1:16" x14ac:dyDescent="0.25">
      <c r="A5" t="s">
        <v>16</v>
      </c>
      <c r="B5" s="19">
        <v>2009838884</v>
      </c>
      <c r="C5">
        <v>2233</v>
      </c>
      <c r="D5">
        <v>267</v>
      </c>
      <c r="E5" s="1">
        <v>0.89319999999999999</v>
      </c>
      <c r="F5" s="1">
        <v>0.10680000000000001</v>
      </c>
      <c r="G5">
        <v>49</v>
      </c>
      <c r="H5">
        <v>2</v>
      </c>
      <c r="I5">
        <v>2225</v>
      </c>
      <c r="J5" s="20">
        <v>0.996417</v>
      </c>
      <c r="K5">
        <v>2</v>
      </c>
      <c r="L5">
        <v>1080.5</v>
      </c>
      <c r="M5">
        <v>2157</v>
      </c>
      <c r="N5">
        <v>4</v>
      </c>
      <c r="O5">
        <v>2161</v>
      </c>
      <c r="P5" s="1">
        <v>0.96775599999999995</v>
      </c>
    </row>
    <row r="6" spans="1:16" x14ac:dyDescent="0.25">
      <c r="A6" t="s">
        <v>16</v>
      </c>
      <c r="B6" s="19">
        <v>1857516159</v>
      </c>
      <c r="C6">
        <v>2059</v>
      </c>
      <c r="D6">
        <v>441</v>
      </c>
      <c r="E6" s="1">
        <v>0.8236</v>
      </c>
      <c r="F6" s="1">
        <v>0.1764</v>
      </c>
      <c r="G6">
        <v>56</v>
      </c>
      <c r="H6">
        <v>1</v>
      </c>
      <c r="I6">
        <v>2059</v>
      </c>
      <c r="J6" s="20">
        <v>1</v>
      </c>
      <c r="K6">
        <v>1</v>
      </c>
      <c r="L6">
        <v>1959</v>
      </c>
      <c r="M6">
        <v>1959</v>
      </c>
      <c r="N6">
        <v>1959</v>
      </c>
      <c r="O6">
        <v>1959</v>
      </c>
      <c r="P6" s="1">
        <v>0.95143299999999997</v>
      </c>
    </row>
    <row r="7" spans="1:16" x14ac:dyDescent="0.25">
      <c r="A7" t="s">
        <v>16</v>
      </c>
      <c r="B7" s="19">
        <v>1996754910</v>
      </c>
      <c r="C7">
        <v>2027</v>
      </c>
      <c r="D7">
        <v>473</v>
      </c>
      <c r="E7" s="1">
        <v>0.81079999999999997</v>
      </c>
      <c r="F7" s="1">
        <v>0.18920000000000001</v>
      </c>
      <c r="G7">
        <v>52</v>
      </c>
      <c r="H7">
        <v>1</v>
      </c>
      <c r="I7">
        <v>2027</v>
      </c>
      <c r="J7" s="20">
        <v>1</v>
      </c>
      <c r="K7">
        <v>1</v>
      </c>
      <c r="L7">
        <v>1941</v>
      </c>
      <c r="M7">
        <v>1941</v>
      </c>
      <c r="N7">
        <v>1941</v>
      </c>
      <c r="O7">
        <v>1941</v>
      </c>
      <c r="P7" s="1">
        <v>0.95757300000000001</v>
      </c>
    </row>
    <row r="8" spans="1:16" x14ac:dyDescent="0.25">
      <c r="A8" t="s">
        <v>16</v>
      </c>
      <c r="B8" s="19">
        <v>1425306278</v>
      </c>
      <c r="C8">
        <v>2091</v>
      </c>
      <c r="D8">
        <v>409</v>
      </c>
      <c r="E8" s="1">
        <v>0.83640000000000003</v>
      </c>
      <c r="F8" s="1">
        <v>0.1636</v>
      </c>
      <c r="G8">
        <v>52</v>
      </c>
      <c r="H8">
        <v>1</v>
      </c>
      <c r="I8">
        <v>2091</v>
      </c>
      <c r="J8" s="20">
        <v>1</v>
      </c>
      <c r="K8">
        <v>1</v>
      </c>
      <c r="L8">
        <v>2002</v>
      </c>
      <c r="M8">
        <v>2002</v>
      </c>
      <c r="N8">
        <v>2002</v>
      </c>
      <c r="O8">
        <v>2002</v>
      </c>
      <c r="P8" s="1">
        <v>0.95743699999999998</v>
      </c>
    </row>
    <row r="9" spans="1:16" x14ac:dyDescent="0.25">
      <c r="A9" t="s">
        <v>16</v>
      </c>
      <c r="B9" s="19">
        <v>1574600525</v>
      </c>
      <c r="C9">
        <v>2052</v>
      </c>
      <c r="D9">
        <v>448</v>
      </c>
      <c r="E9" s="1">
        <v>0.82079999999999997</v>
      </c>
      <c r="F9" s="1">
        <v>0.1792</v>
      </c>
      <c r="G9">
        <v>50</v>
      </c>
      <c r="H9">
        <v>1</v>
      </c>
      <c r="I9">
        <v>2052</v>
      </c>
      <c r="J9" s="20">
        <v>1</v>
      </c>
      <c r="K9">
        <v>1</v>
      </c>
      <c r="L9">
        <v>1951</v>
      </c>
      <c r="M9">
        <v>1951</v>
      </c>
      <c r="N9">
        <v>1951</v>
      </c>
      <c r="O9">
        <v>1951</v>
      </c>
      <c r="P9" s="1">
        <v>0.95077999999999996</v>
      </c>
    </row>
    <row r="10" spans="1:16" x14ac:dyDescent="0.25">
      <c r="A10" t="s">
        <v>16</v>
      </c>
      <c r="B10" s="19">
        <v>757410803</v>
      </c>
      <c r="C10">
        <v>2046</v>
      </c>
      <c r="D10">
        <v>454</v>
      </c>
      <c r="E10" s="1">
        <v>0.81840000000000002</v>
      </c>
      <c r="F10" s="1">
        <v>0.18160000000000001</v>
      </c>
      <c r="G10">
        <v>49</v>
      </c>
      <c r="H10">
        <v>1</v>
      </c>
      <c r="I10">
        <v>2046</v>
      </c>
      <c r="J10" s="20">
        <v>1</v>
      </c>
      <c r="K10">
        <v>1</v>
      </c>
      <c r="L10">
        <v>1951</v>
      </c>
      <c r="M10">
        <v>1951</v>
      </c>
      <c r="N10">
        <v>1951</v>
      </c>
      <c r="O10">
        <v>1951</v>
      </c>
      <c r="P10" s="1">
        <v>0.95356799999999997</v>
      </c>
    </row>
    <row r="11" spans="1:16" x14ac:dyDescent="0.25">
      <c r="A11" t="s">
        <v>16</v>
      </c>
      <c r="B11" s="19">
        <v>45567135</v>
      </c>
      <c r="C11">
        <v>2243</v>
      </c>
      <c r="D11">
        <v>257</v>
      </c>
      <c r="E11" s="1">
        <v>0.8972</v>
      </c>
      <c r="F11" s="1">
        <v>0.1028</v>
      </c>
      <c r="G11">
        <v>49</v>
      </c>
      <c r="H11">
        <v>1</v>
      </c>
      <c r="I11">
        <v>2243</v>
      </c>
      <c r="J11" s="20">
        <v>1</v>
      </c>
      <c r="K11">
        <v>1</v>
      </c>
      <c r="L11">
        <v>2172</v>
      </c>
      <c r="M11">
        <v>2172</v>
      </c>
      <c r="N11">
        <v>2172</v>
      </c>
      <c r="O11">
        <v>2172</v>
      </c>
      <c r="P11" s="1">
        <v>0.96834600000000004</v>
      </c>
    </row>
    <row r="12" spans="1:16" x14ac:dyDescent="0.25">
      <c r="A12" t="s">
        <v>16</v>
      </c>
      <c r="B12" s="19">
        <v>410205969</v>
      </c>
      <c r="C12">
        <v>2188</v>
      </c>
      <c r="D12">
        <v>312</v>
      </c>
      <c r="E12" s="1">
        <v>0.87519999999999998</v>
      </c>
      <c r="F12" s="1">
        <v>0.12479999999999999</v>
      </c>
      <c r="G12">
        <v>51</v>
      </c>
      <c r="H12">
        <v>1</v>
      </c>
      <c r="I12">
        <v>2188</v>
      </c>
      <c r="J12" s="20">
        <v>1</v>
      </c>
      <c r="K12">
        <v>1</v>
      </c>
      <c r="L12">
        <v>2119</v>
      </c>
      <c r="M12">
        <v>2119</v>
      </c>
      <c r="N12">
        <v>2119</v>
      </c>
      <c r="O12">
        <v>2119</v>
      </c>
      <c r="P12" s="1">
        <v>0.96846399999999999</v>
      </c>
    </row>
    <row r="13" spans="1:16" x14ac:dyDescent="0.25">
      <c r="A13" t="s">
        <v>16</v>
      </c>
      <c r="B13" s="19">
        <v>1995697847</v>
      </c>
      <c r="C13">
        <v>2111</v>
      </c>
      <c r="D13">
        <v>389</v>
      </c>
      <c r="E13" s="1">
        <v>0.84440000000000004</v>
      </c>
      <c r="F13" s="1">
        <v>0.15559999999999999</v>
      </c>
      <c r="G13">
        <v>57</v>
      </c>
      <c r="H13">
        <v>1</v>
      </c>
      <c r="I13">
        <v>2111</v>
      </c>
      <c r="J13" s="20">
        <v>1</v>
      </c>
      <c r="K13">
        <v>1</v>
      </c>
      <c r="L13">
        <v>2031</v>
      </c>
      <c r="M13">
        <v>2031</v>
      </c>
      <c r="N13">
        <v>2031</v>
      </c>
      <c r="O13">
        <v>2031</v>
      </c>
      <c r="P13" s="1">
        <v>0.96210300000000004</v>
      </c>
    </row>
    <row r="14" spans="1:16" x14ac:dyDescent="0.25">
      <c r="A14" t="s">
        <v>16</v>
      </c>
      <c r="B14" s="19">
        <v>451497413</v>
      </c>
      <c r="C14">
        <v>2174</v>
      </c>
      <c r="D14">
        <v>326</v>
      </c>
      <c r="E14" s="1">
        <v>0.86960000000000004</v>
      </c>
      <c r="F14" s="1">
        <v>0.13039999999999999</v>
      </c>
      <c r="G14">
        <v>49</v>
      </c>
      <c r="H14">
        <v>1</v>
      </c>
      <c r="I14">
        <v>2174</v>
      </c>
      <c r="J14" s="20">
        <v>1</v>
      </c>
      <c r="K14">
        <v>1</v>
      </c>
      <c r="L14">
        <v>2103</v>
      </c>
      <c r="M14">
        <v>2103</v>
      </c>
      <c r="N14">
        <v>2103</v>
      </c>
      <c r="O14">
        <v>2103</v>
      </c>
      <c r="P14" s="1">
        <v>0.96734100000000001</v>
      </c>
    </row>
    <row r="15" spans="1:16" x14ac:dyDescent="0.25">
      <c r="A15" t="s">
        <v>16</v>
      </c>
      <c r="B15" s="19">
        <v>30578122</v>
      </c>
      <c r="C15">
        <v>2015</v>
      </c>
      <c r="D15">
        <v>485</v>
      </c>
      <c r="E15" s="1">
        <v>0.80600000000000005</v>
      </c>
      <c r="F15" s="1">
        <v>0.19400000000000001</v>
      </c>
      <c r="G15">
        <v>60</v>
      </c>
      <c r="H15">
        <v>2</v>
      </c>
      <c r="I15">
        <v>2006</v>
      </c>
      <c r="J15" s="20">
        <v>0.995533</v>
      </c>
      <c r="K15">
        <v>2</v>
      </c>
      <c r="L15">
        <v>956</v>
      </c>
      <c r="M15">
        <v>1908</v>
      </c>
      <c r="N15">
        <v>4</v>
      </c>
      <c r="O15">
        <v>1912</v>
      </c>
      <c r="P15" s="1">
        <v>0.94888300000000003</v>
      </c>
    </row>
    <row r="16" spans="1:16" x14ac:dyDescent="0.25">
      <c r="A16" t="s">
        <v>16</v>
      </c>
      <c r="B16" s="19">
        <v>92333566</v>
      </c>
      <c r="C16">
        <v>2027</v>
      </c>
      <c r="D16">
        <v>473</v>
      </c>
      <c r="E16" s="1">
        <v>0.81079999999999997</v>
      </c>
      <c r="F16" s="1">
        <v>0.18920000000000001</v>
      </c>
      <c r="G16">
        <v>50</v>
      </c>
      <c r="H16">
        <v>1</v>
      </c>
      <c r="I16">
        <v>2027</v>
      </c>
      <c r="J16" s="20">
        <v>1</v>
      </c>
      <c r="K16">
        <v>1</v>
      </c>
      <c r="L16">
        <v>1936</v>
      </c>
      <c r="M16">
        <v>1936</v>
      </c>
      <c r="N16">
        <v>1936</v>
      </c>
      <c r="O16">
        <v>1936</v>
      </c>
      <c r="P16" s="1">
        <v>0.95510600000000001</v>
      </c>
    </row>
    <row r="17" spans="1:16" x14ac:dyDescent="0.25">
      <c r="A17" t="s">
        <v>16</v>
      </c>
      <c r="B17" s="19">
        <v>55396244</v>
      </c>
      <c r="C17">
        <v>2082</v>
      </c>
      <c r="D17">
        <v>418</v>
      </c>
      <c r="E17" s="1">
        <v>0.83279999999999998</v>
      </c>
      <c r="F17" s="1">
        <v>0.16719999999999999</v>
      </c>
      <c r="G17">
        <v>49</v>
      </c>
      <c r="H17">
        <v>1</v>
      </c>
      <c r="I17">
        <v>2082</v>
      </c>
      <c r="J17" s="20">
        <v>1</v>
      </c>
      <c r="K17">
        <v>1</v>
      </c>
      <c r="L17">
        <v>1998</v>
      </c>
      <c r="M17">
        <v>1998</v>
      </c>
      <c r="N17">
        <v>1998</v>
      </c>
      <c r="O17">
        <v>1998</v>
      </c>
      <c r="P17" s="1">
        <v>0.95965400000000001</v>
      </c>
    </row>
    <row r="18" spans="1:16" x14ac:dyDescent="0.25">
      <c r="A18" t="s">
        <v>16</v>
      </c>
      <c r="B18" s="19">
        <v>556181066</v>
      </c>
      <c r="C18">
        <v>2185</v>
      </c>
      <c r="D18">
        <v>315</v>
      </c>
      <c r="E18" s="1">
        <v>0.874</v>
      </c>
      <c r="F18" s="1">
        <v>0.126</v>
      </c>
      <c r="G18">
        <v>52</v>
      </c>
      <c r="H18">
        <v>1</v>
      </c>
      <c r="I18">
        <v>2185</v>
      </c>
      <c r="J18" s="20">
        <v>1</v>
      </c>
      <c r="K18">
        <v>1</v>
      </c>
      <c r="L18">
        <v>2117</v>
      </c>
      <c r="M18">
        <v>2117</v>
      </c>
      <c r="N18">
        <v>2117</v>
      </c>
      <c r="O18">
        <v>2117</v>
      </c>
      <c r="P18" s="1">
        <v>0.96887900000000005</v>
      </c>
    </row>
    <row r="19" spans="1:16" x14ac:dyDescent="0.25">
      <c r="A19" t="s">
        <v>16</v>
      </c>
      <c r="B19" s="19">
        <v>1362753343</v>
      </c>
      <c r="C19">
        <v>2193</v>
      </c>
      <c r="D19">
        <v>307</v>
      </c>
      <c r="E19" s="1">
        <v>0.87719999999999998</v>
      </c>
      <c r="F19" s="1">
        <v>0.12280000000000001</v>
      </c>
      <c r="G19">
        <v>52</v>
      </c>
      <c r="H19">
        <v>1</v>
      </c>
      <c r="I19">
        <v>2193</v>
      </c>
      <c r="J19" s="20">
        <v>1</v>
      </c>
      <c r="K19">
        <v>1</v>
      </c>
      <c r="L19">
        <v>2107</v>
      </c>
      <c r="M19">
        <v>2107</v>
      </c>
      <c r="N19">
        <v>2107</v>
      </c>
      <c r="O19">
        <v>2107</v>
      </c>
      <c r="P19" s="1">
        <v>0.96078399999999997</v>
      </c>
    </row>
    <row r="20" spans="1:16" x14ac:dyDescent="0.25">
      <c r="A20" t="s">
        <v>16</v>
      </c>
      <c r="B20" s="19">
        <v>1181742043</v>
      </c>
      <c r="C20">
        <v>2090</v>
      </c>
      <c r="D20">
        <v>410</v>
      </c>
      <c r="E20" s="1">
        <v>0.83599999999999997</v>
      </c>
      <c r="F20" s="1">
        <v>0.16400000000000001</v>
      </c>
      <c r="G20">
        <v>49</v>
      </c>
      <c r="H20">
        <v>1</v>
      </c>
      <c r="I20">
        <v>2090</v>
      </c>
      <c r="J20" s="20">
        <v>1</v>
      </c>
      <c r="K20">
        <v>1</v>
      </c>
      <c r="L20">
        <v>2008</v>
      </c>
      <c r="M20">
        <v>2008</v>
      </c>
      <c r="N20">
        <v>2008</v>
      </c>
      <c r="O20">
        <v>2008</v>
      </c>
      <c r="P20" s="1">
        <v>0.96076600000000001</v>
      </c>
    </row>
    <row r="21" spans="1:16" x14ac:dyDescent="0.25">
      <c r="A21" t="s">
        <v>16</v>
      </c>
      <c r="B21" s="19">
        <v>143509157</v>
      </c>
      <c r="C21">
        <v>2206</v>
      </c>
      <c r="D21">
        <v>294</v>
      </c>
      <c r="E21" s="1">
        <v>0.88239999999999996</v>
      </c>
      <c r="F21" s="1">
        <v>0.1176</v>
      </c>
      <c r="G21">
        <v>49</v>
      </c>
      <c r="H21">
        <v>1</v>
      </c>
      <c r="I21">
        <v>2206</v>
      </c>
      <c r="J21" s="20">
        <v>1</v>
      </c>
      <c r="K21">
        <v>1</v>
      </c>
      <c r="L21">
        <v>2143</v>
      </c>
      <c r="M21">
        <v>2143</v>
      </c>
      <c r="N21">
        <v>2143</v>
      </c>
      <c r="O21">
        <v>2143</v>
      </c>
      <c r="P21" s="1">
        <v>0.97144200000000003</v>
      </c>
    </row>
    <row r="22" spans="1:16" x14ac:dyDescent="0.25">
      <c r="A22" t="s">
        <v>16</v>
      </c>
      <c r="B22" s="19">
        <v>1610267325</v>
      </c>
      <c r="C22">
        <v>2088</v>
      </c>
      <c r="D22">
        <v>412</v>
      </c>
      <c r="E22" s="1">
        <v>0.83520000000000005</v>
      </c>
      <c r="F22" s="1">
        <v>0.1648</v>
      </c>
      <c r="G22">
        <v>49</v>
      </c>
      <c r="H22">
        <v>2</v>
      </c>
      <c r="I22">
        <v>2071</v>
      </c>
      <c r="J22" s="20">
        <v>0.99185800000000002</v>
      </c>
      <c r="K22">
        <v>2</v>
      </c>
      <c r="L22">
        <v>1001.5</v>
      </c>
      <c r="M22">
        <v>1992</v>
      </c>
      <c r="N22">
        <v>11</v>
      </c>
      <c r="O22">
        <v>2003</v>
      </c>
      <c r="P22" s="1">
        <v>0.959291</v>
      </c>
    </row>
    <row r="23" spans="1:16" x14ac:dyDescent="0.25">
      <c r="A23" t="s">
        <v>16</v>
      </c>
      <c r="B23" s="19">
        <v>962997669</v>
      </c>
      <c r="C23">
        <v>2213</v>
      </c>
      <c r="D23">
        <v>287</v>
      </c>
      <c r="E23" s="1">
        <v>0.88519999999999999</v>
      </c>
      <c r="F23" s="1">
        <v>0.1148</v>
      </c>
      <c r="G23">
        <v>49</v>
      </c>
      <c r="H23">
        <v>1</v>
      </c>
      <c r="I23">
        <v>2213</v>
      </c>
      <c r="J23" s="20">
        <v>1</v>
      </c>
      <c r="K23">
        <v>1</v>
      </c>
      <c r="L23">
        <v>2144</v>
      </c>
      <c r="M23">
        <v>2144</v>
      </c>
      <c r="N23">
        <v>2144</v>
      </c>
      <c r="O23">
        <v>2144</v>
      </c>
      <c r="P23" s="1">
        <v>0.96882100000000004</v>
      </c>
    </row>
    <row r="24" spans="1:16" x14ac:dyDescent="0.25">
      <c r="A24" t="s">
        <v>16</v>
      </c>
      <c r="B24" s="19">
        <v>1326032278</v>
      </c>
      <c r="C24">
        <v>2109</v>
      </c>
      <c r="D24">
        <v>391</v>
      </c>
      <c r="E24" s="1">
        <v>0.84360000000000002</v>
      </c>
      <c r="F24" s="1">
        <v>0.15640000000000001</v>
      </c>
      <c r="G24">
        <v>49</v>
      </c>
      <c r="H24">
        <v>1</v>
      </c>
      <c r="I24">
        <v>2109</v>
      </c>
      <c r="J24" s="20">
        <v>1</v>
      </c>
      <c r="K24">
        <v>1</v>
      </c>
      <c r="L24">
        <v>2030</v>
      </c>
      <c r="M24">
        <v>2030</v>
      </c>
      <c r="N24">
        <v>2030</v>
      </c>
      <c r="O24">
        <v>2030</v>
      </c>
      <c r="P24" s="1">
        <v>0.96254099999999998</v>
      </c>
    </row>
    <row r="25" spans="1:16" x14ac:dyDescent="0.25">
      <c r="A25" t="s">
        <v>16</v>
      </c>
      <c r="B25" s="19">
        <v>1603300860</v>
      </c>
      <c r="C25">
        <v>2101</v>
      </c>
      <c r="D25">
        <v>399</v>
      </c>
      <c r="E25" s="1">
        <v>0.84040000000000004</v>
      </c>
      <c r="F25" s="1">
        <v>0.15959999999999999</v>
      </c>
      <c r="G25">
        <v>49</v>
      </c>
      <c r="H25">
        <v>2</v>
      </c>
      <c r="I25">
        <v>2100</v>
      </c>
      <c r="J25" s="20">
        <v>0.99952399999999997</v>
      </c>
      <c r="K25">
        <v>2</v>
      </c>
      <c r="L25">
        <v>1012</v>
      </c>
      <c r="M25">
        <v>2020</v>
      </c>
      <c r="N25">
        <v>4</v>
      </c>
      <c r="O25">
        <v>2024</v>
      </c>
      <c r="P25" s="1">
        <v>0.96335099999999996</v>
      </c>
    </row>
    <row r="26" spans="1:16" x14ac:dyDescent="0.25">
      <c r="A26" t="s">
        <v>16</v>
      </c>
      <c r="B26" s="19">
        <v>825441533</v>
      </c>
      <c r="C26">
        <v>2150</v>
      </c>
      <c r="D26">
        <v>350</v>
      </c>
      <c r="E26" s="1">
        <v>0.86</v>
      </c>
      <c r="F26" s="1">
        <v>0.14000000000000001</v>
      </c>
      <c r="G26">
        <v>49</v>
      </c>
      <c r="H26">
        <v>1</v>
      </c>
      <c r="I26">
        <v>2150</v>
      </c>
      <c r="J26" s="20">
        <v>1</v>
      </c>
      <c r="K26">
        <v>1</v>
      </c>
      <c r="L26">
        <v>2072</v>
      </c>
      <c r="M26">
        <v>2072</v>
      </c>
      <c r="N26">
        <v>2072</v>
      </c>
      <c r="O26">
        <v>2072</v>
      </c>
      <c r="P26" s="1">
        <v>0.96372100000000005</v>
      </c>
    </row>
    <row r="27" spans="1:16" x14ac:dyDescent="0.25">
      <c r="A27" t="s">
        <v>16</v>
      </c>
      <c r="B27" s="19">
        <v>870744253</v>
      </c>
      <c r="C27">
        <v>2221</v>
      </c>
      <c r="D27">
        <v>279</v>
      </c>
      <c r="E27" s="1">
        <v>0.88839999999999997</v>
      </c>
      <c r="F27" s="1">
        <v>0.1116</v>
      </c>
      <c r="G27">
        <v>49</v>
      </c>
      <c r="H27">
        <v>1</v>
      </c>
      <c r="I27">
        <v>2221</v>
      </c>
      <c r="J27" s="20">
        <v>1</v>
      </c>
      <c r="K27">
        <v>1</v>
      </c>
      <c r="L27">
        <v>2152</v>
      </c>
      <c r="M27">
        <v>2152</v>
      </c>
      <c r="N27">
        <v>2152</v>
      </c>
      <c r="O27">
        <v>2152</v>
      </c>
      <c r="P27" s="1">
        <v>0.96893300000000004</v>
      </c>
    </row>
    <row r="28" spans="1:16" x14ac:dyDescent="0.25">
      <c r="A28" t="s">
        <v>16</v>
      </c>
      <c r="B28" s="19">
        <v>802928978</v>
      </c>
      <c r="C28">
        <v>2171</v>
      </c>
      <c r="D28">
        <v>329</v>
      </c>
      <c r="E28" s="1">
        <v>0.86839999999999995</v>
      </c>
      <c r="F28" s="1">
        <v>0.13159999999999999</v>
      </c>
      <c r="G28">
        <v>49</v>
      </c>
      <c r="H28">
        <v>1</v>
      </c>
      <c r="I28">
        <v>2171</v>
      </c>
      <c r="J28" s="20">
        <v>1</v>
      </c>
      <c r="K28">
        <v>1</v>
      </c>
      <c r="L28">
        <v>2085</v>
      </c>
      <c r="M28">
        <v>2085</v>
      </c>
      <c r="N28">
        <v>2085</v>
      </c>
      <c r="O28">
        <v>2085</v>
      </c>
      <c r="P28" s="1">
        <v>0.96038699999999999</v>
      </c>
    </row>
    <row r="29" spans="1:16" x14ac:dyDescent="0.25">
      <c r="A29" t="s">
        <v>16</v>
      </c>
      <c r="B29" s="19">
        <v>372271478</v>
      </c>
      <c r="C29">
        <v>2130</v>
      </c>
      <c r="D29">
        <v>370</v>
      </c>
      <c r="E29" s="1">
        <v>0.85199999999999998</v>
      </c>
      <c r="F29" s="1">
        <v>0.14799999999999999</v>
      </c>
      <c r="G29">
        <v>51</v>
      </c>
      <c r="H29">
        <v>1</v>
      </c>
      <c r="I29">
        <v>2130</v>
      </c>
      <c r="J29" s="20">
        <v>1</v>
      </c>
      <c r="K29">
        <v>1</v>
      </c>
      <c r="L29">
        <v>2056</v>
      </c>
      <c r="M29">
        <v>2056</v>
      </c>
      <c r="N29">
        <v>2056</v>
      </c>
      <c r="O29">
        <v>2056</v>
      </c>
      <c r="P29" s="1">
        <v>0.96525799999999995</v>
      </c>
    </row>
    <row r="30" spans="1:16" x14ac:dyDescent="0.25">
      <c r="A30" t="s">
        <v>16</v>
      </c>
      <c r="B30" s="19">
        <v>1295790858</v>
      </c>
      <c r="C30">
        <v>2149</v>
      </c>
      <c r="D30">
        <v>351</v>
      </c>
      <c r="E30" s="1">
        <v>0.85960000000000003</v>
      </c>
      <c r="F30" s="1">
        <v>0.1404</v>
      </c>
      <c r="G30">
        <v>49</v>
      </c>
      <c r="H30">
        <v>1</v>
      </c>
      <c r="I30">
        <v>2149</v>
      </c>
      <c r="J30" s="20">
        <v>1</v>
      </c>
      <c r="K30">
        <v>1</v>
      </c>
      <c r="L30">
        <v>2075</v>
      </c>
      <c r="M30">
        <v>2075</v>
      </c>
      <c r="N30">
        <v>2075</v>
      </c>
      <c r="O30">
        <v>2075</v>
      </c>
      <c r="P30" s="1">
        <v>0.96556500000000001</v>
      </c>
    </row>
    <row r="31" spans="1:16" x14ac:dyDescent="0.25">
      <c r="A31" t="s">
        <v>16</v>
      </c>
      <c r="B31" s="19">
        <v>730598759</v>
      </c>
      <c r="C31">
        <v>2101</v>
      </c>
      <c r="D31">
        <v>399</v>
      </c>
      <c r="E31" s="1">
        <v>0.84040000000000004</v>
      </c>
      <c r="F31" s="1">
        <v>0.15959999999999999</v>
      </c>
      <c r="G31">
        <v>54</v>
      </c>
      <c r="H31">
        <v>1</v>
      </c>
      <c r="I31">
        <v>2101</v>
      </c>
      <c r="J31" s="20">
        <v>1</v>
      </c>
      <c r="K31">
        <v>1</v>
      </c>
      <c r="L31">
        <v>2016</v>
      </c>
      <c r="M31">
        <v>2016</v>
      </c>
      <c r="N31">
        <v>2016</v>
      </c>
      <c r="O31">
        <v>2016</v>
      </c>
      <c r="P31" s="1">
        <v>0.95954300000000003</v>
      </c>
    </row>
    <row r="32" spans="1:16" x14ac:dyDescent="0.25">
      <c r="A32" t="s">
        <v>16</v>
      </c>
      <c r="B32" s="19">
        <v>1001237170</v>
      </c>
      <c r="C32">
        <v>2171</v>
      </c>
      <c r="D32">
        <v>329</v>
      </c>
      <c r="E32" s="1">
        <v>0.86839999999999995</v>
      </c>
      <c r="F32" s="1">
        <v>0.13159999999999999</v>
      </c>
      <c r="G32">
        <v>49</v>
      </c>
      <c r="H32">
        <v>1</v>
      </c>
      <c r="I32">
        <v>2171</v>
      </c>
      <c r="J32" s="20">
        <v>1</v>
      </c>
      <c r="K32">
        <v>2</v>
      </c>
      <c r="L32">
        <v>1049</v>
      </c>
      <c r="M32">
        <v>2092</v>
      </c>
      <c r="N32">
        <v>6</v>
      </c>
      <c r="O32">
        <v>2098</v>
      </c>
      <c r="P32" s="1">
        <v>0.96637499999999998</v>
      </c>
    </row>
    <row r="33" spans="1:16" x14ac:dyDescent="0.25">
      <c r="A33" t="s">
        <v>16</v>
      </c>
      <c r="B33" s="19">
        <v>1974119665</v>
      </c>
      <c r="C33">
        <v>2129</v>
      </c>
      <c r="D33">
        <v>371</v>
      </c>
      <c r="E33" s="1">
        <v>0.85160000000000002</v>
      </c>
      <c r="F33" s="1">
        <v>0.1484</v>
      </c>
      <c r="G33">
        <v>55</v>
      </c>
      <c r="H33">
        <v>1</v>
      </c>
      <c r="I33">
        <v>2129</v>
      </c>
      <c r="J33" s="20">
        <v>1</v>
      </c>
      <c r="K33">
        <v>1</v>
      </c>
      <c r="L33">
        <v>2045</v>
      </c>
      <c r="M33">
        <v>2045</v>
      </c>
      <c r="N33">
        <v>2045</v>
      </c>
      <c r="O33">
        <v>2045</v>
      </c>
      <c r="P33" s="1">
        <v>0.96054499999999998</v>
      </c>
    </row>
    <row r="34" spans="1:16" x14ac:dyDescent="0.25">
      <c r="A34" t="s">
        <v>16</v>
      </c>
      <c r="B34" s="19">
        <v>3950578</v>
      </c>
      <c r="C34">
        <v>1984</v>
      </c>
      <c r="D34">
        <v>516</v>
      </c>
      <c r="E34" s="1">
        <v>0.79359999999999997</v>
      </c>
      <c r="F34" s="1">
        <v>0.2064</v>
      </c>
      <c r="G34">
        <v>54</v>
      </c>
      <c r="H34">
        <v>1</v>
      </c>
      <c r="I34">
        <v>1984</v>
      </c>
      <c r="J34" s="20">
        <v>1</v>
      </c>
      <c r="K34">
        <v>1</v>
      </c>
      <c r="L34">
        <v>1883</v>
      </c>
      <c r="M34">
        <v>1883</v>
      </c>
      <c r="N34">
        <v>1883</v>
      </c>
      <c r="O34">
        <v>1883</v>
      </c>
      <c r="P34" s="1">
        <v>0.94909299999999996</v>
      </c>
    </row>
    <row r="35" spans="1:16" x14ac:dyDescent="0.25">
      <c r="A35" t="s">
        <v>16</v>
      </c>
      <c r="B35" s="19">
        <v>1839241558</v>
      </c>
      <c r="C35">
        <v>2201</v>
      </c>
      <c r="D35">
        <v>299</v>
      </c>
      <c r="E35" s="1">
        <v>0.88039999999999996</v>
      </c>
      <c r="F35" s="1">
        <v>0.1196</v>
      </c>
      <c r="G35">
        <v>49</v>
      </c>
      <c r="H35">
        <v>1</v>
      </c>
      <c r="I35">
        <v>2201</v>
      </c>
      <c r="J35" s="20">
        <v>1</v>
      </c>
      <c r="K35">
        <v>1</v>
      </c>
      <c r="L35">
        <v>2136</v>
      </c>
      <c r="M35">
        <v>2136</v>
      </c>
      <c r="N35">
        <v>2136</v>
      </c>
      <c r="O35">
        <v>2136</v>
      </c>
      <c r="P35" s="1">
        <v>0.970468</v>
      </c>
    </row>
    <row r="36" spans="1:16" x14ac:dyDescent="0.25">
      <c r="A36" t="s">
        <v>16</v>
      </c>
      <c r="B36" s="19">
        <v>1193530245</v>
      </c>
      <c r="C36">
        <v>2209</v>
      </c>
      <c r="D36">
        <v>291</v>
      </c>
      <c r="E36" s="1">
        <v>0.88360000000000005</v>
      </c>
      <c r="F36" s="1">
        <v>0.1164</v>
      </c>
      <c r="G36">
        <v>50</v>
      </c>
      <c r="H36">
        <v>1</v>
      </c>
      <c r="I36">
        <v>2209</v>
      </c>
      <c r="J36" s="20">
        <v>1</v>
      </c>
      <c r="K36">
        <v>1</v>
      </c>
      <c r="L36">
        <v>2133</v>
      </c>
      <c r="M36">
        <v>2133</v>
      </c>
      <c r="N36">
        <v>2133</v>
      </c>
      <c r="O36">
        <v>2133</v>
      </c>
      <c r="P36" s="1">
        <v>0.96559499999999998</v>
      </c>
    </row>
    <row r="37" spans="1:16" x14ac:dyDescent="0.25">
      <c r="A37" t="s">
        <v>16</v>
      </c>
      <c r="B37" s="19">
        <v>1780736340</v>
      </c>
      <c r="C37">
        <v>2187</v>
      </c>
      <c r="D37">
        <v>313</v>
      </c>
      <c r="E37" s="1">
        <v>0.87480000000000002</v>
      </c>
      <c r="F37" s="1">
        <v>0.12520000000000001</v>
      </c>
      <c r="G37">
        <v>51</v>
      </c>
      <c r="H37">
        <v>1</v>
      </c>
      <c r="I37">
        <v>2187</v>
      </c>
      <c r="J37" s="20">
        <v>1</v>
      </c>
      <c r="K37">
        <v>1</v>
      </c>
      <c r="L37">
        <v>2121</v>
      </c>
      <c r="M37">
        <v>2121</v>
      </c>
      <c r="N37">
        <v>2121</v>
      </c>
      <c r="O37">
        <v>2121</v>
      </c>
      <c r="P37" s="1">
        <v>0.96982199999999996</v>
      </c>
    </row>
    <row r="38" spans="1:16" x14ac:dyDescent="0.25">
      <c r="A38" t="s">
        <v>16</v>
      </c>
      <c r="B38" s="19">
        <v>865701338</v>
      </c>
      <c r="C38">
        <v>2116</v>
      </c>
      <c r="D38">
        <v>384</v>
      </c>
      <c r="E38" s="1">
        <v>0.84640000000000004</v>
      </c>
      <c r="F38" s="1">
        <v>0.15359999999999999</v>
      </c>
      <c r="G38">
        <v>51</v>
      </c>
      <c r="H38">
        <v>1</v>
      </c>
      <c r="I38">
        <v>2116</v>
      </c>
      <c r="J38" s="20">
        <v>1</v>
      </c>
      <c r="K38">
        <v>1</v>
      </c>
      <c r="L38">
        <v>2031</v>
      </c>
      <c r="M38">
        <v>2031</v>
      </c>
      <c r="N38">
        <v>2031</v>
      </c>
      <c r="O38">
        <v>2031</v>
      </c>
      <c r="P38" s="1">
        <v>0.95982999999999996</v>
      </c>
    </row>
    <row r="39" spans="1:16" x14ac:dyDescent="0.25">
      <c r="A39" t="s">
        <v>16</v>
      </c>
      <c r="B39" s="19">
        <v>1439425828</v>
      </c>
      <c r="C39">
        <v>2198</v>
      </c>
      <c r="D39">
        <v>302</v>
      </c>
      <c r="E39" s="1">
        <v>0.87919999999999998</v>
      </c>
      <c r="F39" s="1">
        <v>0.1208</v>
      </c>
      <c r="G39">
        <v>49</v>
      </c>
      <c r="H39">
        <v>1</v>
      </c>
      <c r="I39">
        <v>2198</v>
      </c>
      <c r="J39" s="20">
        <v>1</v>
      </c>
      <c r="K39">
        <v>1</v>
      </c>
      <c r="L39">
        <v>2125</v>
      </c>
      <c r="M39">
        <v>2125</v>
      </c>
      <c r="N39">
        <v>2125</v>
      </c>
      <c r="O39">
        <v>2125</v>
      </c>
      <c r="P39" s="1">
        <v>0.96678799999999998</v>
      </c>
    </row>
    <row r="40" spans="1:16" x14ac:dyDescent="0.25">
      <c r="A40" t="s">
        <v>16</v>
      </c>
      <c r="B40" s="19">
        <v>1876693482</v>
      </c>
      <c r="C40">
        <v>2086</v>
      </c>
      <c r="D40">
        <v>414</v>
      </c>
      <c r="E40" s="1">
        <v>0.83440000000000003</v>
      </c>
      <c r="F40" s="1">
        <v>0.1656</v>
      </c>
      <c r="G40">
        <v>51</v>
      </c>
      <c r="H40">
        <v>1</v>
      </c>
      <c r="I40">
        <v>2086</v>
      </c>
      <c r="J40" s="20">
        <v>1</v>
      </c>
      <c r="K40">
        <v>1</v>
      </c>
      <c r="L40">
        <v>1991</v>
      </c>
      <c r="M40">
        <v>1991</v>
      </c>
      <c r="N40">
        <v>1991</v>
      </c>
      <c r="O40">
        <v>1991</v>
      </c>
      <c r="P40" s="1">
        <v>0.95445800000000003</v>
      </c>
    </row>
    <row r="41" spans="1:16" x14ac:dyDescent="0.25">
      <c r="A41" t="s">
        <v>16</v>
      </c>
      <c r="B41" s="19">
        <v>1687341211</v>
      </c>
      <c r="C41">
        <v>2169</v>
      </c>
      <c r="D41">
        <v>331</v>
      </c>
      <c r="E41" s="1">
        <v>0.86760000000000004</v>
      </c>
      <c r="F41" s="1">
        <v>0.13239999999999999</v>
      </c>
      <c r="G41">
        <v>52</v>
      </c>
      <c r="H41">
        <v>1</v>
      </c>
      <c r="I41">
        <v>2169</v>
      </c>
      <c r="J41" s="20">
        <v>1</v>
      </c>
      <c r="K41">
        <v>1</v>
      </c>
      <c r="L41">
        <v>2090</v>
      </c>
      <c r="M41">
        <v>2090</v>
      </c>
      <c r="N41">
        <v>2090</v>
      </c>
      <c r="O41">
        <v>2090</v>
      </c>
      <c r="P41" s="1">
        <v>0.96357800000000005</v>
      </c>
    </row>
    <row r="42" spans="1:16" x14ac:dyDescent="0.25">
      <c r="A42" t="s">
        <v>16</v>
      </c>
      <c r="B42" s="19">
        <v>1465995829</v>
      </c>
      <c r="C42">
        <v>2003</v>
      </c>
      <c r="D42">
        <v>497</v>
      </c>
      <c r="E42" s="1">
        <v>0.80120000000000002</v>
      </c>
      <c r="F42" s="1">
        <v>0.1988</v>
      </c>
      <c r="G42">
        <v>53</v>
      </c>
      <c r="H42">
        <v>1</v>
      </c>
      <c r="I42">
        <v>2003</v>
      </c>
      <c r="J42" s="20">
        <v>1</v>
      </c>
      <c r="K42">
        <v>1</v>
      </c>
      <c r="L42">
        <v>1905</v>
      </c>
      <c r="M42">
        <v>1905</v>
      </c>
      <c r="N42">
        <v>1905</v>
      </c>
      <c r="O42">
        <v>1905</v>
      </c>
      <c r="P42" s="1">
        <v>0.95107299999999995</v>
      </c>
    </row>
    <row r="43" spans="1:16" x14ac:dyDescent="0.25">
      <c r="A43" t="s">
        <v>16</v>
      </c>
      <c r="B43" s="19">
        <v>1463614604</v>
      </c>
      <c r="C43">
        <v>2230</v>
      </c>
      <c r="D43">
        <v>270</v>
      </c>
      <c r="E43" s="1">
        <v>0.89200000000000002</v>
      </c>
      <c r="F43" s="1">
        <v>0.108</v>
      </c>
      <c r="G43">
        <v>49</v>
      </c>
      <c r="H43">
        <v>1</v>
      </c>
      <c r="I43">
        <v>2230</v>
      </c>
      <c r="J43" s="20">
        <v>1</v>
      </c>
      <c r="K43">
        <v>1</v>
      </c>
      <c r="L43">
        <v>2159</v>
      </c>
      <c r="M43">
        <v>2159</v>
      </c>
      <c r="N43">
        <v>2159</v>
      </c>
      <c r="O43">
        <v>2159</v>
      </c>
      <c r="P43" s="1">
        <v>0.96816100000000005</v>
      </c>
    </row>
    <row r="44" spans="1:16" x14ac:dyDescent="0.25">
      <c r="A44" t="s">
        <v>16</v>
      </c>
      <c r="B44" s="19">
        <v>330804366</v>
      </c>
      <c r="C44">
        <v>2210</v>
      </c>
      <c r="D44">
        <v>290</v>
      </c>
      <c r="E44" s="1">
        <v>0.88400000000000001</v>
      </c>
      <c r="F44" s="1">
        <v>0.11600000000000001</v>
      </c>
      <c r="G44">
        <v>50</v>
      </c>
      <c r="H44">
        <v>1</v>
      </c>
      <c r="I44">
        <v>2210</v>
      </c>
      <c r="J44" s="20">
        <v>1</v>
      </c>
      <c r="K44">
        <v>1</v>
      </c>
      <c r="L44">
        <v>2147</v>
      </c>
      <c r="M44">
        <v>2147</v>
      </c>
      <c r="N44">
        <v>2147</v>
      </c>
      <c r="O44">
        <v>2147</v>
      </c>
      <c r="P44" s="1">
        <v>0.97149300000000005</v>
      </c>
    </row>
    <row r="45" spans="1:16" x14ac:dyDescent="0.25">
      <c r="A45" t="s">
        <v>16</v>
      </c>
      <c r="B45" s="19">
        <v>1075410541</v>
      </c>
      <c r="C45">
        <v>2177</v>
      </c>
      <c r="D45">
        <v>323</v>
      </c>
      <c r="E45" s="1">
        <v>0.87080000000000002</v>
      </c>
      <c r="F45" s="1">
        <v>0.12920000000000001</v>
      </c>
      <c r="G45">
        <v>49</v>
      </c>
      <c r="H45">
        <v>1</v>
      </c>
      <c r="I45">
        <v>2177</v>
      </c>
      <c r="J45" s="20">
        <v>1</v>
      </c>
      <c r="K45">
        <v>1</v>
      </c>
      <c r="L45">
        <v>2116</v>
      </c>
      <c r="M45">
        <v>2116</v>
      </c>
      <c r="N45">
        <v>2116</v>
      </c>
      <c r="O45">
        <v>2116</v>
      </c>
      <c r="P45" s="1">
        <v>0.97197999999999996</v>
      </c>
    </row>
    <row r="46" spans="1:16" x14ac:dyDescent="0.25">
      <c r="A46" t="s">
        <v>16</v>
      </c>
      <c r="B46" s="19">
        <v>557010925</v>
      </c>
      <c r="C46">
        <v>2122</v>
      </c>
      <c r="D46">
        <v>378</v>
      </c>
      <c r="E46" s="1">
        <v>0.8488</v>
      </c>
      <c r="F46" s="1">
        <v>0.1512</v>
      </c>
      <c r="G46">
        <v>49</v>
      </c>
      <c r="H46">
        <v>1</v>
      </c>
      <c r="I46">
        <v>2122</v>
      </c>
      <c r="J46" s="20">
        <v>1</v>
      </c>
      <c r="K46">
        <v>1</v>
      </c>
      <c r="L46">
        <v>2050</v>
      </c>
      <c r="M46">
        <v>2050</v>
      </c>
      <c r="N46">
        <v>2050</v>
      </c>
      <c r="O46">
        <v>2050</v>
      </c>
      <c r="P46" s="1">
        <v>0.96606999999999998</v>
      </c>
    </row>
    <row r="47" spans="1:16" x14ac:dyDescent="0.25">
      <c r="A47" t="s">
        <v>16</v>
      </c>
      <c r="B47" s="19">
        <v>592725128</v>
      </c>
      <c r="C47">
        <v>2075</v>
      </c>
      <c r="D47">
        <v>425</v>
      </c>
      <c r="E47" s="1">
        <v>0.83</v>
      </c>
      <c r="F47" s="1">
        <v>0.17</v>
      </c>
      <c r="G47">
        <v>50</v>
      </c>
      <c r="H47">
        <v>1</v>
      </c>
      <c r="I47">
        <v>2075</v>
      </c>
      <c r="J47" s="20">
        <v>1</v>
      </c>
      <c r="K47">
        <v>1</v>
      </c>
      <c r="L47">
        <v>1982</v>
      </c>
      <c r="M47">
        <v>1982</v>
      </c>
      <c r="N47">
        <v>1982</v>
      </c>
      <c r="O47">
        <v>1982</v>
      </c>
      <c r="P47" s="1">
        <v>0.95518099999999995</v>
      </c>
    </row>
    <row r="48" spans="1:16" x14ac:dyDescent="0.25">
      <c r="A48" t="s">
        <v>16</v>
      </c>
      <c r="B48" s="19">
        <v>1076188245</v>
      </c>
      <c r="C48">
        <v>2174</v>
      </c>
      <c r="D48">
        <v>326</v>
      </c>
      <c r="E48" s="1">
        <v>0.86960000000000004</v>
      </c>
      <c r="F48" s="1">
        <v>0.13039999999999999</v>
      </c>
      <c r="G48">
        <v>59</v>
      </c>
      <c r="H48">
        <v>3</v>
      </c>
      <c r="I48">
        <v>2142</v>
      </c>
      <c r="J48" s="20">
        <v>0.98528099999999996</v>
      </c>
      <c r="K48">
        <v>2</v>
      </c>
      <c r="L48">
        <v>1040</v>
      </c>
      <c r="M48">
        <v>2059</v>
      </c>
      <c r="N48">
        <v>21</v>
      </c>
      <c r="O48">
        <v>2080</v>
      </c>
      <c r="P48" s="1">
        <v>0.956762</v>
      </c>
    </row>
    <row r="49" spans="1:16" x14ac:dyDescent="0.25">
      <c r="A49" t="s">
        <v>16</v>
      </c>
      <c r="B49" s="19">
        <v>132322692</v>
      </c>
      <c r="C49">
        <v>2180</v>
      </c>
      <c r="D49">
        <v>320</v>
      </c>
      <c r="E49" s="1">
        <v>0.872</v>
      </c>
      <c r="F49" s="1">
        <v>0.128</v>
      </c>
      <c r="G49">
        <v>50</v>
      </c>
      <c r="H49">
        <v>2</v>
      </c>
      <c r="I49">
        <v>2179</v>
      </c>
      <c r="J49" s="20">
        <v>0.99954100000000001</v>
      </c>
      <c r="K49">
        <v>1</v>
      </c>
      <c r="L49">
        <v>2107</v>
      </c>
      <c r="M49">
        <v>2107</v>
      </c>
      <c r="N49">
        <v>2107</v>
      </c>
      <c r="O49">
        <v>2107</v>
      </c>
      <c r="P49" s="1">
        <v>0.96651399999999998</v>
      </c>
    </row>
    <row r="50" spans="1:16" x14ac:dyDescent="0.25">
      <c r="A50" t="s">
        <v>16</v>
      </c>
      <c r="B50" s="19">
        <v>758671151</v>
      </c>
      <c r="C50">
        <v>1997</v>
      </c>
      <c r="D50">
        <v>503</v>
      </c>
      <c r="E50" s="1">
        <v>0.79879999999999995</v>
      </c>
      <c r="F50" s="1">
        <v>0.20119999999999999</v>
      </c>
      <c r="G50">
        <v>53</v>
      </c>
      <c r="H50">
        <v>2</v>
      </c>
      <c r="I50">
        <v>1990</v>
      </c>
      <c r="J50" s="20">
        <v>0.99649500000000002</v>
      </c>
      <c r="K50">
        <v>2</v>
      </c>
      <c r="L50">
        <v>948.5</v>
      </c>
      <c r="M50">
        <v>1896</v>
      </c>
      <c r="N50">
        <v>1</v>
      </c>
      <c r="O50">
        <v>1897</v>
      </c>
      <c r="P50" s="1">
        <v>0.94992500000000002</v>
      </c>
    </row>
    <row r="51" spans="1:16" x14ac:dyDescent="0.25">
      <c r="A51" t="s">
        <v>16</v>
      </c>
      <c r="B51" s="19">
        <v>1709416027</v>
      </c>
      <c r="C51">
        <v>1987</v>
      </c>
      <c r="D51">
        <v>513</v>
      </c>
      <c r="E51" s="1">
        <v>0.79479999999999995</v>
      </c>
      <c r="F51" s="1">
        <v>0.20519999999999999</v>
      </c>
      <c r="G51">
        <v>49</v>
      </c>
      <c r="H51">
        <v>4</v>
      </c>
      <c r="I51">
        <v>1905</v>
      </c>
      <c r="J51" s="20">
        <v>0.95873200000000003</v>
      </c>
      <c r="K51">
        <v>3</v>
      </c>
      <c r="L51">
        <v>626.66666699999996</v>
      </c>
      <c r="M51">
        <v>1817</v>
      </c>
      <c r="N51">
        <v>5</v>
      </c>
      <c r="O51">
        <v>1880</v>
      </c>
      <c r="P51" s="1">
        <v>0.94615000000000005</v>
      </c>
    </row>
    <row r="52" spans="1:16" x14ac:dyDescent="0.25">
      <c r="A52" t="s">
        <v>26</v>
      </c>
      <c r="B52"/>
      <c r="C52">
        <f>SUBTOTAL(101,CA8_wall50_it5_neigh5[floors])</f>
        <v>2129.42</v>
      </c>
      <c r="D52">
        <f>SUBTOTAL(101,CA8_wall50_it5_neigh5[walls])</f>
        <v>370.58</v>
      </c>
      <c r="E52" s="2">
        <f>SUBTOTAL(101,CA8_wall50_it5_neigh5[floor_percent])</f>
        <v>0.8517680000000003</v>
      </c>
      <c r="F52" s="2">
        <f>SUBTOTAL(101,CA8_wall50_it5_neigh5[wall_percent])</f>
        <v>0.14823199999999997</v>
      </c>
      <c r="G52">
        <f>SUBTOTAL(101,CA8_wall50_it5_neigh5[longest_shortest_path])</f>
        <v>50.88</v>
      </c>
      <c r="H52">
        <f>SUBTOTAL(101,CA8_wall50_it5_neigh5[component_count])</f>
        <v>1.22</v>
      </c>
      <c r="I52">
        <f>SUBTOTAL(101,CA8_wall50_it5_neigh5[max_component_size])</f>
        <v>2126.2800000000002</v>
      </c>
      <c r="J52">
        <f>SUBTOTAL(101,CA8_wall50_it5_neigh5[connectivity_ratio])</f>
        <v>0.99846762000000011</v>
      </c>
      <c r="K52">
        <f>SUBTOTAL(101,CA8_wall50_it5_neigh5[room_count])</f>
        <v>1.18</v>
      </c>
      <c r="L52">
        <f>SUBTOTAL(101,CA8_wall50_it5_neigh5[avg_room_size])</f>
        <v>1881.3433333399998</v>
      </c>
      <c r="M52">
        <f>SUBTOTAL(101,CA8_wall50_it5_neigh5[max_room_size])</f>
        <v>2045.88</v>
      </c>
      <c r="N52">
        <f>SUBTOTAL(101,CA8_wall50_it5_neigh5[min_room_size])</f>
        <v>1728.18</v>
      </c>
      <c r="O52">
        <f>SUBTOTAL(101,CA8_wall50_it5_neigh5[room_tiles])</f>
        <v>2048.16</v>
      </c>
      <c r="P52" s="2">
        <f>SUBTOTAL(101,CA8_wall50_it5_neigh5[room_ratio])</f>
        <v>0.9616371800000002</v>
      </c>
    </row>
    <row r="53" spans="1:16" x14ac:dyDescent="0.25">
      <c r="A53" s="22" t="s">
        <v>37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E242-05A0-45CC-83F6-7558856D2E97}">
  <dimension ref="A1:P53"/>
  <sheetViews>
    <sheetView topLeftCell="A22" workbookViewId="0">
      <selection activeCell="H55" sqref="H55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914504592</v>
      </c>
      <c r="C2">
        <v>2056</v>
      </c>
      <c r="D2">
        <v>444</v>
      </c>
      <c r="E2" s="1">
        <v>0.82240000000000002</v>
      </c>
      <c r="F2" s="1">
        <v>0.17760000000000001</v>
      </c>
      <c r="G2">
        <v>52</v>
      </c>
      <c r="H2">
        <v>2</v>
      </c>
      <c r="I2">
        <v>2052</v>
      </c>
      <c r="J2" s="20">
        <v>0.998054</v>
      </c>
      <c r="K2">
        <v>1</v>
      </c>
      <c r="L2">
        <v>1969</v>
      </c>
      <c r="M2">
        <v>1969</v>
      </c>
      <c r="N2">
        <v>1969</v>
      </c>
      <c r="O2">
        <v>1969</v>
      </c>
      <c r="P2" s="1">
        <v>0.95768500000000001</v>
      </c>
    </row>
    <row r="3" spans="1:16" x14ac:dyDescent="0.25">
      <c r="A3" t="s">
        <v>16</v>
      </c>
      <c r="B3" s="19">
        <v>2040120862</v>
      </c>
      <c r="C3">
        <v>2004</v>
      </c>
      <c r="D3">
        <v>496</v>
      </c>
      <c r="E3" s="1">
        <v>0.80159999999999998</v>
      </c>
      <c r="F3" s="1">
        <v>0.19839999999999999</v>
      </c>
      <c r="G3">
        <v>54</v>
      </c>
      <c r="H3">
        <v>1</v>
      </c>
      <c r="I3">
        <v>2004</v>
      </c>
      <c r="J3" s="20">
        <v>1</v>
      </c>
      <c r="K3">
        <v>1</v>
      </c>
      <c r="L3">
        <v>1904</v>
      </c>
      <c r="M3">
        <v>1904</v>
      </c>
      <c r="N3">
        <v>1904</v>
      </c>
      <c r="O3">
        <v>1904</v>
      </c>
      <c r="P3" s="1">
        <v>0.95009999999999994</v>
      </c>
    </row>
    <row r="4" spans="1:16" x14ac:dyDescent="0.25">
      <c r="A4" t="s">
        <v>16</v>
      </c>
      <c r="B4" s="19">
        <v>1560937076</v>
      </c>
      <c r="C4">
        <v>2011</v>
      </c>
      <c r="D4">
        <v>489</v>
      </c>
      <c r="E4" s="1">
        <v>0.8044</v>
      </c>
      <c r="F4" s="1">
        <v>0.1956</v>
      </c>
      <c r="G4">
        <v>56</v>
      </c>
      <c r="H4">
        <v>2</v>
      </c>
      <c r="I4">
        <v>1999</v>
      </c>
      <c r="J4" s="20">
        <v>0.99403300000000006</v>
      </c>
      <c r="K4">
        <v>2</v>
      </c>
      <c r="L4">
        <v>948</v>
      </c>
      <c r="M4">
        <v>1890</v>
      </c>
      <c r="N4">
        <v>6</v>
      </c>
      <c r="O4">
        <v>1896</v>
      </c>
      <c r="P4" s="1">
        <v>0.94281499999999996</v>
      </c>
    </row>
    <row r="5" spans="1:16" x14ac:dyDescent="0.25">
      <c r="A5" t="s">
        <v>16</v>
      </c>
      <c r="B5" s="19">
        <v>581327224</v>
      </c>
      <c r="C5">
        <v>1959</v>
      </c>
      <c r="D5">
        <v>541</v>
      </c>
      <c r="E5" s="1">
        <v>0.78359999999999996</v>
      </c>
      <c r="F5" s="1">
        <v>0.21640000000000001</v>
      </c>
      <c r="G5">
        <v>51</v>
      </c>
      <c r="H5">
        <v>3</v>
      </c>
      <c r="I5">
        <v>1956</v>
      </c>
      <c r="J5" s="20">
        <v>0.99846900000000005</v>
      </c>
      <c r="K5">
        <v>1</v>
      </c>
      <c r="L5">
        <v>1851</v>
      </c>
      <c r="M5">
        <v>1851</v>
      </c>
      <c r="N5">
        <v>1851</v>
      </c>
      <c r="O5">
        <v>1851</v>
      </c>
      <c r="P5" s="1">
        <v>0.94486999999999999</v>
      </c>
    </row>
    <row r="6" spans="1:16" x14ac:dyDescent="0.25">
      <c r="A6" t="s">
        <v>16</v>
      </c>
      <c r="B6" s="19">
        <v>997674815</v>
      </c>
      <c r="C6">
        <v>2051</v>
      </c>
      <c r="D6">
        <v>449</v>
      </c>
      <c r="E6" s="1">
        <v>0.82040000000000002</v>
      </c>
      <c r="F6" s="1">
        <v>0.17960000000000001</v>
      </c>
      <c r="G6">
        <v>54</v>
      </c>
      <c r="H6">
        <v>2</v>
      </c>
      <c r="I6">
        <v>2049</v>
      </c>
      <c r="J6" s="20">
        <v>0.99902500000000005</v>
      </c>
      <c r="K6">
        <v>1</v>
      </c>
      <c r="L6">
        <v>1946</v>
      </c>
      <c r="M6">
        <v>1946</v>
      </c>
      <c r="N6">
        <v>1946</v>
      </c>
      <c r="O6">
        <v>1946</v>
      </c>
      <c r="P6" s="1">
        <v>0.94880500000000001</v>
      </c>
    </row>
    <row r="7" spans="1:16" x14ac:dyDescent="0.25">
      <c r="A7" t="s">
        <v>16</v>
      </c>
      <c r="B7" s="19">
        <v>1701870402</v>
      </c>
      <c r="C7">
        <v>2003</v>
      </c>
      <c r="D7">
        <v>497</v>
      </c>
      <c r="E7" s="1">
        <v>0.80120000000000002</v>
      </c>
      <c r="F7" s="1">
        <v>0.1988</v>
      </c>
      <c r="G7">
        <v>56</v>
      </c>
      <c r="H7">
        <v>2</v>
      </c>
      <c r="I7">
        <v>2001</v>
      </c>
      <c r="J7" s="20">
        <v>0.99900100000000003</v>
      </c>
      <c r="K7">
        <v>1</v>
      </c>
      <c r="L7">
        <v>1909</v>
      </c>
      <c r="M7">
        <v>1909</v>
      </c>
      <c r="N7">
        <v>1909</v>
      </c>
      <c r="O7">
        <v>1909</v>
      </c>
      <c r="P7" s="1">
        <v>0.95306999999999997</v>
      </c>
    </row>
    <row r="8" spans="1:16" x14ac:dyDescent="0.25">
      <c r="A8" t="s">
        <v>16</v>
      </c>
      <c r="B8" s="19">
        <v>654158292</v>
      </c>
      <c r="C8">
        <v>2060</v>
      </c>
      <c r="D8">
        <v>440</v>
      </c>
      <c r="E8" s="1">
        <v>0.82399999999999995</v>
      </c>
      <c r="F8" s="1">
        <v>0.17599999999999999</v>
      </c>
      <c r="G8">
        <v>49</v>
      </c>
      <c r="H8">
        <v>2</v>
      </c>
      <c r="I8">
        <v>2058</v>
      </c>
      <c r="J8" s="20">
        <v>0.99902899999999994</v>
      </c>
      <c r="K8">
        <v>1</v>
      </c>
      <c r="L8">
        <v>1962</v>
      </c>
      <c r="M8">
        <v>1962</v>
      </c>
      <c r="N8">
        <v>1962</v>
      </c>
      <c r="O8">
        <v>1962</v>
      </c>
      <c r="P8" s="1">
        <v>0.95242700000000002</v>
      </c>
    </row>
    <row r="9" spans="1:16" x14ac:dyDescent="0.25">
      <c r="A9" t="s">
        <v>16</v>
      </c>
      <c r="B9" s="19">
        <v>1876644390</v>
      </c>
      <c r="C9">
        <v>2122</v>
      </c>
      <c r="D9">
        <v>378</v>
      </c>
      <c r="E9" s="1">
        <v>0.8488</v>
      </c>
      <c r="F9" s="1">
        <v>0.1512</v>
      </c>
      <c r="G9">
        <v>50</v>
      </c>
      <c r="H9">
        <v>2</v>
      </c>
      <c r="I9">
        <v>2118</v>
      </c>
      <c r="J9" s="20">
        <v>0.99811499999999997</v>
      </c>
      <c r="K9">
        <v>1</v>
      </c>
      <c r="L9">
        <v>2045</v>
      </c>
      <c r="M9">
        <v>2045</v>
      </c>
      <c r="N9">
        <v>2045</v>
      </c>
      <c r="O9">
        <v>2045</v>
      </c>
      <c r="P9" s="1">
        <v>0.96371300000000004</v>
      </c>
    </row>
    <row r="10" spans="1:16" x14ac:dyDescent="0.25">
      <c r="A10" t="s">
        <v>16</v>
      </c>
      <c r="B10" s="19">
        <v>714446276</v>
      </c>
      <c r="C10">
        <v>1950</v>
      </c>
      <c r="D10">
        <v>550</v>
      </c>
      <c r="E10" s="1">
        <v>0.78</v>
      </c>
      <c r="F10" s="1">
        <v>0.22</v>
      </c>
      <c r="G10">
        <v>55</v>
      </c>
      <c r="H10">
        <v>3</v>
      </c>
      <c r="I10">
        <v>1925</v>
      </c>
      <c r="J10" s="20">
        <v>0.98717900000000003</v>
      </c>
      <c r="K10">
        <v>2</v>
      </c>
      <c r="L10">
        <v>922.5</v>
      </c>
      <c r="M10">
        <v>1829</v>
      </c>
      <c r="N10">
        <v>16</v>
      </c>
      <c r="O10">
        <v>1845</v>
      </c>
      <c r="P10" s="1">
        <v>0.94615400000000005</v>
      </c>
    </row>
    <row r="11" spans="1:16" x14ac:dyDescent="0.25">
      <c r="A11" t="s">
        <v>16</v>
      </c>
      <c r="B11" s="19">
        <v>756046815</v>
      </c>
      <c r="C11">
        <v>1942</v>
      </c>
      <c r="D11">
        <v>558</v>
      </c>
      <c r="E11" s="1">
        <v>0.77680000000000005</v>
      </c>
      <c r="F11" s="1">
        <v>0.22320000000000001</v>
      </c>
      <c r="G11">
        <v>49</v>
      </c>
      <c r="H11">
        <v>2</v>
      </c>
      <c r="I11">
        <v>1936</v>
      </c>
      <c r="J11" s="20">
        <v>0.99690999999999996</v>
      </c>
      <c r="K11">
        <v>2</v>
      </c>
      <c r="L11">
        <v>923.5</v>
      </c>
      <c r="M11">
        <v>1846</v>
      </c>
      <c r="N11">
        <v>1</v>
      </c>
      <c r="O11">
        <v>1847</v>
      </c>
      <c r="P11" s="1">
        <v>0.95108099999999995</v>
      </c>
    </row>
    <row r="12" spans="1:16" x14ac:dyDescent="0.25">
      <c r="A12" t="s">
        <v>16</v>
      </c>
      <c r="B12" s="19">
        <v>1962387175</v>
      </c>
      <c r="C12">
        <v>2058</v>
      </c>
      <c r="D12">
        <v>442</v>
      </c>
      <c r="E12" s="1">
        <v>0.82320000000000004</v>
      </c>
      <c r="F12" s="1">
        <v>0.17680000000000001</v>
      </c>
      <c r="G12">
        <v>49</v>
      </c>
      <c r="H12">
        <v>1</v>
      </c>
      <c r="I12">
        <v>2058</v>
      </c>
      <c r="J12" s="20">
        <v>1</v>
      </c>
      <c r="K12">
        <v>1</v>
      </c>
      <c r="L12">
        <v>1963</v>
      </c>
      <c r="M12">
        <v>1963</v>
      </c>
      <c r="N12">
        <v>1963</v>
      </c>
      <c r="O12">
        <v>1963</v>
      </c>
      <c r="P12" s="1">
        <v>0.95383899999999999</v>
      </c>
    </row>
    <row r="13" spans="1:16" x14ac:dyDescent="0.25">
      <c r="A13" t="s">
        <v>16</v>
      </c>
      <c r="B13" s="19">
        <v>1792132066</v>
      </c>
      <c r="C13">
        <v>2062</v>
      </c>
      <c r="D13">
        <v>438</v>
      </c>
      <c r="E13" s="1">
        <v>0.82479999999999998</v>
      </c>
      <c r="F13" s="1">
        <v>0.17519999999999999</v>
      </c>
      <c r="G13">
        <v>52</v>
      </c>
      <c r="H13">
        <v>2</v>
      </c>
      <c r="I13">
        <v>2058</v>
      </c>
      <c r="J13" s="20">
        <v>0.99805999999999995</v>
      </c>
      <c r="K13">
        <v>1</v>
      </c>
      <c r="L13">
        <v>1971</v>
      </c>
      <c r="M13">
        <v>1971</v>
      </c>
      <c r="N13">
        <v>1971</v>
      </c>
      <c r="O13">
        <v>1971</v>
      </c>
      <c r="P13" s="1">
        <v>0.95586800000000005</v>
      </c>
    </row>
    <row r="14" spans="1:16" x14ac:dyDescent="0.25">
      <c r="A14" t="s">
        <v>16</v>
      </c>
      <c r="B14" s="19">
        <v>2109557260</v>
      </c>
      <c r="C14">
        <v>2117</v>
      </c>
      <c r="D14">
        <v>383</v>
      </c>
      <c r="E14" s="1">
        <v>0.8468</v>
      </c>
      <c r="F14" s="1">
        <v>0.1532</v>
      </c>
      <c r="G14">
        <v>55</v>
      </c>
      <c r="H14">
        <v>1</v>
      </c>
      <c r="I14">
        <v>2117</v>
      </c>
      <c r="J14" s="20">
        <v>1</v>
      </c>
      <c r="K14">
        <v>1</v>
      </c>
      <c r="L14">
        <v>2023</v>
      </c>
      <c r="M14">
        <v>2023</v>
      </c>
      <c r="N14">
        <v>2023</v>
      </c>
      <c r="O14">
        <v>2023</v>
      </c>
      <c r="P14" s="1">
        <v>0.95559799999999995</v>
      </c>
    </row>
    <row r="15" spans="1:16" x14ac:dyDescent="0.25">
      <c r="A15" t="s">
        <v>16</v>
      </c>
      <c r="B15" s="19">
        <v>2114525714</v>
      </c>
      <c r="C15">
        <v>2067</v>
      </c>
      <c r="D15">
        <v>433</v>
      </c>
      <c r="E15" s="1">
        <v>0.82679999999999998</v>
      </c>
      <c r="F15" s="1">
        <v>0.17319999999999999</v>
      </c>
      <c r="G15">
        <v>49</v>
      </c>
      <c r="H15">
        <v>2</v>
      </c>
      <c r="I15">
        <v>2001</v>
      </c>
      <c r="J15" s="20">
        <v>0.96806999999999999</v>
      </c>
      <c r="K15">
        <v>2</v>
      </c>
      <c r="L15">
        <v>983</v>
      </c>
      <c r="M15">
        <v>1909</v>
      </c>
      <c r="N15">
        <v>57</v>
      </c>
      <c r="O15">
        <v>1966</v>
      </c>
      <c r="P15" s="1">
        <v>0.95113700000000001</v>
      </c>
    </row>
    <row r="16" spans="1:16" x14ac:dyDescent="0.25">
      <c r="A16" t="s">
        <v>16</v>
      </c>
      <c r="B16" s="19">
        <v>636213234</v>
      </c>
      <c r="C16">
        <v>2010</v>
      </c>
      <c r="D16">
        <v>490</v>
      </c>
      <c r="E16" s="1">
        <v>0.80400000000000005</v>
      </c>
      <c r="F16" s="1">
        <v>0.19600000000000001</v>
      </c>
      <c r="G16">
        <v>49</v>
      </c>
      <c r="H16">
        <v>1</v>
      </c>
      <c r="I16">
        <v>2010</v>
      </c>
      <c r="J16" s="20">
        <v>1</v>
      </c>
      <c r="K16">
        <v>1</v>
      </c>
      <c r="L16">
        <v>1897</v>
      </c>
      <c r="M16">
        <v>1897</v>
      </c>
      <c r="N16">
        <v>1897</v>
      </c>
      <c r="O16">
        <v>1897</v>
      </c>
      <c r="P16" s="1">
        <v>0.94378099999999998</v>
      </c>
    </row>
    <row r="17" spans="1:16" x14ac:dyDescent="0.25">
      <c r="A17" t="s">
        <v>16</v>
      </c>
      <c r="B17" s="19">
        <v>1124512625</v>
      </c>
      <c r="C17">
        <v>2057</v>
      </c>
      <c r="D17">
        <v>443</v>
      </c>
      <c r="E17" s="1">
        <v>0.82279999999999998</v>
      </c>
      <c r="F17" s="1">
        <v>0.1772</v>
      </c>
      <c r="G17">
        <v>51</v>
      </c>
      <c r="H17">
        <v>1</v>
      </c>
      <c r="I17">
        <v>2057</v>
      </c>
      <c r="J17" s="20">
        <v>1</v>
      </c>
      <c r="K17">
        <v>1</v>
      </c>
      <c r="L17">
        <v>1973</v>
      </c>
      <c r="M17">
        <v>1973</v>
      </c>
      <c r="N17">
        <v>1973</v>
      </c>
      <c r="O17">
        <v>1973</v>
      </c>
      <c r="P17" s="1">
        <v>0.95916400000000002</v>
      </c>
    </row>
    <row r="18" spans="1:16" x14ac:dyDescent="0.25">
      <c r="A18" t="s">
        <v>16</v>
      </c>
      <c r="B18" s="19">
        <v>2091420700</v>
      </c>
      <c r="C18">
        <v>2111</v>
      </c>
      <c r="D18">
        <v>389</v>
      </c>
      <c r="E18" s="1">
        <v>0.84440000000000004</v>
      </c>
      <c r="F18" s="1">
        <v>0.15559999999999999</v>
      </c>
      <c r="G18">
        <v>51</v>
      </c>
      <c r="H18">
        <v>1</v>
      </c>
      <c r="I18">
        <v>2111</v>
      </c>
      <c r="J18" s="20">
        <v>1</v>
      </c>
      <c r="K18">
        <v>1</v>
      </c>
      <c r="L18">
        <v>2022</v>
      </c>
      <c r="M18">
        <v>2022</v>
      </c>
      <c r="N18">
        <v>2022</v>
      </c>
      <c r="O18">
        <v>2022</v>
      </c>
      <c r="P18" s="1">
        <v>0.95784000000000002</v>
      </c>
    </row>
    <row r="19" spans="1:16" x14ac:dyDescent="0.25">
      <c r="A19" t="s">
        <v>16</v>
      </c>
      <c r="B19" s="19">
        <v>1643619096</v>
      </c>
      <c r="C19">
        <v>2090</v>
      </c>
      <c r="D19">
        <v>410</v>
      </c>
      <c r="E19" s="1">
        <v>0.83599999999999997</v>
      </c>
      <c r="F19" s="1">
        <v>0.16400000000000001</v>
      </c>
      <c r="G19">
        <v>49</v>
      </c>
      <c r="H19">
        <v>1</v>
      </c>
      <c r="I19">
        <v>2090</v>
      </c>
      <c r="J19" s="20">
        <v>1</v>
      </c>
      <c r="K19">
        <v>1</v>
      </c>
      <c r="L19">
        <v>1991</v>
      </c>
      <c r="M19">
        <v>1991</v>
      </c>
      <c r="N19">
        <v>1991</v>
      </c>
      <c r="O19">
        <v>1991</v>
      </c>
      <c r="P19" s="1">
        <v>0.95263200000000003</v>
      </c>
    </row>
    <row r="20" spans="1:16" x14ac:dyDescent="0.25">
      <c r="A20" t="s">
        <v>16</v>
      </c>
      <c r="B20" s="19">
        <v>1113684502</v>
      </c>
      <c r="C20">
        <v>1991</v>
      </c>
      <c r="D20">
        <v>509</v>
      </c>
      <c r="E20" s="1">
        <v>0.7964</v>
      </c>
      <c r="F20" s="1">
        <v>0.2036</v>
      </c>
      <c r="G20">
        <v>51</v>
      </c>
      <c r="H20">
        <v>2</v>
      </c>
      <c r="I20">
        <v>1965</v>
      </c>
      <c r="J20" s="20">
        <v>0.98694099999999996</v>
      </c>
      <c r="K20">
        <v>2</v>
      </c>
      <c r="L20">
        <v>935.5</v>
      </c>
      <c r="M20">
        <v>1853</v>
      </c>
      <c r="N20">
        <v>18</v>
      </c>
      <c r="O20">
        <v>1871</v>
      </c>
      <c r="P20" s="1">
        <v>0.93972900000000004</v>
      </c>
    </row>
    <row r="21" spans="1:16" x14ac:dyDescent="0.25">
      <c r="A21" t="s">
        <v>16</v>
      </c>
      <c r="B21" s="19">
        <v>561819306</v>
      </c>
      <c r="C21">
        <v>2095</v>
      </c>
      <c r="D21">
        <v>405</v>
      </c>
      <c r="E21" s="1">
        <v>0.83799999999999997</v>
      </c>
      <c r="F21" s="1">
        <v>0.16200000000000001</v>
      </c>
      <c r="G21">
        <v>52</v>
      </c>
      <c r="H21">
        <v>2</v>
      </c>
      <c r="I21">
        <v>2087</v>
      </c>
      <c r="J21" s="20">
        <v>0.99618099999999998</v>
      </c>
      <c r="K21">
        <v>2</v>
      </c>
      <c r="L21">
        <v>1003</v>
      </c>
      <c r="M21">
        <v>2003</v>
      </c>
      <c r="N21">
        <v>3</v>
      </c>
      <c r="O21">
        <v>2006</v>
      </c>
      <c r="P21" s="1">
        <v>0.95751799999999998</v>
      </c>
    </row>
    <row r="22" spans="1:16" x14ac:dyDescent="0.25">
      <c r="A22" t="s">
        <v>16</v>
      </c>
      <c r="B22" s="19">
        <v>533334441</v>
      </c>
      <c r="C22">
        <v>1953</v>
      </c>
      <c r="D22">
        <v>547</v>
      </c>
      <c r="E22" s="1">
        <v>0.78120000000000001</v>
      </c>
      <c r="F22" s="1">
        <v>0.21879999999999999</v>
      </c>
      <c r="G22">
        <v>61</v>
      </c>
      <c r="H22">
        <v>1</v>
      </c>
      <c r="I22">
        <v>1953</v>
      </c>
      <c r="J22" s="20">
        <v>1</v>
      </c>
      <c r="K22">
        <v>1</v>
      </c>
      <c r="L22">
        <v>1835</v>
      </c>
      <c r="M22">
        <v>1835</v>
      </c>
      <c r="N22">
        <v>1835</v>
      </c>
      <c r="O22">
        <v>1835</v>
      </c>
      <c r="P22" s="1">
        <v>0.93957999999999997</v>
      </c>
    </row>
    <row r="23" spans="1:16" x14ac:dyDescent="0.25">
      <c r="A23" t="s">
        <v>16</v>
      </c>
      <c r="B23" s="19">
        <v>1492157679</v>
      </c>
      <c r="C23">
        <v>2071</v>
      </c>
      <c r="D23">
        <v>429</v>
      </c>
      <c r="E23" s="1">
        <v>0.82840000000000003</v>
      </c>
      <c r="F23" s="1">
        <v>0.1716</v>
      </c>
      <c r="G23">
        <v>51</v>
      </c>
      <c r="H23">
        <v>1</v>
      </c>
      <c r="I23">
        <v>2071</v>
      </c>
      <c r="J23" s="20">
        <v>1</v>
      </c>
      <c r="K23">
        <v>1</v>
      </c>
      <c r="L23">
        <v>1990</v>
      </c>
      <c r="M23">
        <v>1990</v>
      </c>
      <c r="N23">
        <v>1990</v>
      </c>
      <c r="O23">
        <v>1990</v>
      </c>
      <c r="P23" s="1">
        <v>0.96088799999999996</v>
      </c>
    </row>
    <row r="24" spans="1:16" x14ac:dyDescent="0.25">
      <c r="A24" t="s">
        <v>16</v>
      </c>
      <c r="B24" s="19">
        <v>1829687029</v>
      </c>
      <c r="C24">
        <v>2125</v>
      </c>
      <c r="D24">
        <v>375</v>
      </c>
      <c r="E24" s="1">
        <v>0.85</v>
      </c>
      <c r="F24" s="1">
        <v>0.15</v>
      </c>
      <c r="G24">
        <v>49</v>
      </c>
      <c r="H24">
        <v>1</v>
      </c>
      <c r="I24">
        <v>2125</v>
      </c>
      <c r="J24" s="20">
        <v>1</v>
      </c>
      <c r="K24">
        <v>1</v>
      </c>
      <c r="L24">
        <v>2056</v>
      </c>
      <c r="M24">
        <v>2056</v>
      </c>
      <c r="N24">
        <v>2056</v>
      </c>
      <c r="O24">
        <v>2056</v>
      </c>
      <c r="P24" s="1">
        <v>0.96752899999999997</v>
      </c>
    </row>
    <row r="25" spans="1:16" x14ac:dyDescent="0.25">
      <c r="A25" t="s">
        <v>16</v>
      </c>
      <c r="B25" s="19">
        <v>1065915270</v>
      </c>
      <c r="C25">
        <v>2054</v>
      </c>
      <c r="D25">
        <v>446</v>
      </c>
      <c r="E25" s="1">
        <v>0.8216</v>
      </c>
      <c r="F25" s="1">
        <v>0.1784</v>
      </c>
      <c r="G25">
        <v>52</v>
      </c>
      <c r="H25">
        <v>1</v>
      </c>
      <c r="I25">
        <v>2054</v>
      </c>
      <c r="J25" s="20">
        <v>1</v>
      </c>
      <c r="K25">
        <v>1</v>
      </c>
      <c r="L25">
        <v>1968</v>
      </c>
      <c r="M25">
        <v>1968</v>
      </c>
      <c r="N25">
        <v>1968</v>
      </c>
      <c r="O25">
        <v>1968</v>
      </c>
      <c r="P25" s="1">
        <v>0.95813000000000004</v>
      </c>
    </row>
    <row r="26" spans="1:16" x14ac:dyDescent="0.25">
      <c r="A26" t="s">
        <v>16</v>
      </c>
      <c r="B26" s="19">
        <v>1476327629</v>
      </c>
      <c r="C26">
        <v>2184</v>
      </c>
      <c r="D26">
        <v>316</v>
      </c>
      <c r="E26" s="1">
        <v>0.87360000000000004</v>
      </c>
      <c r="F26" s="1">
        <v>0.12640000000000001</v>
      </c>
      <c r="G26">
        <v>50</v>
      </c>
      <c r="H26">
        <v>1</v>
      </c>
      <c r="I26">
        <v>2184</v>
      </c>
      <c r="J26" s="20">
        <v>1</v>
      </c>
      <c r="K26">
        <v>1</v>
      </c>
      <c r="L26">
        <v>2108</v>
      </c>
      <c r="M26">
        <v>2108</v>
      </c>
      <c r="N26">
        <v>2108</v>
      </c>
      <c r="O26">
        <v>2108</v>
      </c>
      <c r="P26" s="1">
        <v>0.96520099999999998</v>
      </c>
    </row>
    <row r="27" spans="1:16" x14ac:dyDescent="0.25">
      <c r="A27" t="s">
        <v>16</v>
      </c>
      <c r="B27" s="19">
        <v>1569192844</v>
      </c>
      <c r="C27">
        <v>2073</v>
      </c>
      <c r="D27">
        <v>427</v>
      </c>
      <c r="E27" s="1">
        <v>0.82920000000000005</v>
      </c>
      <c r="F27" s="1">
        <v>0.17080000000000001</v>
      </c>
      <c r="G27">
        <v>51</v>
      </c>
      <c r="H27">
        <v>2</v>
      </c>
      <c r="I27">
        <v>2063</v>
      </c>
      <c r="J27" s="20">
        <v>0.99517599999999995</v>
      </c>
      <c r="K27">
        <v>4</v>
      </c>
      <c r="L27">
        <v>493.5</v>
      </c>
      <c r="M27">
        <v>1939</v>
      </c>
      <c r="N27">
        <v>2</v>
      </c>
      <c r="O27">
        <v>1974</v>
      </c>
      <c r="P27" s="1">
        <v>0.95224299999999995</v>
      </c>
    </row>
    <row r="28" spans="1:16" x14ac:dyDescent="0.25">
      <c r="A28" t="s">
        <v>16</v>
      </c>
      <c r="B28" s="19">
        <v>159780207</v>
      </c>
      <c r="C28">
        <v>2089</v>
      </c>
      <c r="D28">
        <v>411</v>
      </c>
      <c r="E28" s="1">
        <v>0.83560000000000001</v>
      </c>
      <c r="F28" s="1">
        <v>0.16439999999999999</v>
      </c>
      <c r="G28">
        <v>49</v>
      </c>
      <c r="H28">
        <v>1</v>
      </c>
      <c r="I28">
        <v>2089</v>
      </c>
      <c r="J28" s="20">
        <v>1</v>
      </c>
      <c r="K28">
        <v>1</v>
      </c>
      <c r="L28">
        <v>2000</v>
      </c>
      <c r="M28">
        <v>2000</v>
      </c>
      <c r="N28">
        <v>2000</v>
      </c>
      <c r="O28">
        <v>2000</v>
      </c>
      <c r="P28" s="1">
        <v>0.95739600000000002</v>
      </c>
    </row>
    <row r="29" spans="1:16" x14ac:dyDescent="0.25">
      <c r="A29" t="s">
        <v>16</v>
      </c>
      <c r="B29" s="19">
        <v>1507125391</v>
      </c>
      <c r="C29">
        <v>1955</v>
      </c>
      <c r="D29">
        <v>545</v>
      </c>
      <c r="E29" s="1">
        <v>0.78200000000000003</v>
      </c>
      <c r="F29" s="1">
        <v>0.218</v>
      </c>
      <c r="G29">
        <v>53</v>
      </c>
      <c r="H29">
        <v>2</v>
      </c>
      <c r="I29">
        <v>1943</v>
      </c>
      <c r="J29" s="20">
        <v>0.99386200000000002</v>
      </c>
      <c r="K29">
        <v>2</v>
      </c>
      <c r="L29">
        <v>923</v>
      </c>
      <c r="M29">
        <v>1838</v>
      </c>
      <c r="N29">
        <v>8</v>
      </c>
      <c r="O29">
        <v>1846</v>
      </c>
      <c r="P29" s="1">
        <v>0.94424600000000003</v>
      </c>
    </row>
    <row r="30" spans="1:16" x14ac:dyDescent="0.25">
      <c r="A30" t="s">
        <v>16</v>
      </c>
      <c r="B30" s="19">
        <v>1951660623</v>
      </c>
      <c r="C30">
        <v>2023</v>
      </c>
      <c r="D30">
        <v>477</v>
      </c>
      <c r="E30" s="1">
        <v>0.80920000000000003</v>
      </c>
      <c r="F30" s="1">
        <v>0.1908</v>
      </c>
      <c r="G30">
        <v>50</v>
      </c>
      <c r="H30">
        <v>2</v>
      </c>
      <c r="I30">
        <v>2015</v>
      </c>
      <c r="J30" s="20">
        <v>0.99604499999999996</v>
      </c>
      <c r="K30">
        <v>2</v>
      </c>
      <c r="L30">
        <v>960.5</v>
      </c>
      <c r="M30">
        <v>1917</v>
      </c>
      <c r="N30">
        <v>4</v>
      </c>
      <c r="O30">
        <v>1921</v>
      </c>
      <c r="P30" s="1">
        <v>0.94957999999999998</v>
      </c>
    </row>
    <row r="31" spans="1:16" x14ac:dyDescent="0.25">
      <c r="A31" t="s">
        <v>16</v>
      </c>
      <c r="B31" s="19">
        <v>148194594</v>
      </c>
      <c r="C31">
        <v>1988</v>
      </c>
      <c r="D31">
        <v>512</v>
      </c>
      <c r="E31" s="1">
        <v>0.79520000000000002</v>
      </c>
      <c r="F31" s="1">
        <v>0.20480000000000001</v>
      </c>
      <c r="G31">
        <v>54</v>
      </c>
      <c r="H31">
        <v>1</v>
      </c>
      <c r="I31">
        <v>1988</v>
      </c>
      <c r="J31" s="20">
        <v>1</v>
      </c>
      <c r="K31">
        <v>3</v>
      </c>
      <c r="L31">
        <v>627</v>
      </c>
      <c r="M31">
        <v>1860</v>
      </c>
      <c r="N31">
        <v>8</v>
      </c>
      <c r="O31">
        <v>1881</v>
      </c>
      <c r="P31" s="1">
        <v>0.94617700000000005</v>
      </c>
    </row>
    <row r="32" spans="1:16" x14ac:dyDescent="0.25">
      <c r="A32" t="s">
        <v>16</v>
      </c>
      <c r="B32" s="19">
        <v>2035950331</v>
      </c>
      <c r="C32">
        <v>2170</v>
      </c>
      <c r="D32">
        <v>330</v>
      </c>
      <c r="E32" s="1">
        <v>0.86799999999999999</v>
      </c>
      <c r="F32" s="1">
        <v>0.13200000000000001</v>
      </c>
      <c r="G32">
        <v>52</v>
      </c>
      <c r="H32">
        <v>1</v>
      </c>
      <c r="I32">
        <v>2170</v>
      </c>
      <c r="J32" s="20">
        <v>1</v>
      </c>
      <c r="K32">
        <v>1</v>
      </c>
      <c r="L32">
        <v>2094</v>
      </c>
      <c r="M32">
        <v>2094</v>
      </c>
      <c r="N32">
        <v>2094</v>
      </c>
      <c r="O32">
        <v>2094</v>
      </c>
      <c r="P32" s="1">
        <v>0.96497699999999997</v>
      </c>
    </row>
    <row r="33" spans="1:16" x14ac:dyDescent="0.25">
      <c r="A33" t="s">
        <v>16</v>
      </c>
      <c r="B33" s="19">
        <v>508800745</v>
      </c>
      <c r="C33">
        <v>1908</v>
      </c>
      <c r="D33">
        <v>592</v>
      </c>
      <c r="E33" s="1">
        <v>0.76319999999999999</v>
      </c>
      <c r="F33" s="1">
        <v>0.23680000000000001</v>
      </c>
      <c r="G33">
        <v>60</v>
      </c>
      <c r="H33">
        <v>2</v>
      </c>
      <c r="I33">
        <v>1907</v>
      </c>
      <c r="J33" s="20">
        <v>0.99947600000000003</v>
      </c>
      <c r="K33">
        <v>1</v>
      </c>
      <c r="L33">
        <v>1818</v>
      </c>
      <c r="M33">
        <v>1818</v>
      </c>
      <c r="N33">
        <v>1818</v>
      </c>
      <c r="O33">
        <v>1818</v>
      </c>
      <c r="P33" s="1">
        <v>0.95282999999999995</v>
      </c>
    </row>
    <row r="34" spans="1:16" x14ac:dyDescent="0.25">
      <c r="A34" t="s">
        <v>16</v>
      </c>
      <c r="B34" s="19">
        <v>77520390</v>
      </c>
      <c r="C34">
        <v>2026</v>
      </c>
      <c r="D34">
        <v>474</v>
      </c>
      <c r="E34" s="1">
        <v>0.81040000000000001</v>
      </c>
      <c r="F34" s="1">
        <v>0.18959999999999999</v>
      </c>
      <c r="G34">
        <v>51</v>
      </c>
      <c r="H34">
        <v>1</v>
      </c>
      <c r="I34">
        <v>2026</v>
      </c>
      <c r="J34" s="20">
        <v>1</v>
      </c>
      <c r="K34">
        <v>1</v>
      </c>
      <c r="L34">
        <v>1915</v>
      </c>
      <c r="M34">
        <v>1915</v>
      </c>
      <c r="N34">
        <v>1915</v>
      </c>
      <c r="O34">
        <v>1915</v>
      </c>
      <c r="P34" s="1">
        <v>0.94521200000000005</v>
      </c>
    </row>
    <row r="35" spans="1:16" x14ac:dyDescent="0.25">
      <c r="A35" t="s">
        <v>16</v>
      </c>
      <c r="B35" s="19">
        <v>561370638</v>
      </c>
      <c r="C35">
        <v>2044</v>
      </c>
      <c r="D35">
        <v>456</v>
      </c>
      <c r="E35" s="1">
        <v>0.81759999999999999</v>
      </c>
      <c r="F35" s="1">
        <v>0.18240000000000001</v>
      </c>
      <c r="G35">
        <v>54</v>
      </c>
      <c r="H35">
        <v>2</v>
      </c>
      <c r="I35">
        <v>2042</v>
      </c>
      <c r="J35" s="20">
        <v>0.99902199999999997</v>
      </c>
      <c r="K35">
        <v>1</v>
      </c>
      <c r="L35">
        <v>1951</v>
      </c>
      <c r="M35">
        <v>1951</v>
      </c>
      <c r="N35">
        <v>1951</v>
      </c>
      <c r="O35">
        <v>1951</v>
      </c>
      <c r="P35" s="1">
        <v>0.95450100000000004</v>
      </c>
    </row>
    <row r="36" spans="1:16" x14ac:dyDescent="0.25">
      <c r="A36" t="s">
        <v>16</v>
      </c>
      <c r="B36" s="19">
        <v>493840792</v>
      </c>
      <c r="C36">
        <v>2096</v>
      </c>
      <c r="D36">
        <v>404</v>
      </c>
      <c r="E36" s="1">
        <v>0.83840000000000003</v>
      </c>
      <c r="F36" s="1">
        <v>0.16159999999999999</v>
      </c>
      <c r="G36">
        <v>51</v>
      </c>
      <c r="H36">
        <v>2</v>
      </c>
      <c r="I36">
        <v>2093</v>
      </c>
      <c r="J36" s="20">
        <v>0.99856900000000004</v>
      </c>
      <c r="K36">
        <v>1</v>
      </c>
      <c r="L36">
        <v>2021</v>
      </c>
      <c r="M36">
        <v>2021</v>
      </c>
      <c r="N36">
        <v>2021</v>
      </c>
      <c r="O36">
        <v>2021</v>
      </c>
      <c r="P36" s="1">
        <v>0.96421800000000002</v>
      </c>
    </row>
    <row r="37" spans="1:16" x14ac:dyDescent="0.25">
      <c r="A37" t="s">
        <v>16</v>
      </c>
      <c r="B37" s="19">
        <v>1324390016</v>
      </c>
      <c r="C37">
        <v>2110</v>
      </c>
      <c r="D37">
        <v>390</v>
      </c>
      <c r="E37" s="1">
        <v>0.84399999999999997</v>
      </c>
      <c r="F37" s="1">
        <v>0.156</v>
      </c>
      <c r="G37">
        <v>49</v>
      </c>
      <c r="H37">
        <v>1</v>
      </c>
      <c r="I37">
        <v>2110</v>
      </c>
      <c r="J37" s="20">
        <v>1</v>
      </c>
      <c r="K37">
        <v>1</v>
      </c>
      <c r="L37">
        <v>2019</v>
      </c>
      <c r="M37">
        <v>2019</v>
      </c>
      <c r="N37">
        <v>2019</v>
      </c>
      <c r="O37">
        <v>2019</v>
      </c>
      <c r="P37" s="1">
        <v>0.95687199999999994</v>
      </c>
    </row>
    <row r="38" spans="1:16" x14ac:dyDescent="0.25">
      <c r="A38" t="s">
        <v>16</v>
      </c>
      <c r="B38" s="19">
        <v>65792334</v>
      </c>
      <c r="C38">
        <v>1910</v>
      </c>
      <c r="D38">
        <v>590</v>
      </c>
      <c r="E38" s="1">
        <v>0.76400000000000001</v>
      </c>
      <c r="F38" s="1">
        <v>0.23599999999999999</v>
      </c>
      <c r="G38">
        <v>54</v>
      </c>
      <c r="H38">
        <v>2</v>
      </c>
      <c r="I38">
        <v>1908</v>
      </c>
      <c r="J38" s="20">
        <v>0.99895299999999998</v>
      </c>
      <c r="K38">
        <v>1</v>
      </c>
      <c r="L38">
        <v>1802</v>
      </c>
      <c r="M38">
        <v>1802</v>
      </c>
      <c r="N38">
        <v>1802</v>
      </c>
      <c r="O38">
        <v>1802</v>
      </c>
      <c r="P38" s="1">
        <v>0.94345500000000004</v>
      </c>
    </row>
    <row r="39" spans="1:16" x14ac:dyDescent="0.25">
      <c r="A39" t="s">
        <v>16</v>
      </c>
      <c r="B39" s="19">
        <v>1485941303</v>
      </c>
      <c r="C39">
        <v>1982</v>
      </c>
      <c r="D39">
        <v>518</v>
      </c>
      <c r="E39" s="1">
        <v>0.79279999999999995</v>
      </c>
      <c r="F39" s="1">
        <v>0.2072</v>
      </c>
      <c r="G39">
        <v>56</v>
      </c>
      <c r="H39">
        <v>1</v>
      </c>
      <c r="I39">
        <v>1982</v>
      </c>
      <c r="J39" s="20">
        <v>1</v>
      </c>
      <c r="K39">
        <v>1</v>
      </c>
      <c r="L39">
        <v>1887</v>
      </c>
      <c r="M39">
        <v>1887</v>
      </c>
      <c r="N39">
        <v>1887</v>
      </c>
      <c r="O39">
        <v>1887</v>
      </c>
      <c r="P39" s="1">
        <v>0.95206900000000005</v>
      </c>
    </row>
    <row r="40" spans="1:16" x14ac:dyDescent="0.25">
      <c r="A40" t="s">
        <v>16</v>
      </c>
      <c r="B40" s="19">
        <v>509313874</v>
      </c>
      <c r="C40">
        <v>1933</v>
      </c>
      <c r="D40">
        <v>567</v>
      </c>
      <c r="E40" s="1">
        <v>0.7732</v>
      </c>
      <c r="F40" s="1">
        <v>0.2268</v>
      </c>
      <c r="G40">
        <v>57</v>
      </c>
      <c r="H40">
        <v>1</v>
      </c>
      <c r="I40">
        <v>1933</v>
      </c>
      <c r="J40" s="20">
        <v>1</v>
      </c>
      <c r="K40">
        <v>1</v>
      </c>
      <c r="L40">
        <v>1824</v>
      </c>
      <c r="M40">
        <v>1824</v>
      </c>
      <c r="N40">
        <v>1824</v>
      </c>
      <c r="O40">
        <v>1824</v>
      </c>
      <c r="P40" s="1">
        <v>0.94361099999999998</v>
      </c>
    </row>
    <row r="41" spans="1:16" x14ac:dyDescent="0.25">
      <c r="A41" t="s">
        <v>16</v>
      </c>
      <c r="B41" s="19">
        <v>1943394044</v>
      </c>
      <c r="C41">
        <v>2012</v>
      </c>
      <c r="D41">
        <v>488</v>
      </c>
      <c r="E41" s="1">
        <v>0.80479999999999996</v>
      </c>
      <c r="F41" s="1">
        <v>0.19520000000000001</v>
      </c>
      <c r="G41">
        <v>60</v>
      </c>
      <c r="H41">
        <v>1</v>
      </c>
      <c r="I41">
        <v>2012</v>
      </c>
      <c r="J41" s="20">
        <v>1</v>
      </c>
      <c r="K41">
        <v>1</v>
      </c>
      <c r="L41">
        <v>1906</v>
      </c>
      <c r="M41">
        <v>1906</v>
      </c>
      <c r="N41">
        <v>1906</v>
      </c>
      <c r="O41">
        <v>1906</v>
      </c>
      <c r="P41" s="1">
        <v>0.94731600000000005</v>
      </c>
    </row>
    <row r="42" spans="1:16" x14ac:dyDescent="0.25">
      <c r="A42" t="s">
        <v>16</v>
      </c>
      <c r="B42" s="19">
        <v>662973235</v>
      </c>
      <c r="C42">
        <v>2119</v>
      </c>
      <c r="D42">
        <v>381</v>
      </c>
      <c r="E42" s="1">
        <v>0.84760000000000002</v>
      </c>
      <c r="F42" s="1">
        <v>0.15240000000000001</v>
      </c>
      <c r="G42">
        <v>49</v>
      </c>
      <c r="H42">
        <v>1</v>
      </c>
      <c r="I42">
        <v>2119</v>
      </c>
      <c r="J42" s="20">
        <v>1</v>
      </c>
      <c r="K42">
        <v>1</v>
      </c>
      <c r="L42">
        <v>2036</v>
      </c>
      <c r="M42">
        <v>2036</v>
      </c>
      <c r="N42">
        <v>2036</v>
      </c>
      <c r="O42">
        <v>2036</v>
      </c>
      <c r="P42" s="1">
        <v>0.96083099999999999</v>
      </c>
    </row>
    <row r="43" spans="1:16" x14ac:dyDescent="0.25">
      <c r="A43" t="s">
        <v>16</v>
      </c>
      <c r="B43" s="19">
        <v>525702872</v>
      </c>
      <c r="C43">
        <v>2102</v>
      </c>
      <c r="D43">
        <v>398</v>
      </c>
      <c r="E43" s="1">
        <v>0.84079999999999999</v>
      </c>
      <c r="F43" s="1">
        <v>0.15920000000000001</v>
      </c>
      <c r="G43">
        <v>51</v>
      </c>
      <c r="H43">
        <v>1</v>
      </c>
      <c r="I43">
        <v>2102</v>
      </c>
      <c r="J43" s="20">
        <v>1</v>
      </c>
      <c r="K43">
        <v>1</v>
      </c>
      <c r="L43">
        <v>2025</v>
      </c>
      <c r="M43">
        <v>2025</v>
      </c>
      <c r="N43">
        <v>2025</v>
      </c>
      <c r="O43">
        <v>2025</v>
      </c>
      <c r="P43" s="1">
        <v>0.963368</v>
      </c>
    </row>
    <row r="44" spans="1:16" x14ac:dyDescent="0.25">
      <c r="A44" t="s">
        <v>16</v>
      </c>
      <c r="B44" s="19">
        <v>1034925727</v>
      </c>
      <c r="C44">
        <v>2085</v>
      </c>
      <c r="D44">
        <v>415</v>
      </c>
      <c r="E44" s="1">
        <v>0.83399999999999996</v>
      </c>
      <c r="F44" s="1">
        <v>0.16600000000000001</v>
      </c>
      <c r="G44">
        <v>52</v>
      </c>
      <c r="H44">
        <v>1</v>
      </c>
      <c r="I44">
        <v>2085</v>
      </c>
      <c r="J44" s="20">
        <v>1</v>
      </c>
      <c r="K44">
        <v>1</v>
      </c>
      <c r="L44">
        <v>2007</v>
      </c>
      <c r="M44">
        <v>2007</v>
      </c>
      <c r="N44">
        <v>2007</v>
      </c>
      <c r="O44">
        <v>2007</v>
      </c>
      <c r="P44" s="1">
        <v>0.96258999999999995</v>
      </c>
    </row>
    <row r="45" spans="1:16" x14ac:dyDescent="0.25">
      <c r="A45" t="s">
        <v>16</v>
      </c>
      <c r="B45" s="19">
        <v>444906516</v>
      </c>
      <c r="C45">
        <v>2097</v>
      </c>
      <c r="D45">
        <v>403</v>
      </c>
      <c r="E45" s="1">
        <v>0.83879999999999999</v>
      </c>
      <c r="F45" s="1">
        <v>0.16120000000000001</v>
      </c>
      <c r="G45">
        <v>56</v>
      </c>
      <c r="H45">
        <v>1</v>
      </c>
      <c r="I45">
        <v>2097</v>
      </c>
      <c r="J45" s="20">
        <v>1</v>
      </c>
      <c r="K45">
        <v>1</v>
      </c>
      <c r="L45">
        <v>2005</v>
      </c>
      <c r="M45">
        <v>2005</v>
      </c>
      <c r="N45">
        <v>2005</v>
      </c>
      <c r="O45">
        <v>2005</v>
      </c>
      <c r="P45" s="1">
        <v>0.95612799999999998</v>
      </c>
    </row>
    <row r="46" spans="1:16" x14ac:dyDescent="0.25">
      <c r="A46" t="s">
        <v>16</v>
      </c>
      <c r="B46" s="19">
        <v>1183961094</v>
      </c>
      <c r="C46">
        <v>2117</v>
      </c>
      <c r="D46">
        <v>383</v>
      </c>
      <c r="E46" s="1">
        <v>0.8468</v>
      </c>
      <c r="F46" s="1">
        <v>0.1532</v>
      </c>
      <c r="G46">
        <v>49</v>
      </c>
      <c r="H46">
        <v>1</v>
      </c>
      <c r="I46">
        <v>2117</v>
      </c>
      <c r="J46" s="20">
        <v>1</v>
      </c>
      <c r="K46">
        <v>1</v>
      </c>
      <c r="L46">
        <v>2034</v>
      </c>
      <c r="M46">
        <v>2034</v>
      </c>
      <c r="N46">
        <v>2034</v>
      </c>
      <c r="O46">
        <v>2034</v>
      </c>
      <c r="P46" s="1">
        <v>0.96079400000000004</v>
      </c>
    </row>
    <row r="47" spans="1:16" x14ac:dyDescent="0.25">
      <c r="A47" t="s">
        <v>16</v>
      </c>
      <c r="B47" s="19">
        <v>1673313640</v>
      </c>
      <c r="C47">
        <v>2094</v>
      </c>
      <c r="D47">
        <v>406</v>
      </c>
      <c r="E47" s="1">
        <v>0.83760000000000001</v>
      </c>
      <c r="F47" s="1">
        <v>0.16239999999999999</v>
      </c>
      <c r="G47">
        <v>49</v>
      </c>
      <c r="H47">
        <v>2</v>
      </c>
      <c r="I47">
        <v>2093</v>
      </c>
      <c r="J47" s="20">
        <v>0.99952200000000002</v>
      </c>
      <c r="K47">
        <v>1</v>
      </c>
      <c r="L47">
        <v>2010</v>
      </c>
      <c r="M47">
        <v>2010</v>
      </c>
      <c r="N47">
        <v>2010</v>
      </c>
      <c r="O47">
        <v>2010</v>
      </c>
      <c r="P47" s="1">
        <v>0.95988499999999999</v>
      </c>
    </row>
    <row r="48" spans="1:16" x14ac:dyDescent="0.25">
      <c r="A48" t="s">
        <v>16</v>
      </c>
      <c r="B48" s="19">
        <v>258452818</v>
      </c>
      <c r="C48">
        <v>2126</v>
      </c>
      <c r="D48">
        <v>374</v>
      </c>
      <c r="E48" s="1">
        <v>0.85040000000000004</v>
      </c>
      <c r="F48" s="1">
        <v>0.14960000000000001</v>
      </c>
      <c r="G48">
        <v>49</v>
      </c>
      <c r="H48">
        <v>1</v>
      </c>
      <c r="I48">
        <v>2126</v>
      </c>
      <c r="J48" s="20">
        <v>1</v>
      </c>
      <c r="K48">
        <v>1</v>
      </c>
      <c r="L48">
        <v>2040</v>
      </c>
      <c r="M48">
        <v>2040</v>
      </c>
      <c r="N48">
        <v>2040</v>
      </c>
      <c r="O48">
        <v>2040</v>
      </c>
      <c r="P48" s="1">
        <v>0.95954799999999996</v>
      </c>
    </row>
    <row r="49" spans="1:16" x14ac:dyDescent="0.25">
      <c r="A49" t="s">
        <v>16</v>
      </c>
      <c r="B49" s="19">
        <v>1273525742</v>
      </c>
      <c r="C49">
        <v>1882</v>
      </c>
      <c r="D49">
        <v>618</v>
      </c>
      <c r="E49" s="1">
        <v>0.75280000000000002</v>
      </c>
      <c r="F49" s="1">
        <v>0.2472</v>
      </c>
      <c r="G49">
        <v>55</v>
      </c>
      <c r="H49">
        <v>1</v>
      </c>
      <c r="I49">
        <v>1882</v>
      </c>
      <c r="J49" s="20">
        <v>1</v>
      </c>
      <c r="K49">
        <v>1</v>
      </c>
      <c r="L49">
        <v>1761</v>
      </c>
      <c r="M49">
        <v>1761</v>
      </c>
      <c r="N49">
        <v>1761</v>
      </c>
      <c r="O49">
        <v>1761</v>
      </c>
      <c r="P49" s="1">
        <v>0.93570699999999996</v>
      </c>
    </row>
    <row r="50" spans="1:16" x14ac:dyDescent="0.25">
      <c r="A50" t="s">
        <v>16</v>
      </c>
      <c r="B50" s="19">
        <v>776745378</v>
      </c>
      <c r="C50">
        <v>1921</v>
      </c>
      <c r="D50">
        <v>579</v>
      </c>
      <c r="E50" s="1">
        <v>0.76839999999999997</v>
      </c>
      <c r="F50" s="1">
        <v>0.2316</v>
      </c>
      <c r="G50">
        <v>51</v>
      </c>
      <c r="H50">
        <v>1</v>
      </c>
      <c r="I50">
        <v>1921</v>
      </c>
      <c r="J50" s="20">
        <v>1</v>
      </c>
      <c r="K50">
        <v>1</v>
      </c>
      <c r="L50">
        <v>1823</v>
      </c>
      <c r="M50">
        <v>1823</v>
      </c>
      <c r="N50">
        <v>1823</v>
      </c>
      <c r="O50">
        <v>1823</v>
      </c>
      <c r="P50" s="1">
        <v>0.94898499999999997</v>
      </c>
    </row>
    <row r="51" spans="1:16" x14ac:dyDescent="0.25">
      <c r="A51" t="s">
        <v>16</v>
      </c>
      <c r="B51" s="19">
        <v>510017516</v>
      </c>
      <c r="C51">
        <v>2055</v>
      </c>
      <c r="D51">
        <v>445</v>
      </c>
      <c r="E51" s="1">
        <v>0.82199999999999995</v>
      </c>
      <c r="F51" s="1">
        <v>0.17799999999999999</v>
      </c>
      <c r="G51">
        <v>49</v>
      </c>
      <c r="H51">
        <v>1</v>
      </c>
      <c r="I51">
        <v>2055</v>
      </c>
      <c r="J51" s="20">
        <v>1</v>
      </c>
      <c r="K51">
        <v>1</v>
      </c>
      <c r="L51">
        <v>1967</v>
      </c>
      <c r="M51">
        <v>1967</v>
      </c>
      <c r="N51">
        <v>1967</v>
      </c>
      <c r="O51">
        <v>1967</v>
      </c>
      <c r="P51" s="1">
        <v>0.95717799999999997</v>
      </c>
    </row>
    <row r="52" spans="1:16" x14ac:dyDescent="0.25">
      <c r="A52" t="s">
        <v>26</v>
      </c>
      <c r="B52"/>
      <c r="C52">
        <f>SUBTOTAL(101,CA8_wall50_it4_neigh5[floors])</f>
        <v>2042.4</v>
      </c>
      <c r="D52">
        <f>SUBTOTAL(101,CA8_wall50_it4_neigh5[walls])</f>
        <v>457.6</v>
      </c>
      <c r="E52" s="2">
        <f>SUBTOTAL(101,CA8_wall50_it4_neigh5[floor_percent])</f>
        <v>0.81696000000000024</v>
      </c>
      <c r="F52" s="2">
        <f>SUBTOTAL(101,CA8_wall50_it4_neigh5[wall_percent])</f>
        <v>0.18304000000000001</v>
      </c>
      <c r="G52">
        <f>SUBTOTAL(101,CA8_wall50_it4_neigh5[longest_shortest_path])</f>
        <v>52.16</v>
      </c>
      <c r="H52">
        <f>SUBTOTAL(101,CA8_wall50_it4_neigh5[component_count])</f>
        <v>1.46</v>
      </c>
      <c r="I52">
        <f>SUBTOTAL(101,CA8_wall50_it4_neigh5[max_component_size])</f>
        <v>2038.34</v>
      </c>
      <c r="J52">
        <f>SUBTOTAL(101,CA8_wall50_it4_neigh5[connectivity_ratio])</f>
        <v>0.99799384000000002</v>
      </c>
      <c r="K52">
        <f>SUBTOTAL(101,CA8_wall50_it4_neigh5[room_count])</f>
        <v>1.26</v>
      </c>
      <c r="L52">
        <f>SUBTOTAL(101,CA8_wall50_it4_neigh5[avg_room_size])</f>
        <v>1740.95</v>
      </c>
      <c r="M52">
        <f>SUBTOTAL(101,CA8_wall50_it4_neigh5[max_room_size])</f>
        <v>1944.24</v>
      </c>
      <c r="N52">
        <f>SUBTOTAL(101,CA8_wall50_it4_neigh5[min_room_size])</f>
        <v>1569.02</v>
      </c>
      <c r="O52">
        <f>SUBTOTAL(101,CA8_wall50_it4_neigh5[room_tiles])</f>
        <v>1947.62</v>
      </c>
      <c r="P52" s="2">
        <f>SUBTOTAL(101,CA8_wall50_it4_neigh5[room_ratio])</f>
        <v>0.95337741999999992</v>
      </c>
    </row>
    <row r="53" spans="1:16" x14ac:dyDescent="0.25">
      <c r="A53" s="22" t="s">
        <v>38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C97-AD36-4E1F-AB4D-8D372B66F4F7}">
  <dimension ref="A1:P53"/>
  <sheetViews>
    <sheetView topLeftCell="A19" workbookViewId="0">
      <selection activeCell="G53" sqref="G53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927740219</v>
      </c>
      <c r="C2">
        <v>1913</v>
      </c>
      <c r="D2">
        <v>587</v>
      </c>
      <c r="E2" s="1">
        <v>0.76519999999999999</v>
      </c>
      <c r="F2" s="1">
        <v>0.23480000000000001</v>
      </c>
      <c r="G2">
        <v>49</v>
      </c>
      <c r="H2">
        <v>5</v>
      </c>
      <c r="I2">
        <v>1830</v>
      </c>
      <c r="J2" s="20">
        <v>0.95661300000000005</v>
      </c>
      <c r="K2">
        <v>3</v>
      </c>
      <c r="L2">
        <v>594</v>
      </c>
      <c r="M2">
        <v>1723</v>
      </c>
      <c r="N2">
        <v>27</v>
      </c>
      <c r="O2">
        <v>1782</v>
      </c>
      <c r="P2" s="1">
        <v>0.93152100000000004</v>
      </c>
    </row>
    <row r="3" spans="1:16" x14ac:dyDescent="0.25">
      <c r="A3" t="s">
        <v>16</v>
      </c>
      <c r="B3" s="19">
        <v>603171433</v>
      </c>
      <c r="C3">
        <v>1880</v>
      </c>
      <c r="D3">
        <v>620</v>
      </c>
      <c r="E3" s="1">
        <v>0.752</v>
      </c>
      <c r="F3" s="1">
        <v>0.248</v>
      </c>
      <c r="G3">
        <v>54</v>
      </c>
      <c r="H3">
        <v>2</v>
      </c>
      <c r="I3">
        <v>1878</v>
      </c>
      <c r="J3" s="20">
        <v>0.99893600000000005</v>
      </c>
      <c r="K3">
        <v>2</v>
      </c>
      <c r="L3">
        <v>862</v>
      </c>
      <c r="M3">
        <v>1723</v>
      </c>
      <c r="N3">
        <v>1</v>
      </c>
      <c r="O3">
        <v>1724</v>
      </c>
      <c r="P3" s="1">
        <v>0.91702099999999998</v>
      </c>
    </row>
    <row r="4" spans="1:16" x14ac:dyDescent="0.25">
      <c r="A4" t="s">
        <v>16</v>
      </c>
      <c r="B4" s="19">
        <v>1156310054</v>
      </c>
      <c r="C4">
        <v>1942</v>
      </c>
      <c r="D4">
        <v>558</v>
      </c>
      <c r="E4" s="1">
        <v>0.77680000000000005</v>
      </c>
      <c r="F4" s="1">
        <v>0.22320000000000001</v>
      </c>
      <c r="G4">
        <v>50</v>
      </c>
      <c r="H4">
        <v>1</v>
      </c>
      <c r="I4">
        <v>1942</v>
      </c>
      <c r="J4" s="20">
        <v>1</v>
      </c>
      <c r="K4">
        <v>1</v>
      </c>
      <c r="L4">
        <v>1810</v>
      </c>
      <c r="M4">
        <v>1810</v>
      </c>
      <c r="N4">
        <v>1810</v>
      </c>
      <c r="O4">
        <v>1810</v>
      </c>
      <c r="P4" s="1">
        <v>0.932029</v>
      </c>
    </row>
    <row r="5" spans="1:16" x14ac:dyDescent="0.25">
      <c r="A5" t="s">
        <v>16</v>
      </c>
      <c r="B5" s="19">
        <v>1186771185</v>
      </c>
      <c r="C5">
        <v>1880</v>
      </c>
      <c r="D5">
        <v>620</v>
      </c>
      <c r="E5" s="1">
        <v>0.752</v>
      </c>
      <c r="F5" s="1">
        <v>0.248</v>
      </c>
      <c r="G5">
        <v>62</v>
      </c>
      <c r="H5">
        <v>4</v>
      </c>
      <c r="I5">
        <v>1874</v>
      </c>
      <c r="J5" s="20">
        <v>0.99680899999999995</v>
      </c>
      <c r="K5">
        <v>1</v>
      </c>
      <c r="L5">
        <v>1745</v>
      </c>
      <c r="M5">
        <v>1745</v>
      </c>
      <c r="N5">
        <v>1745</v>
      </c>
      <c r="O5">
        <v>1745</v>
      </c>
      <c r="P5" s="1">
        <v>0.92819099999999999</v>
      </c>
    </row>
    <row r="6" spans="1:16" x14ac:dyDescent="0.25">
      <c r="A6" t="s">
        <v>16</v>
      </c>
      <c r="B6" s="19">
        <v>1955513917</v>
      </c>
      <c r="C6">
        <v>1995</v>
      </c>
      <c r="D6">
        <v>505</v>
      </c>
      <c r="E6" s="1">
        <v>0.79800000000000004</v>
      </c>
      <c r="F6" s="1">
        <v>0.20200000000000001</v>
      </c>
      <c r="G6">
        <v>51</v>
      </c>
      <c r="H6">
        <v>1</v>
      </c>
      <c r="I6">
        <v>1995</v>
      </c>
      <c r="J6" s="20">
        <v>1</v>
      </c>
      <c r="K6">
        <v>1</v>
      </c>
      <c r="L6">
        <v>1857</v>
      </c>
      <c r="M6">
        <v>1857</v>
      </c>
      <c r="N6">
        <v>1857</v>
      </c>
      <c r="O6">
        <v>1857</v>
      </c>
      <c r="P6" s="1">
        <v>0.93082699999999996</v>
      </c>
    </row>
    <row r="7" spans="1:16" x14ac:dyDescent="0.25">
      <c r="A7" t="s">
        <v>16</v>
      </c>
      <c r="B7" s="19">
        <v>1475969226</v>
      </c>
      <c r="C7">
        <v>2032</v>
      </c>
      <c r="D7">
        <v>468</v>
      </c>
      <c r="E7" s="1">
        <v>0.81279999999999997</v>
      </c>
      <c r="F7" s="1">
        <v>0.18720000000000001</v>
      </c>
      <c r="G7">
        <v>52</v>
      </c>
      <c r="H7">
        <v>1</v>
      </c>
      <c r="I7">
        <v>2032</v>
      </c>
      <c r="J7" s="20">
        <v>1</v>
      </c>
      <c r="K7">
        <v>2</v>
      </c>
      <c r="L7">
        <v>954</v>
      </c>
      <c r="M7">
        <v>1903</v>
      </c>
      <c r="N7">
        <v>5</v>
      </c>
      <c r="O7">
        <v>1908</v>
      </c>
      <c r="P7" s="1">
        <v>0.93897600000000003</v>
      </c>
    </row>
    <row r="8" spans="1:16" x14ac:dyDescent="0.25">
      <c r="A8" t="s">
        <v>16</v>
      </c>
      <c r="B8" s="19">
        <v>2018356663</v>
      </c>
      <c r="C8">
        <v>1948</v>
      </c>
      <c r="D8">
        <v>552</v>
      </c>
      <c r="E8" s="1">
        <v>0.7792</v>
      </c>
      <c r="F8" s="1">
        <v>0.2208</v>
      </c>
      <c r="G8">
        <v>51</v>
      </c>
      <c r="H8">
        <v>1</v>
      </c>
      <c r="I8">
        <v>1948</v>
      </c>
      <c r="J8" s="20">
        <v>1</v>
      </c>
      <c r="K8">
        <v>1</v>
      </c>
      <c r="L8">
        <v>1815</v>
      </c>
      <c r="M8">
        <v>1815</v>
      </c>
      <c r="N8">
        <v>1815</v>
      </c>
      <c r="O8">
        <v>1815</v>
      </c>
      <c r="P8" s="1">
        <v>0.93172500000000003</v>
      </c>
    </row>
    <row r="9" spans="1:16" x14ac:dyDescent="0.25">
      <c r="A9" t="s">
        <v>16</v>
      </c>
      <c r="B9" s="19">
        <v>1145172944</v>
      </c>
      <c r="C9">
        <v>1959</v>
      </c>
      <c r="D9">
        <v>541</v>
      </c>
      <c r="E9" s="1">
        <v>0.78359999999999996</v>
      </c>
      <c r="F9" s="1">
        <v>0.21640000000000001</v>
      </c>
      <c r="G9">
        <v>51</v>
      </c>
      <c r="H9">
        <v>1</v>
      </c>
      <c r="I9">
        <v>1959</v>
      </c>
      <c r="J9" s="20">
        <v>1</v>
      </c>
      <c r="K9">
        <v>1</v>
      </c>
      <c r="L9">
        <v>1829</v>
      </c>
      <c r="M9">
        <v>1829</v>
      </c>
      <c r="N9">
        <v>1829</v>
      </c>
      <c r="O9">
        <v>1829</v>
      </c>
      <c r="P9" s="1">
        <v>0.93364000000000003</v>
      </c>
    </row>
    <row r="10" spans="1:16" x14ac:dyDescent="0.25">
      <c r="A10" t="s">
        <v>16</v>
      </c>
      <c r="B10" s="19">
        <v>607389971</v>
      </c>
      <c r="C10">
        <v>1942</v>
      </c>
      <c r="D10">
        <v>558</v>
      </c>
      <c r="E10" s="1">
        <v>0.77680000000000005</v>
      </c>
      <c r="F10" s="1">
        <v>0.22320000000000001</v>
      </c>
      <c r="G10">
        <v>62</v>
      </c>
      <c r="H10">
        <v>3</v>
      </c>
      <c r="I10">
        <v>1920</v>
      </c>
      <c r="J10" s="20">
        <v>0.98867099999999997</v>
      </c>
      <c r="K10">
        <v>2</v>
      </c>
      <c r="L10">
        <v>899.5</v>
      </c>
      <c r="M10">
        <v>1788</v>
      </c>
      <c r="N10">
        <v>11</v>
      </c>
      <c r="O10">
        <v>1799</v>
      </c>
      <c r="P10" s="1">
        <v>0.92636499999999999</v>
      </c>
    </row>
    <row r="11" spans="1:16" x14ac:dyDescent="0.25">
      <c r="A11" t="s">
        <v>16</v>
      </c>
      <c r="B11" s="19">
        <v>2061770834</v>
      </c>
      <c r="C11">
        <v>1957</v>
      </c>
      <c r="D11">
        <v>543</v>
      </c>
      <c r="E11" s="1">
        <v>0.78280000000000005</v>
      </c>
      <c r="F11" s="1">
        <v>0.2172</v>
      </c>
      <c r="G11">
        <v>49</v>
      </c>
      <c r="H11">
        <v>3</v>
      </c>
      <c r="I11">
        <v>1867</v>
      </c>
      <c r="J11" s="20">
        <v>0.95401100000000005</v>
      </c>
      <c r="K11">
        <v>3</v>
      </c>
      <c r="L11">
        <v>606.33333300000004</v>
      </c>
      <c r="M11">
        <v>1747</v>
      </c>
      <c r="N11">
        <v>7</v>
      </c>
      <c r="O11">
        <v>1819</v>
      </c>
      <c r="P11" s="1">
        <v>0.92948399999999998</v>
      </c>
    </row>
    <row r="12" spans="1:16" x14ac:dyDescent="0.25">
      <c r="A12" t="s">
        <v>16</v>
      </c>
      <c r="B12" s="19">
        <v>1722010401</v>
      </c>
      <c r="C12">
        <v>1984</v>
      </c>
      <c r="D12">
        <v>516</v>
      </c>
      <c r="E12" s="1">
        <v>0.79359999999999997</v>
      </c>
      <c r="F12" s="1">
        <v>0.2064</v>
      </c>
      <c r="G12">
        <v>53</v>
      </c>
      <c r="H12">
        <v>1</v>
      </c>
      <c r="I12">
        <v>1984</v>
      </c>
      <c r="J12" s="20">
        <v>1</v>
      </c>
      <c r="K12">
        <v>1</v>
      </c>
      <c r="L12">
        <v>1864</v>
      </c>
      <c r="M12">
        <v>1864</v>
      </c>
      <c r="N12">
        <v>1864</v>
      </c>
      <c r="O12">
        <v>1864</v>
      </c>
      <c r="P12" s="1">
        <v>0.93951600000000002</v>
      </c>
    </row>
    <row r="13" spans="1:16" x14ac:dyDescent="0.25">
      <c r="A13" t="s">
        <v>16</v>
      </c>
      <c r="B13" s="19">
        <v>1970841105</v>
      </c>
      <c r="C13">
        <v>2118</v>
      </c>
      <c r="D13">
        <v>382</v>
      </c>
      <c r="E13" s="1">
        <v>0.84719999999999995</v>
      </c>
      <c r="F13" s="1">
        <v>0.15279999999999999</v>
      </c>
      <c r="G13">
        <v>53</v>
      </c>
      <c r="H13">
        <v>1</v>
      </c>
      <c r="I13">
        <v>2118</v>
      </c>
      <c r="J13" s="20">
        <v>1</v>
      </c>
      <c r="K13">
        <v>1</v>
      </c>
      <c r="L13">
        <v>2012</v>
      </c>
      <c r="M13">
        <v>2012</v>
      </c>
      <c r="N13">
        <v>2012</v>
      </c>
      <c r="O13">
        <v>2012</v>
      </c>
      <c r="P13" s="1">
        <v>0.94995300000000005</v>
      </c>
    </row>
    <row r="14" spans="1:16" x14ac:dyDescent="0.25">
      <c r="A14" t="s">
        <v>16</v>
      </c>
      <c r="B14" s="19">
        <v>607802904</v>
      </c>
      <c r="C14">
        <v>2035</v>
      </c>
      <c r="D14">
        <v>465</v>
      </c>
      <c r="E14" s="1">
        <v>0.81399999999999995</v>
      </c>
      <c r="F14" s="1">
        <v>0.186</v>
      </c>
      <c r="G14">
        <v>50</v>
      </c>
      <c r="H14">
        <v>3</v>
      </c>
      <c r="I14">
        <v>2031</v>
      </c>
      <c r="J14" s="20">
        <v>0.99803399999999998</v>
      </c>
      <c r="K14">
        <v>1</v>
      </c>
      <c r="L14">
        <v>1915</v>
      </c>
      <c r="M14">
        <v>1915</v>
      </c>
      <c r="N14">
        <v>1915</v>
      </c>
      <c r="O14">
        <v>1915</v>
      </c>
      <c r="P14" s="1">
        <v>0.94103199999999998</v>
      </c>
    </row>
    <row r="15" spans="1:16" x14ac:dyDescent="0.25">
      <c r="A15" t="s">
        <v>16</v>
      </c>
      <c r="B15" s="19">
        <v>986880746</v>
      </c>
      <c r="C15">
        <v>1928</v>
      </c>
      <c r="D15">
        <v>572</v>
      </c>
      <c r="E15" s="1">
        <v>0.7712</v>
      </c>
      <c r="F15" s="1">
        <v>0.2288</v>
      </c>
      <c r="G15">
        <v>51</v>
      </c>
      <c r="H15">
        <v>1</v>
      </c>
      <c r="I15">
        <v>1928</v>
      </c>
      <c r="J15" s="20">
        <v>1</v>
      </c>
      <c r="K15">
        <v>2</v>
      </c>
      <c r="L15">
        <v>903.5</v>
      </c>
      <c r="M15">
        <v>1791</v>
      </c>
      <c r="N15">
        <v>16</v>
      </c>
      <c r="O15">
        <v>1807</v>
      </c>
      <c r="P15" s="1">
        <v>0.93724099999999999</v>
      </c>
    </row>
    <row r="16" spans="1:16" x14ac:dyDescent="0.25">
      <c r="A16" t="s">
        <v>16</v>
      </c>
      <c r="B16" s="19">
        <v>163573322</v>
      </c>
      <c r="C16">
        <v>1799</v>
      </c>
      <c r="D16">
        <v>701</v>
      </c>
      <c r="E16" s="1">
        <v>0.71960000000000002</v>
      </c>
      <c r="F16" s="1">
        <v>0.28039999999999998</v>
      </c>
      <c r="G16">
        <v>59</v>
      </c>
      <c r="H16">
        <v>4</v>
      </c>
      <c r="I16">
        <v>1778</v>
      </c>
      <c r="J16" s="20">
        <v>0.98832699999999996</v>
      </c>
      <c r="K16">
        <v>3</v>
      </c>
      <c r="L16">
        <v>545</v>
      </c>
      <c r="M16">
        <v>1625</v>
      </c>
      <c r="N16">
        <v>2</v>
      </c>
      <c r="O16">
        <v>1635</v>
      </c>
      <c r="P16" s="1">
        <v>0.90883800000000003</v>
      </c>
    </row>
    <row r="17" spans="1:16" x14ac:dyDescent="0.25">
      <c r="A17" t="s">
        <v>16</v>
      </c>
      <c r="B17" s="19">
        <v>1163939888</v>
      </c>
      <c r="C17">
        <v>2002</v>
      </c>
      <c r="D17">
        <v>498</v>
      </c>
      <c r="E17" s="1">
        <v>0.80079999999999996</v>
      </c>
      <c r="F17" s="1">
        <v>0.19919999999999999</v>
      </c>
      <c r="G17">
        <v>55</v>
      </c>
      <c r="H17">
        <v>2</v>
      </c>
      <c r="I17">
        <v>2000</v>
      </c>
      <c r="J17" s="20">
        <v>0.99900100000000003</v>
      </c>
      <c r="K17">
        <v>1</v>
      </c>
      <c r="L17">
        <v>1876</v>
      </c>
      <c r="M17">
        <v>1876</v>
      </c>
      <c r="N17">
        <v>1876</v>
      </c>
      <c r="O17">
        <v>1876</v>
      </c>
      <c r="P17" s="1">
        <v>0.93706299999999998</v>
      </c>
    </row>
    <row r="18" spans="1:16" x14ac:dyDescent="0.25">
      <c r="A18" t="s">
        <v>16</v>
      </c>
      <c r="B18" s="19">
        <v>1311031115</v>
      </c>
      <c r="C18">
        <v>1890</v>
      </c>
      <c r="D18">
        <v>610</v>
      </c>
      <c r="E18" s="1">
        <v>0.75600000000000001</v>
      </c>
      <c r="F18" s="1">
        <v>0.24399999999999999</v>
      </c>
      <c r="G18">
        <v>51</v>
      </c>
      <c r="H18">
        <v>3</v>
      </c>
      <c r="I18">
        <v>1887</v>
      </c>
      <c r="J18" s="20">
        <v>0.99841299999999999</v>
      </c>
      <c r="K18">
        <v>1</v>
      </c>
      <c r="L18">
        <v>1754</v>
      </c>
      <c r="M18">
        <v>1754</v>
      </c>
      <c r="N18">
        <v>1754</v>
      </c>
      <c r="O18">
        <v>1754</v>
      </c>
      <c r="P18" s="1">
        <v>0.92804200000000003</v>
      </c>
    </row>
    <row r="19" spans="1:16" x14ac:dyDescent="0.25">
      <c r="A19" t="s">
        <v>16</v>
      </c>
      <c r="B19" s="19">
        <v>1632860571</v>
      </c>
      <c r="C19">
        <v>1960</v>
      </c>
      <c r="D19">
        <v>540</v>
      </c>
      <c r="E19" s="1">
        <v>0.78400000000000003</v>
      </c>
      <c r="F19" s="1">
        <v>0.216</v>
      </c>
      <c r="G19">
        <v>53</v>
      </c>
      <c r="H19">
        <v>4</v>
      </c>
      <c r="I19">
        <v>1885</v>
      </c>
      <c r="J19" s="20">
        <v>0.96173500000000001</v>
      </c>
      <c r="K19">
        <v>2</v>
      </c>
      <c r="L19">
        <v>915</v>
      </c>
      <c r="M19">
        <v>1774</v>
      </c>
      <c r="N19">
        <v>56</v>
      </c>
      <c r="O19">
        <v>1830</v>
      </c>
      <c r="P19" s="1">
        <v>0.93367299999999998</v>
      </c>
    </row>
    <row r="20" spans="1:16" x14ac:dyDescent="0.25">
      <c r="A20" t="s">
        <v>16</v>
      </c>
      <c r="B20" s="19">
        <v>763272287</v>
      </c>
      <c r="C20">
        <v>1879</v>
      </c>
      <c r="D20">
        <v>621</v>
      </c>
      <c r="E20" s="1">
        <v>0.75160000000000005</v>
      </c>
      <c r="F20" s="1">
        <v>0.24840000000000001</v>
      </c>
      <c r="G20">
        <v>52</v>
      </c>
      <c r="H20">
        <v>3</v>
      </c>
      <c r="I20">
        <v>1867</v>
      </c>
      <c r="J20" s="20">
        <v>0.993614</v>
      </c>
      <c r="K20">
        <v>2</v>
      </c>
      <c r="L20">
        <v>873.5</v>
      </c>
      <c r="M20">
        <v>1742</v>
      </c>
      <c r="N20">
        <v>5</v>
      </c>
      <c r="O20">
        <v>1747</v>
      </c>
      <c r="P20" s="1">
        <v>0.92974999999999997</v>
      </c>
    </row>
    <row r="21" spans="1:16" x14ac:dyDescent="0.25">
      <c r="A21" t="s">
        <v>16</v>
      </c>
      <c r="B21" s="19">
        <v>54586386</v>
      </c>
      <c r="C21">
        <v>2012</v>
      </c>
      <c r="D21">
        <v>488</v>
      </c>
      <c r="E21" s="1">
        <v>0.80479999999999996</v>
      </c>
      <c r="F21" s="1">
        <v>0.19520000000000001</v>
      </c>
      <c r="G21">
        <v>51</v>
      </c>
      <c r="H21">
        <v>2</v>
      </c>
      <c r="I21">
        <v>2010</v>
      </c>
      <c r="J21" s="20">
        <v>0.99900599999999995</v>
      </c>
      <c r="K21">
        <v>1</v>
      </c>
      <c r="L21">
        <v>1903</v>
      </c>
      <c r="M21">
        <v>1903</v>
      </c>
      <c r="N21">
        <v>1903</v>
      </c>
      <c r="O21">
        <v>1903</v>
      </c>
      <c r="P21" s="1">
        <v>0.94582500000000003</v>
      </c>
    </row>
    <row r="22" spans="1:16" x14ac:dyDescent="0.25">
      <c r="A22" t="s">
        <v>16</v>
      </c>
      <c r="B22" s="19">
        <v>493967694</v>
      </c>
      <c r="C22">
        <v>1988</v>
      </c>
      <c r="D22">
        <v>512</v>
      </c>
      <c r="E22" s="1">
        <v>0.79520000000000002</v>
      </c>
      <c r="F22" s="1">
        <v>0.20480000000000001</v>
      </c>
      <c r="G22">
        <v>50</v>
      </c>
      <c r="H22">
        <v>2</v>
      </c>
      <c r="I22">
        <v>1979</v>
      </c>
      <c r="J22" s="20">
        <v>0.99547300000000005</v>
      </c>
      <c r="K22">
        <v>2</v>
      </c>
      <c r="L22">
        <v>927.5</v>
      </c>
      <c r="M22">
        <v>1852</v>
      </c>
      <c r="N22">
        <v>3</v>
      </c>
      <c r="O22">
        <v>1855</v>
      </c>
      <c r="P22" s="1">
        <v>0.93309900000000001</v>
      </c>
    </row>
    <row r="23" spans="1:16" x14ac:dyDescent="0.25">
      <c r="A23" t="s">
        <v>16</v>
      </c>
      <c r="B23" s="19">
        <v>1086338621</v>
      </c>
      <c r="C23">
        <v>1974</v>
      </c>
      <c r="D23">
        <v>526</v>
      </c>
      <c r="E23" s="1">
        <v>0.78959999999999997</v>
      </c>
      <c r="F23" s="1">
        <v>0.2104</v>
      </c>
      <c r="G23">
        <v>64</v>
      </c>
      <c r="H23">
        <v>1</v>
      </c>
      <c r="I23">
        <v>1974</v>
      </c>
      <c r="J23" s="20">
        <v>1</v>
      </c>
      <c r="K23">
        <v>1</v>
      </c>
      <c r="L23">
        <v>1845</v>
      </c>
      <c r="M23">
        <v>1845</v>
      </c>
      <c r="N23">
        <v>1845</v>
      </c>
      <c r="O23">
        <v>1845</v>
      </c>
      <c r="P23" s="1">
        <v>0.93464999999999998</v>
      </c>
    </row>
    <row r="24" spans="1:16" x14ac:dyDescent="0.25">
      <c r="A24" t="s">
        <v>16</v>
      </c>
      <c r="B24" s="19">
        <v>1549793281</v>
      </c>
      <c r="C24">
        <v>1884</v>
      </c>
      <c r="D24">
        <v>616</v>
      </c>
      <c r="E24" s="1">
        <v>0.75360000000000005</v>
      </c>
      <c r="F24" s="1">
        <v>0.24640000000000001</v>
      </c>
      <c r="G24">
        <v>51</v>
      </c>
      <c r="H24">
        <v>3</v>
      </c>
      <c r="I24">
        <v>1837</v>
      </c>
      <c r="J24" s="20">
        <v>0.97505299999999995</v>
      </c>
      <c r="K24">
        <v>3</v>
      </c>
      <c r="L24">
        <v>572.66666699999996</v>
      </c>
      <c r="M24">
        <v>1690</v>
      </c>
      <c r="N24">
        <v>6</v>
      </c>
      <c r="O24">
        <v>1718</v>
      </c>
      <c r="P24" s="1">
        <v>0.91188999999999998</v>
      </c>
    </row>
    <row r="25" spans="1:16" x14ac:dyDescent="0.25">
      <c r="A25" t="s">
        <v>16</v>
      </c>
      <c r="B25" s="19">
        <v>1115710549</v>
      </c>
      <c r="C25">
        <v>1982</v>
      </c>
      <c r="D25">
        <v>518</v>
      </c>
      <c r="E25" s="1">
        <v>0.79279999999999995</v>
      </c>
      <c r="F25" s="1">
        <v>0.2072</v>
      </c>
      <c r="G25">
        <v>55</v>
      </c>
      <c r="H25">
        <v>1</v>
      </c>
      <c r="I25">
        <v>1982</v>
      </c>
      <c r="J25" s="20">
        <v>1</v>
      </c>
      <c r="K25">
        <v>1</v>
      </c>
      <c r="L25">
        <v>1852</v>
      </c>
      <c r="M25">
        <v>1852</v>
      </c>
      <c r="N25">
        <v>1852</v>
      </c>
      <c r="O25">
        <v>1852</v>
      </c>
      <c r="P25" s="1">
        <v>0.93440999999999996</v>
      </c>
    </row>
    <row r="26" spans="1:16" x14ac:dyDescent="0.25">
      <c r="A26" t="s">
        <v>16</v>
      </c>
      <c r="B26" s="19">
        <v>1768168490</v>
      </c>
      <c r="C26">
        <v>1934</v>
      </c>
      <c r="D26">
        <v>566</v>
      </c>
      <c r="E26" s="1">
        <v>0.77359999999999995</v>
      </c>
      <c r="F26" s="1">
        <v>0.22639999999999999</v>
      </c>
      <c r="G26">
        <v>58</v>
      </c>
      <c r="H26">
        <v>1</v>
      </c>
      <c r="I26">
        <v>1934</v>
      </c>
      <c r="J26" s="20">
        <v>1</v>
      </c>
      <c r="K26">
        <v>1</v>
      </c>
      <c r="L26">
        <v>1793</v>
      </c>
      <c r="M26">
        <v>1793</v>
      </c>
      <c r="N26">
        <v>1793</v>
      </c>
      <c r="O26">
        <v>1793</v>
      </c>
      <c r="P26" s="1">
        <v>0.92709399999999997</v>
      </c>
    </row>
    <row r="27" spans="1:16" x14ac:dyDescent="0.25">
      <c r="A27" t="s">
        <v>16</v>
      </c>
      <c r="B27" s="19">
        <v>1691173760</v>
      </c>
      <c r="C27">
        <v>2056</v>
      </c>
      <c r="D27">
        <v>444</v>
      </c>
      <c r="E27" s="1">
        <v>0.82240000000000002</v>
      </c>
      <c r="F27" s="1">
        <v>0.17760000000000001</v>
      </c>
      <c r="G27">
        <v>58</v>
      </c>
      <c r="H27">
        <v>1</v>
      </c>
      <c r="I27">
        <v>2056</v>
      </c>
      <c r="J27" s="20">
        <v>1</v>
      </c>
      <c r="K27">
        <v>1</v>
      </c>
      <c r="L27">
        <v>1932</v>
      </c>
      <c r="M27">
        <v>1932</v>
      </c>
      <c r="N27">
        <v>1932</v>
      </c>
      <c r="O27">
        <v>1932</v>
      </c>
      <c r="P27" s="1">
        <v>0.939689</v>
      </c>
    </row>
    <row r="28" spans="1:16" x14ac:dyDescent="0.25">
      <c r="A28" t="s">
        <v>16</v>
      </c>
      <c r="B28" s="19">
        <v>225137386</v>
      </c>
      <c r="C28">
        <v>2000</v>
      </c>
      <c r="D28">
        <v>500</v>
      </c>
      <c r="E28" s="1">
        <v>0.8</v>
      </c>
      <c r="F28" s="1">
        <v>0.2</v>
      </c>
      <c r="G28">
        <v>55</v>
      </c>
      <c r="H28">
        <v>1</v>
      </c>
      <c r="I28">
        <v>2000</v>
      </c>
      <c r="J28" s="20">
        <v>1</v>
      </c>
      <c r="K28">
        <v>1</v>
      </c>
      <c r="L28">
        <v>1863</v>
      </c>
      <c r="M28">
        <v>1863</v>
      </c>
      <c r="N28">
        <v>1863</v>
      </c>
      <c r="O28">
        <v>1863</v>
      </c>
      <c r="P28" s="1">
        <v>0.93149999999999999</v>
      </c>
    </row>
    <row r="29" spans="1:16" x14ac:dyDescent="0.25">
      <c r="A29" t="s">
        <v>16</v>
      </c>
      <c r="B29" s="19">
        <v>1062624500</v>
      </c>
      <c r="C29">
        <v>1978</v>
      </c>
      <c r="D29">
        <v>522</v>
      </c>
      <c r="E29" s="1">
        <v>0.79120000000000001</v>
      </c>
      <c r="F29" s="1">
        <v>0.20880000000000001</v>
      </c>
      <c r="G29">
        <v>54</v>
      </c>
      <c r="H29">
        <v>2</v>
      </c>
      <c r="I29">
        <v>1975</v>
      </c>
      <c r="J29" s="20">
        <v>0.99848300000000001</v>
      </c>
      <c r="K29">
        <v>1</v>
      </c>
      <c r="L29">
        <v>1848</v>
      </c>
      <c r="M29">
        <v>1848</v>
      </c>
      <c r="N29">
        <v>1848</v>
      </c>
      <c r="O29">
        <v>1848</v>
      </c>
      <c r="P29" s="1">
        <v>0.93427700000000002</v>
      </c>
    </row>
    <row r="30" spans="1:16" x14ac:dyDescent="0.25">
      <c r="A30" t="s">
        <v>16</v>
      </c>
      <c r="B30" s="19">
        <v>223264095</v>
      </c>
      <c r="C30">
        <v>1886</v>
      </c>
      <c r="D30">
        <v>614</v>
      </c>
      <c r="E30" s="1">
        <v>0.75439999999999996</v>
      </c>
      <c r="F30" s="1">
        <v>0.24560000000000001</v>
      </c>
      <c r="G30">
        <v>59</v>
      </c>
      <c r="H30">
        <v>4</v>
      </c>
      <c r="I30">
        <v>1850</v>
      </c>
      <c r="J30" s="20">
        <v>0.98091200000000001</v>
      </c>
      <c r="K30">
        <v>3</v>
      </c>
      <c r="L30">
        <v>582</v>
      </c>
      <c r="M30">
        <v>1722</v>
      </c>
      <c r="N30">
        <v>2</v>
      </c>
      <c r="O30">
        <v>1746</v>
      </c>
      <c r="P30" s="1">
        <v>0.92576899999999995</v>
      </c>
    </row>
    <row r="31" spans="1:16" x14ac:dyDescent="0.25">
      <c r="A31" t="s">
        <v>16</v>
      </c>
      <c r="B31" s="19">
        <v>87412138</v>
      </c>
      <c r="C31">
        <v>2032</v>
      </c>
      <c r="D31">
        <v>468</v>
      </c>
      <c r="E31" s="1">
        <v>0.81279999999999997</v>
      </c>
      <c r="F31" s="1">
        <v>0.18720000000000001</v>
      </c>
      <c r="G31">
        <v>50</v>
      </c>
      <c r="H31">
        <v>1</v>
      </c>
      <c r="I31">
        <v>2032</v>
      </c>
      <c r="J31" s="20">
        <v>1</v>
      </c>
      <c r="K31">
        <v>1</v>
      </c>
      <c r="L31">
        <v>1892</v>
      </c>
      <c r="M31">
        <v>1892</v>
      </c>
      <c r="N31">
        <v>1892</v>
      </c>
      <c r="O31">
        <v>1892</v>
      </c>
      <c r="P31" s="1">
        <v>0.93110199999999999</v>
      </c>
    </row>
    <row r="32" spans="1:16" x14ac:dyDescent="0.25">
      <c r="A32" t="s">
        <v>16</v>
      </c>
      <c r="B32" s="19">
        <v>1927255667</v>
      </c>
      <c r="C32">
        <v>1992</v>
      </c>
      <c r="D32">
        <v>508</v>
      </c>
      <c r="E32" s="1">
        <v>0.79679999999999995</v>
      </c>
      <c r="F32" s="1">
        <v>0.20319999999999999</v>
      </c>
      <c r="G32">
        <v>57</v>
      </c>
      <c r="H32">
        <v>3</v>
      </c>
      <c r="I32">
        <v>1989</v>
      </c>
      <c r="J32" s="20">
        <v>0.99849399999999999</v>
      </c>
      <c r="K32">
        <v>1</v>
      </c>
      <c r="L32">
        <v>1865</v>
      </c>
      <c r="M32">
        <v>1865</v>
      </c>
      <c r="N32">
        <v>1865</v>
      </c>
      <c r="O32">
        <v>1865</v>
      </c>
      <c r="P32" s="1">
        <v>0.93624499999999999</v>
      </c>
    </row>
    <row r="33" spans="1:16" x14ac:dyDescent="0.25">
      <c r="A33" t="s">
        <v>16</v>
      </c>
      <c r="B33" s="19">
        <v>141179906</v>
      </c>
      <c r="C33">
        <v>1981</v>
      </c>
      <c r="D33">
        <v>519</v>
      </c>
      <c r="E33" s="1">
        <v>0.79239999999999999</v>
      </c>
      <c r="F33" s="1">
        <v>0.20760000000000001</v>
      </c>
      <c r="G33">
        <v>55</v>
      </c>
      <c r="H33">
        <v>2</v>
      </c>
      <c r="I33">
        <v>1968</v>
      </c>
      <c r="J33" s="20">
        <v>0.99343800000000004</v>
      </c>
      <c r="K33">
        <v>2</v>
      </c>
      <c r="L33">
        <v>929</v>
      </c>
      <c r="M33">
        <v>1851</v>
      </c>
      <c r="N33">
        <v>7</v>
      </c>
      <c r="O33">
        <v>1858</v>
      </c>
      <c r="P33" s="1">
        <v>0.93791000000000002</v>
      </c>
    </row>
    <row r="34" spans="1:16" x14ac:dyDescent="0.25">
      <c r="A34" t="s">
        <v>16</v>
      </c>
      <c r="B34" s="19">
        <v>4122636</v>
      </c>
      <c r="C34">
        <v>2019</v>
      </c>
      <c r="D34">
        <v>481</v>
      </c>
      <c r="E34" s="1">
        <v>0.80759999999999998</v>
      </c>
      <c r="F34" s="1">
        <v>0.19239999999999999</v>
      </c>
      <c r="G34">
        <v>56</v>
      </c>
      <c r="H34">
        <v>1</v>
      </c>
      <c r="I34">
        <v>2019</v>
      </c>
      <c r="J34" s="20">
        <v>1</v>
      </c>
      <c r="K34">
        <v>1</v>
      </c>
      <c r="L34">
        <v>1902</v>
      </c>
      <c r="M34">
        <v>1902</v>
      </c>
      <c r="N34">
        <v>1902</v>
      </c>
      <c r="O34">
        <v>1902</v>
      </c>
      <c r="P34" s="1">
        <v>0.94205099999999997</v>
      </c>
    </row>
    <row r="35" spans="1:16" x14ac:dyDescent="0.25">
      <c r="A35" t="s">
        <v>16</v>
      </c>
      <c r="B35" s="19">
        <v>1765421008</v>
      </c>
      <c r="C35">
        <v>2069</v>
      </c>
      <c r="D35">
        <v>431</v>
      </c>
      <c r="E35" s="1">
        <v>0.8276</v>
      </c>
      <c r="F35" s="1">
        <v>0.1724</v>
      </c>
      <c r="G35">
        <v>56</v>
      </c>
      <c r="H35">
        <v>1</v>
      </c>
      <c r="I35">
        <v>2069</v>
      </c>
      <c r="J35" s="20">
        <v>1</v>
      </c>
      <c r="K35">
        <v>1</v>
      </c>
      <c r="L35">
        <v>1958</v>
      </c>
      <c r="M35">
        <v>1958</v>
      </c>
      <c r="N35">
        <v>1958</v>
      </c>
      <c r="O35">
        <v>1958</v>
      </c>
      <c r="P35" s="1">
        <v>0.94635100000000005</v>
      </c>
    </row>
    <row r="36" spans="1:16" x14ac:dyDescent="0.25">
      <c r="A36" t="s">
        <v>16</v>
      </c>
      <c r="B36" s="19">
        <v>708298335</v>
      </c>
      <c r="C36">
        <v>1909</v>
      </c>
      <c r="D36">
        <v>591</v>
      </c>
      <c r="E36" s="1">
        <v>0.76359999999999995</v>
      </c>
      <c r="F36" s="1">
        <v>0.2364</v>
      </c>
      <c r="G36">
        <v>53</v>
      </c>
      <c r="H36">
        <v>2</v>
      </c>
      <c r="I36">
        <v>1892</v>
      </c>
      <c r="J36" s="20">
        <v>0.99109499999999995</v>
      </c>
      <c r="K36">
        <v>3</v>
      </c>
      <c r="L36">
        <v>591.66666699999996</v>
      </c>
      <c r="M36">
        <v>1746</v>
      </c>
      <c r="N36">
        <v>10</v>
      </c>
      <c r="O36">
        <v>1775</v>
      </c>
      <c r="P36" s="1">
        <v>0.92980600000000002</v>
      </c>
    </row>
    <row r="37" spans="1:16" x14ac:dyDescent="0.25">
      <c r="A37" t="s">
        <v>16</v>
      </c>
      <c r="B37" s="19">
        <v>1873499781</v>
      </c>
      <c r="C37">
        <v>1909</v>
      </c>
      <c r="D37">
        <v>591</v>
      </c>
      <c r="E37" s="1">
        <v>0.76359999999999995</v>
      </c>
      <c r="F37" s="1">
        <v>0.2364</v>
      </c>
      <c r="G37">
        <v>58</v>
      </c>
      <c r="H37">
        <v>6</v>
      </c>
      <c r="I37">
        <v>1881</v>
      </c>
      <c r="J37" s="20">
        <v>0.98533300000000001</v>
      </c>
      <c r="K37">
        <v>2</v>
      </c>
      <c r="L37">
        <v>880.5</v>
      </c>
      <c r="M37">
        <v>1746</v>
      </c>
      <c r="N37">
        <v>15</v>
      </c>
      <c r="O37">
        <v>1761</v>
      </c>
      <c r="P37" s="1">
        <v>0.92247199999999996</v>
      </c>
    </row>
    <row r="38" spans="1:16" x14ac:dyDescent="0.25">
      <c r="A38" t="s">
        <v>16</v>
      </c>
      <c r="B38" s="19">
        <v>1895178043</v>
      </c>
      <c r="C38">
        <v>1949</v>
      </c>
      <c r="D38">
        <v>551</v>
      </c>
      <c r="E38" s="1">
        <v>0.77959999999999996</v>
      </c>
      <c r="F38" s="1">
        <v>0.22040000000000001</v>
      </c>
      <c r="G38">
        <v>55</v>
      </c>
      <c r="H38">
        <v>1</v>
      </c>
      <c r="I38">
        <v>1949</v>
      </c>
      <c r="J38" s="20">
        <v>1</v>
      </c>
      <c r="K38">
        <v>2</v>
      </c>
      <c r="L38">
        <v>911</v>
      </c>
      <c r="M38">
        <v>1797</v>
      </c>
      <c r="N38">
        <v>25</v>
      </c>
      <c r="O38">
        <v>1822</v>
      </c>
      <c r="P38" s="1">
        <v>0.93483799999999995</v>
      </c>
    </row>
    <row r="39" spans="1:16" x14ac:dyDescent="0.25">
      <c r="A39" t="s">
        <v>16</v>
      </c>
      <c r="B39" s="19">
        <v>814272965</v>
      </c>
      <c r="C39">
        <v>1823</v>
      </c>
      <c r="D39">
        <v>677</v>
      </c>
      <c r="E39" s="1">
        <v>0.72919999999999996</v>
      </c>
      <c r="F39" s="1">
        <v>0.27079999999999999</v>
      </c>
      <c r="G39">
        <v>55</v>
      </c>
      <c r="H39">
        <v>4</v>
      </c>
      <c r="I39">
        <v>1819</v>
      </c>
      <c r="J39" s="20">
        <v>0.99780599999999997</v>
      </c>
      <c r="K39">
        <v>1</v>
      </c>
      <c r="L39">
        <v>1648</v>
      </c>
      <c r="M39">
        <v>1648</v>
      </c>
      <c r="N39">
        <v>1648</v>
      </c>
      <c r="O39">
        <v>1648</v>
      </c>
      <c r="P39" s="1">
        <v>0.90400400000000003</v>
      </c>
    </row>
    <row r="40" spans="1:16" x14ac:dyDescent="0.25">
      <c r="A40" t="s">
        <v>16</v>
      </c>
      <c r="B40" s="19">
        <v>379221646</v>
      </c>
      <c r="C40">
        <v>1836</v>
      </c>
      <c r="D40">
        <v>664</v>
      </c>
      <c r="E40" s="1">
        <v>0.73440000000000005</v>
      </c>
      <c r="F40" s="1">
        <v>0.2656</v>
      </c>
      <c r="G40">
        <v>56</v>
      </c>
      <c r="H40">
        <v>3</v>
      </c>
      <c r="I40">
        <v>1834</v>
      </c>
      <c r="J40" s="20">
        <v>0.99891099999999999</v>
      </c>
      <c r="K40">
        <v>1</v>
      </c>
      <c r="L40">
        <v>1699</v>
      </c>
      <c r="M40">
        <v>1699</v>
      </c>
      <c r="N40">
        <v>1699</v>
      </c>
      <c r="O40">
        <v>1699</v>
      </c>
      <c r="P40" s="1">
        <v>0.92538100000000001</v>
      </c>
    </row>
    <row r="41" spans="1:16" x14ac:dyDescent="0.25">
      <c r="A41" t="s">
        <v>16</v>
      </c>
      <c r="B41" s="19">
        <v>37742567</v>
      </c>
      <c r="C41">
        <v>1997</v>
      </c>
      <c r="D41">
        <v>503</v>
      </c>
      <c r="E41" s="1">
        <v>0.79879999999999995</v>
      </c>
      <c r="F41" s="1">
        <v>0.20119999999999999</v>
      </c>
      <c r="G41">
        <v>52</v>
      </c>
      <c r="H41">
        <v>1</v>
      </c>
      <c r="I41">
        <v>1997</v>
      </c>
      <c r="J41" s="20">
        <v>1</v>
      </c>
      <c r="K41">
        <v>1</v>
      </c>
      <c r="L41">
        <v>1881</v>
      </c>
      <c r="M41">
        <v>1881</v>
      </c>
      <c r="N41">
        <v>1881</v>
      </c>
      <c r="O41">
        <v>1881</v>
      </c>
      <c r="P41" s="1">
        <v>0.941913</v>
      </c>
    </row>
    <row r="42" spans="1:16" x14ac:dyDescent="0.25">
      <c r="A42" t="s">
        <v>16</v>
      </c>
      <c r="B42" s="19">
        <v>1912822177</v>
      </c>
      <c r="C42">
        <v>1989</v>
      </c>
      <c r="D42">
        <v>511</v>
      </c>
      <c r="E42" s="1">
        <v>0.79559999999999997</v>
      </c>
      <c r="F42" s="1">
        <v>0.2044</v>
      </c>
      <c r="G42">
        <v>50</v>
      </c>
      <c r="H42">
        <v>1</v>
      </c>
      <c r="I42">
        <v>1989</v>
      </c>
      <c r="J42" s="20">
        <v>1</v>
      </c>
      <c r="K42">
        <v>1</v>
      </c>
      <c r="L42">
        <v>1867</v>
      </c>
      <c r="M42">
        <v>1867</v>
      </c>
      <c r="N42">
        <v>1867</v>
      </c>
      <c r="O42">
        <v>1867</v>
      </c>
      <c r="P42" s="1">
        <v>0.93866300000000003</v>
      </c>
    </row>
    <row r="43" spans="1:16" x14ac:dyDescent="0.25">
      <c r="A43" t="s">
        <v>16</v>
      </c>
      <c r="B43" s="19">
        <v>1714706112</v>
      </c>
      <c r="C43">
        <v>1914</v>
      </c>
      <c r="D43">
        <v>586</v>
      </c>
      <c r="E43" s="1">
        <v>0.76559999999999995</v>
      </c>
      <c r="F43" s="1">
        <v>0.2344</v>
      </c>
      <c r="G43">
        <v>53</v>
      </c>
      <c r="H43">
        <v>5</v>
      </c>
      <c r="I43">
        <v>1856</v>
      </c>
      <c r="J43" s="20">
        <v>0.96969700000000003</v>
      </c>
      <c r="K43">
        <v>5</v>
      </c>
      <c r="L43">
        <v>353.4</v>
      </c>
      <c r="M43">
        <v>1586</v>
      </c>
      <c r="N43">
        <v>6</v>
      </c>
      <c r="O43">
        <v>1767</v>
      </c>
      <c r="P43" s="1">
        <v>0.92319700000000005</v>
      </c>
    </row>
    <row r="44" spans="1:16" x14ac:dyDescent="0.25">
      <c r="A44" t="s">
        <v>16</v>
      </c>
      <c r="B44" s="19">
        <v>526505775</v>
      </c>
      <c r="C44">
        <v>2044</v>
      </c>
      <c r="D44">
        <v>456</v>
      </c>
      <c r="E44" s="1">
        <v>0.81759999999999999</v>
      </c>
      <c r="F44" s="1">
        <v>0.18240000000000001</v>
      </c>
      <c r="G44">
        <v>57</v>
      </c>
      <c r="H44">
        <v>1</v>
      </c>
      <c r="I44">
        <v>2044</v>
      </c>
      <c r="J44" s="20">
        <v>1</v>
      </c>
      <c r="K44">
        <v>1</v>
      </c>
      <c r="L44">
        <v>1925</v>
      </c>
      <c r="M44">
        <v>1925</v>
      </c>
      <c r="N44">
        <v>1925</v>
      </c>
      <c r="O44">
        <v>1925</v>
      </c>
      <c r="P44" s="1">
        <v>0.94178099999999998</v>
      </c>
    </row>
    <row r="45" spans="1:16" x14ac:dyDescent="0.25">
      <c r="A45" t="s">
        <v>16</v>
      </c>
      <c r="B45" s="19">
        <v>1137779375</v>
      </c>
      <c r="C45">
        <v>1905</v>
      </c>
      <c r="D45">
        <v>595</v>
      </c>
      <c r="E45" s="1">
        <v>0.76200000000000001</v>
      </c>
      <c r="F45" s="1">
        <v>0.23799999999999999</v>
      </c>
      <c r="G45">
        <v>64</v>
      </c>
      <c r="H45">
        <v>1</v>
      </c>
      <c r="I45">
        <v>1905</v>
      </c>
      <c r="J45" s="20">
        <v>1</v>
      </c>
      <c r="K45">
        <v>2</v>
      </c>
      <c r="L45">
        <v>876.5</v>
      </c>
      <c r="M45">
        <v>1690</v>
      </c>
      <c r="N45">
        <v>63</v>
      </c>
      <c r="O45">
        <v>1753</v>
      </c>
      <c r="P45" s="1">
        <v>0.92020999999999997</v>
      </c>
    </row>
    <row r="46" spans="1:16" x14ac:dyDescent="0.25">
      <c r="A46" t="s">
        <v>16</v>
      </c>
      <c r="B46" s="19">
        <v>2015701871</v>
      </c>
      <c r="C46">
        <v>1927</v>
      </c>
      <c r="D46">
        <v>573</v>
      </c>
      <c r="E46" s="1">
        <v>0.77080000000000004</v>
      </c>
      <c r="F46" s="1">
        <v>0.22919999999999999</v>
      </c>
      <c r="G46">
        <v>50</v>
      </c>
      <c r="H46">
        <v>2</v>
      </c>
      <c r="I46">
        <v>1925</v>
      </c>
      <c r="J46" s="20">
        <v>0.99896200000000002</v>
      </c>
      <c r="K46">
        <v>1</v>
      </c>
      <c r="L46">
        <v>1781</v>
      </c>
      <c r="M46">
        <v>1781</v>
      </c>
      <c r="N46">
        <v>1781</v>
      </c>
      <c r="O46">
        <v>1781</v>
      </c>
      <c r="P46" s="1">
        <v>0.92423500000000003</v>
      </c>
    </row>
    <row r="47" spans="1:16" x14ac:dyDescent="0.25">
      <c r="A47" t="s">
        <v>16</v>
      </c>
      <c r="B47" s="19">
        <v>1165556261</v>
      </c>
      <c r="C47">
        <v>2059</v>
      </c>
      <c r="D47">
        <v>441</v>
      </c>
      <c r="E47" s="1">
        <v>0.8236</v>
      </c>
      <c r="F47" s="1">
        <v>0.1764</v>
      </c>
      <c r="G47">
        <v>53</v>
      </c>
      <c r="H47">
        <v>3</v>
      </c>
      <c r="I47">
        <v>2007</v>
      </c>
      <c r="J47" s="20">
        <v>0.97474499999999997</v>
      </c>
      <c r="K47">
        <v>3</v>
      </c>
      <c r="L47">
        <v>647</v>
      </c>
      <c r="M47">
        <v>1890</v>
      </c>
      <c r="N47">
        <v>11</v>
      </c>
      <c r="O47">
        <v>1941</v>
      </c>
      <c r="P47" s="1">
        <v>0.94269099999999995</v>
      </c>
    </row>
    <row r="48" spans="1:16" x14ac:dyDescent="0.25">
      <c r="A48" t="s">
        <v>16</v>
      </c>
      <c r="B48" s="19">
        <v>298693153</v>
      </c>
      <c r="C48">
        <v>2073</v>
      </c>
      <c r="D48">
        <v>427</v>
      </c>
      <c r="E48" s="1">
        <v>0.82920000000000005</v>
      </c>
      <c r="F48" s="1">
        <v>0.17080000000000001</v>
      </c>
      <c r="G48">
        <v>49</v>
      </c>
      <c r="H48">
        <v>2</v>
      </c>
      <c r="I48">
        <v>2072</v>
      </c>
      <c r="J48" s="20">
        <v>0.99951800000000002</v>
      </c>
      <c r="K48">
        <v>1</v>
      </c>
      <c r="L48">
        <v>1975</v>
      </c>
      <c r="M48">
        <v>1975</v>
      </c>
      <c r="N48">
        <v>1975</v>
      </c>
      <c r="O48">
        <v>1975</v>
      </c>
      <c r="P48" s="1">
        <v>0.95272599999999996</v>
      </c>
    </row>
    <row r="49" spans="1:16" x14ac:dyDescent="0.25">
      <c r="A49" t="s">
        <v>16</v>
      </c>
      <c r="B49" s="19">
        <v>1671415120</v>
      </c>
      <c r="C49">
        <v>1961</v>
      </c>
      <c r="D49">
        <v>539</v>
      </c>
      <c r="E49" s="1">
        <v>0.78439999999999999</v>
      </c>
      <c r="F49" s="1">
        <v>0.21560000000000001</v>
      </c>
      <c r="G49">
        <v>60</v>
      </c>
      <c r="H49">
        <v>1</v>
      </c>
      <c r="I49">
        <v>1961</v>
      </c>
      <c r="J49" s="20">
        <v>1</v>
      </c>
      <c r="K49">
        <v>1</v>
      </c>
      <c r="L49">
        <v>1842</v>
      </c>
      <c r="M49">
        <v>1842</v>
      </c>
      <c r="N49">
        <v>1842</v>
      </c>
      <c r="O49">
        <v>1842</v>
      </c>
      <c r="P49" s="1">
        <v>0.93931699999999996</v>
      </c>
    </row>
    <row r="50" spans="1:16" x14ac:dyDescent="0.25">
      <c r="A50" t="s">
        <v>16</v>
      </c>
      <c r="B50" s="19">
        <v>1235962435</v>
      </c>
      <c r="C50">
        <v>1843</v>
      </c>
      <c r="D50">
        <v>657</v>
      </c>
      <c r="E50" s="1">
        <v>0.73719999999999997</v>
      </c>
      <c r="F50" s="1">
        <v>0.26279999999999998</v>
      </c>
      <c r="G50">
        <v>50</v>
      </c>
      <c r="H50">
        <v>1</v>
      </c>
      <c r="I50">
        <v>1843</v>
      </c>
      <c r="J50" s="20">
        <v>1</v>
      </c>
      <c r="K50">
        <v>2</v>
      </c>
      <c r="L50">
        <v>851.5</v>
      </c>
      <c r="M50">
        <v>1647</v>
      </c>
      <c r="N50">
        <v>56</v>
      </c>
      <c r="O50">
        <v>1703</v>
      </c>
      <c r="P50" s="1">
        <v>0.924037</v>
      </c>
    </row>
    <row r="51" spans="1:16" x14ac:dyDescent="0.25">
      <c r="A51" t="s">
        <v>16</v>
      </c>
      <c r="B51" s="19">
        <v>1248460127</v>
      </c>
      <c r="C51">
        <v>1943</v>
      </c>
      <c r="D51">
        <v>557</v>
      </c>
      <c r="E51" s="1">
        <v>0.7772</v>
      </c>
      <c r="F51" s="1">
        <v>0.2228</v>
      </c>
      <c r="G51">
        <v>54</v>
      </c>
      <c r="H51">
        <v>1</v>
      </c>
      <c r="I51">
        <v>1943</v>
      </c>
      <c r="J51" s="20">
        <v>1</v>
      </c>
      <c r="K51">
        <v>1</v>
      </c>
      <c r="L51">
        <v>1831</v>
      </c>
      <c r="M51">
        <v>1831</v>
      </c>
      <c r="N51">
        <v>1831</v>
      </c>
      <c r="O51">
        <v>1831</v>
      </c>
      <c r="P51" s="1">
        <v>0.942357</v>
      </c>
    </row>
    <row r="52" spans="1:16" x14ac:dyDescent="0.25">
      <c r="A52" t="s">
        <v>26</v>
      </c>
      <c r="B52"/>
      <c r="C52">
        <f>SUBTOTAL(101,CA8_wall50_it3_neigh5[floors])</f>
        <v>1958.22</v>
      </c>
      <c r="D52">
        <f>SUBTOTAL(101,CA8_wall50_it3_neigh5[walls])</f>
        <v>541.78</v>
      </c>
      <c r="E52" s="2">
        <f>SUBTOTAL(101,CA8_wall50_it3_neigh5[floor_percent])</f>
        <v>0.78328799999999998</v>
      </c>
      <c r="F52" s="2">
        <f>SUBTOTAL(101,CA8_wall50_it3_neigh5[wall_percent])</f>
        <v>0.21671199999999996</v>
      </c>
      <c r="G52">
        <f>SUBTOTAL(101,CA8_wall50_it3_neigh5[longest_shortest_path])</f>
        <v>54.12</v>
      </c>
      <c r="H52">
        <f>SUBTOTAL(101,CA8_wall50_it3_neigh5[component_count])</f>
        <v>2.1</v>
      </c>
      <c r="I52">
        <f>SUBTOTAL(101,CA8_wall50_it3_neigh5[max_component_size])</f>
        <v>1946.28</v>
      </c>
      <c r="J52">
        <f>SUBTOTAL(101,CA8_wall50_it3_neigh5[connectivity_ratio])</f>
        <v>0.99382180000000009</v>
      </c>
      <c r="K52">
        <f>SUBTOTAL(101,CA8_wall50_it3_neigh5[room_count])</f>
        <v>1.6</v>
      </c>
      <c r="L52">
        <f>SUBTOTAL(101,CA8_wall50_it3_neigh5[avg_room_size])</f>
        <v>1417.0913333400001</v>
      </c>
      <c r="M52">
        <f>SUBTOTAL(101,CA8_wall50_it3_neigh5[max_room_size])</f>
        <v>1812.24</v>
      </c>
      <c r="N52">
        <f>SUBTOTAL(101,CA8_wall50_it3_neigh5[min_room_size])</f>
        <v>1118.26</v>
      </c>
      <c r="O52">
        <f>SUBTOTAL(101,CA8_wall50_it3_neigh5[room_tiles])</f>
        <v>1826.58</v>
      </c>
      <c r="P52" s="2">
        <f>SUBTOTAL(101,CA8_wall50_it3_neigh5[room_ratio])</f>
        <v>0.93248753999999989</v>
      </c>
    </row>
    <row r="53" spans="1:16" x14ac:dyDescent="0.25">
      <c r="A53" s="22" t="s">
        <v>39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89CC-6FCC-4FE4-BA31-247E6E0590C1}">
  <dimension ref="A1:P53"/>
  <sheetViews>
    <sheetView topLeftCell="A34" workbookViewId="0">
      <selection activeCell="G60" sqref="G60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1413482917</v>
      </c>
      <c r="C2">
        <v>1545</v>
      </c>
      <c r="D2">
        <v>955</v>
      </c>
      <c r="E2" s="1">
        <v>0.61799999999999999</v>
      </c>
      <c r="F2" s="1">
        <v>0.38200000000000001</v>
      </c>
      <c r="G2">
        <v>74</v>
      </c>
      <c r="H2">
        <v>12</v>
      </c>
      <c r="I2">
        <v>1505</v>
      </c>
      <c r="J2" s="20">
        <v>0.97411000000000003</v>
      </c>
      <c r="K2">
        <v>6</v>
      </c>
      <c r="L2">
        <v>193.66666699999999</v>
      </c>
      <c r="M2">
        <v>1066</v>
      </c>
      <c r="N2">
        <v>1</v>
      </c>
      <c r="O2">
        <v>1162</v>
      </c>
      <c r="P2" s="1">
        <v>0.75210399999999999</v>
      </c>
    </row>
    <row r="3" spans="1:16" x14ac:dyDescent="0.25">
      <c r="A3" t="s">
        <v>16</v>
      </c>
      <c r="B3" s="19">
        <v>378394826</v>
      </c>
      <c r="C3">
        <v>1539</v>
      </c>
      <c r="D3">
        <v>961</v>
      </c>
      <c r="E3" s="1">
        <v>0.61560000000000004</v>
      </c>
      <c r="F3" s="1">
        <v>0.38440000000000002</v>
      </c>
      <c r="G3">
        <v>87</v>
      </c>
      <c r="H3">
        <v>11</v>
      </c>
      <c r="I3">
        <v>1489</v>
      </c>
      <c r="J3" s="20">
        <v>0.96751100000000001</v>
      </c>
      <c r="K3">
        <v>12</v>
      </c>
      <c r="L3">
        <v>92.833332999999996</v>
      </c>
      <c r="M3">
        <v>974</v>
      </c>
      <c r="N3">
        <v>1</v>
      </c>
      <c r="O3">
        <v>1114</v>
      </c>
      <c r="P3" s="1">
        <v>0.72384700000000002</v>
      </c>
    </row>
    <row r="4" spans="1:16" x14ac:dyDescent="0.25">
      <c r="A4" t="s">
        <v>16</v>
      </c>
      <c r="B4" s="19">
        <v>1473065277</v>
      </c>
      <c r="C4">
        <v>1620</v>
      </c>
      <c r="D4">
        <v>880</v>
      </c>
      <c r="E4" s="1">
        <v>0.64800000000000002</v>
      </c>
      <c r="F4" s="1">
        <v>0.35199999999999998</v>
      </c>
      <c r="G4">
        <v>58</v>
      </c>
      <c r="H4">
        <v>12</v>
      </c>
      <c r="I4">
        <v>1603</v>
      </c>
      <c r="J4" s="20">
        <v>0.989506</v>
      </c>
      <c r="K4">
        <v>6</v>
      </c>
      <c r="L4">
        <v>211</v>
      </c>
      <c r="M4">
        <v>1169</v>
      </c>
      <c r="N4">
        <v>1</v>
      </c>
      <c r="O4">
        <v>1266</v>
      </c>
      <c r="P4" s="1">
        <v>0.78148099999999998</v>
      </c>
    </row>
    <row r="5" spans="1:16" x14ac:dyDescent="0.25">
      <c r="A5" t="s">
        <v>16</v>
      </c>
      <c r="B5" s="19">
        <v>1401894132</v>
      </c>
      <c r="C5">
        <v>1571</v>
      </c>
      <c r="D5">
        <v>929</v>
      </c>
      <c r="E5" s="1">
        <v>0.62839999999999996</v>
      </c>
      <c r="F5" s="1">
        <v>0.37159999999999999</v>
      </c>
      <c r="G5">
        <v>70</v>
      </c>
      <c r="H5">
        <v>10</v>
      </c>
      <c r="I5">
        <v>1555</v>
      </c>
      <c r="J5" s="20">
        <v>0.989815</v>
      </c>
      <c r="K5">
        <v>9</v>
      </c>
      <c r="L5">
        <v>132.11111099999999</v>
      </c>
      <c r="M5">
        <v>1048</v>
      </c>
      <c r="N5">
        <v>1</v>
      </c>
      <c r="O5">
        <v>1189</v>
      </c>
      <c r="P5" s="1">
        <v>0.75684300000000004</v>
      </c>
    </row>
    <row r="6" spans="1:16" x14ac:dyDescent="0.25">
      <c r="A6" t="s">
        <v>16</v>
      </c>
      <c r="B6" s="19">
        <v>1911231680</v>
      </c>
      <c r="C6">
        <v>1535</v>
      </c>
      <c r="D6">
        <v>965</v>
      </c>
      <c r="E6" s="1">
        <v>0.61399999999999999</v>
      </c>
      <c r="F6" s="1">
        <v>0.38600000000000001</v>
      </c>
      <c r="G6">
        <v>64</v>
      </c>
      <c r="H6">
        <v>12</v>
      </c>
      <c r="I6">
        <v>1513</v>
      </c>
      <c r="J6" s="20">
        <v>0.98566799999999999</v>
      </c>
      <c r="K6">
        <v>8</v>
      </c>
      <c r="L6">
        <v>140.125</v>
      </c>
      <c r="M6">
        <v>936</v>
      </c>
      <c r="N6">
        <v>1</v>
      </c>
      <c r="O6">
        <v>1121</v>
      </c>
      <c r="P6" s="1">
        <v>0.73029299999999997</v>
      </c>
    </row>
    <row r="7" spans="1:16" x14ac:dyDescent="0.25">
      <c r="A7" t="s">
        <v>16</v>
      </c>
      <c r="B7" s="19">
        <v>2099566799</v>
      </c>
      <c r="C7">
        <v>1522</v>
      </c>
      <c r="D7">
        <v>978</v>
      </c>
      <c r="E7" s="1">
        <v>0.60880000000000001</v>
      </c>
      <c r="F7" s="1">
        <v>0.39119999999999999</v>
      </c>
      <c r="G7">
        <v>59</v>
      </c>
      <c r="H7">
        <v>13</v>
      </c>
      <c r="I7">
        <v>1363</v>
      </c>
      <c r="J7" s="20">
        <v>0.89553199999999999</v>
      </c>
      <c r="K7">
        <v>6</v>
      </c>
      <c r="L7">
        <v>187.83333300000001</v>
      </c>
      <c r="M7">
        <v>1015</v>
      </c>
      <c r="N7">
        <v>1</v>
      </c>
      <c r="O7">
        <v>1127</v>
      </c>
      <c r="P7" s="1">
        <v>0.74047300000000005</v>
      </c>
    </row>
    <row r="8" spans="1:16" x14ac:dyDescent="0.25">
      <c r="A8" t="s">
        <v>16</v>
      </c>
      <c r="B8" s="19">
        <v>2129827060</v>
      </c>
      <c r="C8">
        <v>1503</v>
      </c>
      <c r="D8">
        <v>997</v>
      </c>
      <c r="E8" s="1">
        <v>0.60119999999999996</v>
      </c>
      <c r="F8" s="1">
        <v>0.39879999999999999</v>
      </c>
      <c r="G8">
        <v>67</v>
      </c>
      <c r="H8">
        <v>12</v>
      </c>
      <c r="I8">
        <v>1468</v>
      </c>
      <c r="J8" s="20">
        <v>0.97671300000000005</v>
      </c>
      <c r="K8">
        <v>11</v>
      </c>
      <c r="L8">
        <v>98.454544999999996</v>
      </c>
      <c r="M8">
        <v>710</v>
      </c>
      <c r="N8">
        <v>2</v>
      </c>
      <c r="O8">
        <v>1083</v>
      </c>
      <c r="P8" s="1">
        <v>0.72055899999999995</v>
      </c>
    </row>
    <row r="9" spans="1:16" x14ac:dyDescent="0.25">
      <c r="A9" t="s">
        <v>16</v>
      </c>
      <c r="B9" s="19">
        <v>1596089108</v>
      </c>
      <c r="C9">
        <v>1516</v>
      </c>
      <c r="D9">
        <v>984</v>
      </c>
      <c r="E9" s="1">
        <v>0.60640000000000005</v>
      </c>
      <c r="F9" s="1">
        <v>0.39360000000000001</v>
      </c>
      <c r="G9">
        <v>63</v>
      </c>
      <c r="H9">
        <v>11</v>
      </c>
      <c r="I9">
        <v>1473</v>
      </c>
      <c r="J9" s="20">
        <v>0.97163600000000006</v>
      </c>
      <c r="K9">
        <v>14</v>
      </c>
      <c r="L9">
        <v>80.357142999999994</v>
      </c>
      <c r="M9">
        <v>641</v>
      </c>
      <c r="N9">
        <v>1</v>
      </c>
      <c r="O9">
        <v>1125</v>
      </c>
      <c r="P9" s="1">
        <v>0.74208399999999997</v>
      </c>
    </row>
    <row r="10" spans="1:16" x14ac:dyDescent="0.25">
      <c r="A10" t="s">
        <v>16</v>
      </c>
      <c r="B10" s="19">
        <v>1362742514</v>
      </c>
      <c r="C10">
        <v>1492</v>
      </c>
      <c r="D10">
        <v>1008</v>
      </c>
      <c r="E10" s="1">
        <v>0.5968</v>
      </c>
      <c r="F10" s="1">
        <v>0.4032</v>
      </c>
      <c r="G10">
        <v>75</v>
      </c>
      <c r="H10">
        <v>12</v>
      </c>
      <c r="I10">
        <v>1461</v>
      </c>
      <c r="J10" s="20">
        <v>0.97922299999999995</v>
      </c>
      <c r="K10">
        <v>12</v>
      </c>
      <c r="L10">
        <v>87.833332999999996</v>
      </c>
      <c r="M10">
        <v>404</v>
      </c>
      <c r="N10">
        <v>1</v>
      </c>
      <c r="O10">
        <v>1054</v>
      </c>
      <c r="P10" s="1">
        <v>0.70643400000000001</v>
      </c>
    </row>
    <row r="11" spans="1:16" x14ac:dyDescent="0.25">
      <c r="A11" t="s">
        <v>16</v>
      </c>
      <c r="B11" s="19">
        <v>1491794753</v>
      </c>
      <c r="C11">
        <v>1555</v>
      </c>
      <c r="D11">
        <v>945</v>
      </c>
      <c r="E11" s="1">
        <v>0.622</v>
      </c>
      <c r="F11" s="1">
        <v>0.378</v>
      </c>
      <c r="G11">
        <v>58</v>
      </c>
      <c r="H11">
        <v>10</v>
      </c>
      <c r="I11">
        <v>1533</v>
      </c>
      <c r="J11" s="20">
        <v>0.98585199999999995</v>
      </c>
      <c r="K11">
        <v>6</v>
      </c>
      <c r="L11">
        <v>195.33333300000001</v>
      </c>
      <c r="M11">
        <v>1122</v>
      </c>
      <c r="N11">
        <v>1</v>
      </c>
      <c r="O11">
        <v>1172</v>
      </c>
      <c r="P11" s="1">
        <v>0.75369799999999998</v>
      </c>
    </row>
    <row r="12" spans="1:16" x14ac:dyDescent="0.25">
      <c r="A12" t="s">
        <v>16</v>
      </c>
      <c r="B12" s="19">
        <v>1297834692</v>
      </c>
      <c r="C12">
        <v>1429</v>
      </c>
      <c r="D12">
        <v>1071</v>
      </c>
      <c r="E12" s="1">
        <v>0.5716</v>
      </c>
      <c r="F12" s="1">
        <v>0.4284</v>
      </c>
      <c r="G12">
        <v>74</v>
      </c>
      <c r="H12">
        <v>17</v>
      </c>
      <c r="I12">
        <v>1297</v>
      </c>
      <c r="J12" s="20">
        <v>0.90762799999999999</v>
      </c>
      <c r="K12">
        <v>18</v>
      </c>
      <c r="L12">
        <v>54.333333000000003</v>
      </c>
      <c r="M12">
        <v>564</v>
      </c>
      <c r="N12">
        <v>1</v>
      </c>
      <c r="O12">
        <v>978</v>
      </c>
      <c r="P12" s="1">
        <v>0.68439499999999998</v>
      </c>
    </row>
    <row r="13" spans="1:16" x14ac:dyDescent="0.25">
      <c r="A13" t="s">
        <v>16</v>
      </c>
      <c r="B13" s="19">
        <v>289400645</v>
      </c>
      <c r="C13">
        <v>1529</v>
      </c>
      <c r="D13">
        <v>971</v>
      </c>
      <c r="E13" s="1">
        <v>0.61160000000000003</v>
      </c>
      <c r="F13" s="1">
        <v>0.38840000000000002</v>
      </c>
      <c r="G13">
        <v>88</v>
      </c>
      <c r="H13">
        <v>7</v>
      </c>
      <c r="I13">
        <v>1513</v>
      </c>
      <c r="J13" s="20">
        <v>0.98953599999999997</v>
      </c>
      <c r="K13">
        <v>11</v>
      </c>
      <c r="L13">
        <v>104</v>
      </c>
      <c r="M13">
        <v>1029</v>
      </c>
      <c r="N13">
        <v>1</v>
      </c>
      <c r="O13">
        <v>1144</v>
      </c>
      <c r="P13" s="1">
        <v>0.748201</v>
      </c>
    </row>
    <row r="14" spans="1:16" x14ac:dyDescent="0.25">
      <c r="A14" t="s">
        <v>16</v>
      </c>
      <c r="B14" s="19">
        <v>1581865227</v>
      </c>
      <c r="C14">
        <v>1508</v>
      </c>
      <c r="D14">
        <v>992</v>
      </c>
      <c r="E14" s="1">
        <v>0.60319999999999996</v>
      </c>
      <c r="F14" s="1">
        <v>0.39679999999999999</v>
      </c>
      <c r="G14">
        <v>64</v>
      </c>
      <c r="H14">
        <v>8</v>
      </c>
      <c r="I14">
        <v>1464</v>
      </c>
      <c r="J14" s="20">
        <v>0.97082199999999996</v>
      </c>
      <c r="K14">
        <v>15</v>
      </c>
      <c r="L14">
        <v>72.533332999999999</v>
      </c>
      <c r="M14">
        <v>772</v>
      </c>
      <c r="N14">
        <v>1</v>
      </c>
      <c r="O14">
        <v>1088</v>
      </c>
      <c r="P14" s="1">
        <v>0.72148500000000004</v>
      </c>
    </row>
    <row r="15" spans="1:16" x14ac:dyDescent="0.25">
      <c r="A15" t="s">
        <v>16</v>
      </c>
      <c r="B15" s="19">
        <v>141392863</v>
      </c>
      <c r="C15">
        <v>1527</v>
      </c>
      <c r="D15">
        <v>973</v>
      </c>
      <c r="E15" s="1">
        <v>0.61080000000000001</v>
      </c>
      <c r="F15" s="1">
        <v>0.38919999999999999</v>
      </c>
      <c r="G15">
        <v>73</v>
      </c>
      <c r="H15">
        <v>10</v>
      </c>
      <c r="I15">
        <v>1441</v>
      </c>
      <c r="J15" s="20">
        <v>0.94367999999999996</v>
      </c>
      <c r="K15">
        <v>14</v>
      </c>
      <c r="L15">
        <v>77.357142999999994</v>
      </c>
      <c r="M15">
        <v>748</v>
      </c>
      <c r="N15">
        <v>1</v>
      </c>
      <c r="O15">
        <v>1083</v>
      </c>
      <c r="P15" s="1">
        <v>0.70923400000000003</v>
      </c>
    </row>
    <row r="16" spans="1:16" x14ac:dyDescent="0.25">
      <c r="A16" t="s">
        <v>16</v>
      </c>
      <c r="B16" s="19">
        <v>1861670800</v>
      </c>
      <c r="C16">
        <v>1478</v>
      </c>
      <c r="D16">
        <v>1022</v>
      </c>
      <c r="E16" s="1">
        <v>0.59119999999999995</v>
      </c>
      <c r="F16" s="1">
        <v>0.4088</v>
      </c>
      <c r="G16">
        <v>67</v>
      </c>
      <c r="H16">
        <v>8</v>
      </c>
      <c r="I16">
        <v>1467</v>
      </c>
      <c r="J16" s="20">
        <v>0.99255800000000005</v>
      </c>
      <c r="K16">
        <v>5</v>
      </c>
      <c r="L16">
        <v>216.8</v>
      </c>
      <c r="M16">
        <v>676</v>
      </c>
      <c r="N16">
        <v>43</v>
      </c>
      <c r="O16">
        <v>1084</v>
      </c>
      <c r="P16" s="1">
        <v>0.73342399999999996</v>
      </c>
    </row>
    <row r="17" spans="1:16" x14ac:dyDescent="0.25">
      <c r="A17" t="s">
        <v>16</v>
      </c>
      <c r="B17" s="19">
        <v>1841020229</v>
      </c>
      <c r="C17">
        <v>1594</v>
      </c>
      <c r="D17">
        <v>906</v>
      </c>
      <c r="E17" s="1">
        <v>0.63759999999999994</v>
      </c>
      <c r="F17" s="1">
        <v>0.3624</v>
      </c>
      <c r="G17">
        <v>60</v>
      </c>
      <c r="H17">
        <v>5</v>
      </c>
      <c r="I17">
        <v>1589</v>
      </c>
      <c r="J17" s="20">
        <v>0.99686300000000005</v>
      </c>
      <c r="K17">
        <v>8</v>
      </c>
      <c r="L17">
        <v>153.375</v>
      </c>
      <c r="M17">
        <v>1145</v>
      </c>
      <c r="N17">
        <v>2</v>
      </c>
      <c r="O17">
        <v>1227</v>
      </c>
      <c r="P17" s="1">
        <v>0.76976199999999995</v>
      </c>
    </row>
    <row r="18" spans="1:16" x14ac:dyDescent="0.25">
      <c r="A18" t="s">
        <v>16</v>
      </c>
      <c r="B18" s="19">
        <v>1524520115</v>
      </c>
      <c r="C18">
        <v>1464</v>
      </c>
      <c r="D18">
        <v>1036</v>
      </c>
      <c r="E18" s="1">
        <v>0.58560000000000001</v>
      </c>
      <c r="F18" s="1">
        <v>0.41439999999999999</v>
      </c>
      <c r="G18">
        <v>61</v>
      </c>
      <c r="H18">
        <v>15</v>
      </c>
      <c r="I18">
        <v>1330</v>
      </c>
      <c r="J18" s="20">
        <v>0.90847</v>
      </c>
      <c r="K18">
        <v>15</v>
      </c>
      <c r="L18">
        <v>68.866667000000007</v>
      </c>
      <c r="M18">
        <v>792</v>
      </c>
      <c r="N18">
        <v>1</v>
      </c>
      <c r="O18">
        <v>1033</v>
      </c>
      <c r="P18" s="1">
        <v>0.70560100000000003</v>
      </c>
    </row>
    <row r="19" spans="1:16" x14ac:dyDescent="0.25">
      <c r="A19" t="s">
        <v>16</v>
      </c>
      <c r="B19" s="19">
        <v>964944144</v>
      </c>
      <c r="C19">
        <v>1555</v>
      </c>
      <c r="D19">
        <v>945</v>
      </c>
      <c r="E19" s="1">
        <v>0.622</v>
      </c>
      <c r="F19" s="1">
        <v>0.378</v>
      </c>
      <c r="G19">
        <v>61</v>
      </c>
      <c r="H19">
        <v>9</v>
      </c>
      <c r="I19">
        <v>1535</v>
      </c>
      <c r="J19" s="20">
        <v>0.98713799999999996</v>
      </c>
      <c r="K19">
        <v>11</v>
      </c>
      <c r="L19">
        <v>102.454545</v>
      </c>
      <c r="M19">
        <v>732</v>
      </c>
      <c r="N19">
        <v>1</v>
      </c>
      <c r="O19">
        <v>1127</v>
      </c>
      <c r="P19" s="1">
        <v>0.72475900000000004</v>
      </c>
    </row>
    <row r="20" spans="1:16" x14ac:dyDescent="0.25">
      <c r="A20" t="s">
        <v>16</v>
      </c>
      <c r="B20" s="19">
        <v>1476407725</v>
      </c>
      <c r="C20">
        <v>1525</v>
      </c>
      <c r="D20">
        <v>975</v>
      </c>
      <c r="E20" s="1">
        <v>0.61</v>
      </c>
      <c r="F20" s="1">
        <v>0.39</v>
      </c>
      <c r="G20">
        <v>63</v>
      </c>
      <c r="H20">
        <v>9</v>
      </c>
      <c r="I20">
        <v>1510</v>
      </c>
      <c r="J20" s="20">
        <v>0.99016400000000004</v>
      </c>
      <c r="K20">
        <v>7</v>
      </c>
      <c r="L20">
        <v>157.14285699999999</v>
      </c>
      <c r="M20">
        <v>999</v>
      </c>
      <c r="N20">
        <v>1</v>
      </c>
      <c r="O20">
        <v>1100</v>
      </c>
      <c r="P20" s="1">
        <v>0.72131100000000004</v>
      </c>
    </row>
    <row r="21" spans="1:16" x14ac:dyDescent="0.25">
      <c r="A21" t="s">
        <v>16</v>
      </c>
      <c r="B21" s="19">
        <v>191033107</v>
      </c>
      <c r="C21">
        <v>1565</v>
      </c>
      <c r="D21">
        <v>935</v>
      </c>
      <c r="E21" s="1">
        <v>0.626</v>
      </c>
      <c r="F21" s="1">
        <v>0.374</v>
      </c>
      <c r="G21">
        <v>60</v>
      </c>
      <c r="H21">
        <v>11</v>
      </c>
      <c r="I21">
        <v>1550</v>
      </c>
      <c r="J21" s="20">
        <v>0.99041500000000005</v>
      </c>
      <c r="K21">
        <v>6</v>
      </c>
      <c r="L21">
        <v>198.33333300000001</v>
      </c>
      <c r="M21">
        <v>695</v>
      </c>
      <c r="N21">
        <v>3</v>
      </c>
      <c r="O21">
        <v>1190</v>
      </c>
      <c r="P21" s="1">
        <v>0.76038300000000003</v>
      </c>
    </row>
    <row r="22" spans="1:16" x14ac:dyDescent="0.25">
      <c r="A22" t="s">
        <v>16</v>
      </c>
      <c r="B22" s="19">
        <v>1385364744</v>
      </c>
      <c r="C22">
        <v>1436</v>
      </c>
      <c r="D22">
        <v>1064</v>
      </c>
      <c r="E22" s="1">
        <v>0.57440000000000002</v>
      </c>
      <c r="F22" s="1">
        <v>0.42559999999999998</v>
      </c>
      <c r="G22">
        <v>73</v>
      </c>
      <c r="H22">
        <v>16</v>
      </c>
      <c r="I22">
        <v>1387</v>
      </c>
      <c r="J22" s="20">
        <v>0.96587699999999999</v>
      </c>
      <c r="K22">
        <v>9</v>
      </c>
      <c r="L22">
        <v>116.222222</v>
      </c>
      <c r="M22">
        <v>604</v>
      </c>
      <c r="N22">
        <v>2</v>
      </c>
      <c r="O22">
        <v>1046</v>
      </c>
      <c r="P22" s="1">
        <v>0.72841199999999995</v>
      </c>
    </row>
    <row r="23" spans="1:16" x14ac:dyDescent="0.25">
      <c r="A23" t="s">
        <v>16</v>
      </c>
      <c r="B23" s="19">
        <v>2017364753</v>
      </c>
      <c r="C23">
        <v>1607</v>
      </c>
      <c r="D23">
        <v>893</v>
      </c>
      <c r="E23" s="1">
        <v>0.64280000000000004</v>
      </c>
      <c r="F23" s="1">
        <v>0.35720000000000002</v>
      </c>
      <c r="G23">
        <v>70</v>
      </c>
      <c r="H23">
        <v>5</v>
      </c>
      <c r="I23">
        <v>1598</v>
      </c>
      <c r="J23" s="20">
        <v>0.99439999999999995</v>
      </c>
      <c r="K23">
        <v>8</v>
      </c>
      <c r="L23">
        <v>150.875</v>
      </c>
      <c r="M23">
        <v>1032</v>
      </c>
      <c r="N23">
        <v>1</v>
      </c>
      <c r="O23">
        <v>1207</v>
      </c>
      <c r="P23" s="1">
        <v>0.75108900000000001</v>
      </c>
    </row>
    <row r="24" spans="1:16" x14ac:dyDescent="0.25">
      <c r="A24" t="s">
        <v>16</v>
      </c>
      <c r="B24" s="19">
        <v>301097514</v>
      </c>
      <c r="C24">
        <v>1486</v>
      </c>
      <c r="D24">
        <v>1014</v>
      </c>
      <c r="E24" s="1">
        <v>0.59440000000000004</v>
      </c>
      <c r="F24" s="1">
        <v>0.40560000000000002</v>
      </c>
      <c r="G24">
        <v>63</v>
      </c>
      <c r="H24">
        <v>7</v>
      </c>
      <c r="I24">
        <v>1479</v>
      </c>
      <c r="J24" s="20">
        <v>0.99528899999999998</v>
      </c>
      <c r="K24">
        <v>17</v>
      </c>
      <c r="L24">
        <v>63</v>
      </c>
      <c r="M24">
        <v>544</v>
      </c>
      <c r="N24">
        <v>1</v>
      </c>
      <c r="O24">
        <v>1071</v>
      </c>
      <c r="P24" s="1">
        <v>0.72072700000000001</v>
      </c>
    </row>
    <row r="25" spans="1:16" x14ac:dyDescent="0.25">
      <c r="A25" t="s">
        <v>16</v>
      </c>
      <c r="B25" s="19">
        <v>1682070220</v>
      </c>
      <c r="C25">
        <v>1490</v>
      </c>
      <c r="D25">
        <v>1010</v>
      </c>
      <c r="E25" s="1">
        <v>0.59599999999999997</v>
      </c>
      <c r="F25" s="1">
        <v>0.40400000000000003</v>
      </c>
      <c r="G25">
        <v>84</v>
      </c>
      <c r="H25">
        <v>14</v>
      </c>
      <c r="I25">
        <v>1471</v>
      </c>
      <c r="J25" s="20">
        <v>0.98724800000000001</v>
      </c>
      <c r="K25">
        <v>13</v>
      </c>
      <c r="L25">
        <v>82</v>
      </c>
      <c r="M25">
        <v>442</v>
      </c>
      <c r="N25">
        <v>1</v>
      </c>
      <c r="O25">
        <v>1066</v>
      </c>
      <c r="P25" s="1">
        <v>0.71543599999999996</v>
      </c>
    </row>
    <row r="26" spans="1:16" x14ac:dyDescent="0.25">
      <c r="A26" t="s">
        <v>16</v>
      </c>
      <c r="B26" s="19">
        <v>640940310</v>
      </c>
      <c r="C26">
        <v>1584</v>
      </c>
      <c r="D26">
        <v>916</v>
      </c>
      <c r="E26" s="1">
        <v>0.63360000000000005</v>
      </c>
      <c r="F26" s="1">
        <v>0.3664</v>
      </c>
      <c r="G26">
        <v>57</v>
      </c>
      <c r="H26">
        <v>13</v>
      </c>
      <c r="I26">
        <v>1554</v>
      </c>
      <c r="J26" s="20">
        <v>0.98106099999999996</v>
      </c>
      <c r="K26">
        <v>6</v>
      </c>
      <c r="L26">
        <v>204.16666699999999</v>
      </c>
      <c r="M26">
        <v>1157</v>
      </c>
      <c r="N26">
        <v>1</v>
      </c>
      <c r="O26">
        <v>1225</v>
      </c>
      <c r="P26" s="1">
        <v>0.77335900000000002</v>
      </c>
    </row>
    <row r="27" spans="1:16" x14ac:dyDescent="0.25">
      <c r="A27" t="s">
        <v>16</v>
      </c>
      <c r="B27" s="19">
        <v>1739519187</v>
      </c>
      <c r="C27">
        <v>1392</v>
      </c>
      <c r="D27">
        <v>1108</v>
      </c>
      <c r="E27" s="1">
        <v>0.55679999999999996</v>
      </c>
      <c r="F27" s="1">
        <v>0.44319999999999998</v>
      </c>
      <c r="G27">
        <v>59</v>
      </c>
      <c r="H27">
        <v>21</v>
      </c>
      <c r="I27">
        <v>1206</v>
      </c>
      <c r="J27" s="20">
        <v>0.86637900000000001</v>
      </c>
      <c r="K27">
        <v>21</v>
      </c>
      <c r="L27">
        <v>44.047618999999997</v>
      </c>
      <c r="M27">
        <v>418</v>
      </c>
      <c r="N27">
        <v>1</v>
      </c>
      <c r="O27">
        <v>925</v>
      </c>
      <c r="P27" s="1">
        <v>0.66451099999999996</v>
      </c>
    </row>
    <row r="28" spans="1:16" x14ac:dyDescent="0.25">
      <c r="A28" t="s">
        <v>16</v>
      </c>
      <c r="B28" s="19">
        <v>1933709661</v>
      </c>
      <c r="C28">
        <v>1548</v>
      </c>
      <c r="D28">
        <v>952</v>
      </c>
      <c r="E28" s="1">
        <v>0.61919999999999997</v>
      </c>
      <c r="F28" s="1">
        <v>0.38080000000000003</v>
      </c>
      <c r="G28">
        <v>56</v>
      </c>
      <c r="H28">
        <v>7</v>
      </c>
      <c r="I28">
        <v>1533</v>
      </c>
      <c r="J28" s="20">
        <v>0.99031000000000002</v>
      </c>
      <c r="K28">
        <v>7</v>
      </c>
      <c r="L28">
        <v>166.14285699999999</v>
      </c>
      <c r="M28">
        <v>684</v>
      </c>
      <c r="N28">
        <v>5</v>
      </c>
      <c r="O28">
        <v>1163</v>
      </c>
      <c r="P28" s="1">
        <v>0.75129199999999996</v>
      </c>
    </row>
    <row r="29" spans="1:16" x14ac:dyDescent="0.25">
      <c r="A29" t="s">
        <v>16</v>
      </c>
      <c r="B29" s="19">
        <v>526290546</v>
      </c>
      <c r="C29">
        <v>1614</v>
      </c>
      <c r="D29">
        <v>886</v>
      </c>
      <c r="E29" s="1">
        <v>0.64559999999999995</v>
      </c>
      <c r="F29" s="1">
        <v>0.35439999999999999</v>
      </c>
      <c r="G29">
        <v>62</v>
      </c>
      <c r="H29">
        <v>6</v>
      </c>
      <c r="I29">
        <v>1605</v>
      </c>
      <c r="J29" s="20">
        <v>0.99442399999999997</v>
      </c>
      <c r="K29">
        <v>8</v>
      </c>
      <c r="L29">
        <v>152.5</v>
      </c>
      <c r="M29">
        <v>950</v>
      </c>
      <c r="N29">
        <v>1</v>
      </c>
      <c r="O29">
        <v>1220</v>
      </c>
      <c r="P29" s="1">
        <v>0.75588599999999995</v>
      </c>
    </row>
    <row r="30" spans="1:16" x14ac:dyDescent="0.25">
      <c r="A30" t="s">
        <v>16</v>
      </c>
      <c r="B30" s="19">
        <v>1421253275</v>
      </c>
      <c r="C30">
        <v>1493</v>
      </c>
      <c r="D30">
        <v>1007</v>
      </c>
      <c r="E30" s="1">
        <v>0.59719999999999995</v>
      </c>
      <c r="F30" s="1">
        <v>0.40279999999999999</v>
      </c>
      <c r="G30">
        <v>74</v>
      </c>
      <c r="H30">
        <v>10</v>
      </c>
      <c r="I30">
        <v>1465</v>
      </c>
      <c r="J30" s="20">
        <v>0.98124599999999995</v>
      </c>
      <c r="K30">
        <v>7</v>
      </c>
      <c r="L30">
        <v>160.57142899999999</v>
      </c>
      <c r="M30">
        <v>1000</v>
      </c>
      <c r="N30">
        <v>5</v>
      </c>
      <c r="O30">
        <v>1124</v>
      </c>
      <c r="P30" s="1">
        <v>0.75284700000000004</v>
      </c>
    </row>
    <row r="31" spans="1:16" x14ac:dyDescent="0.25">
      <c r="A31" t="s">
        <v>16</v>
      </c>
      <c r="B31" s="19">
        <v>859736686</v>
      </c>
      <c r="C31">
        <v>1534</v>
      </c>
      <c r="D31">
        <v>966</v>
      </c>
      <c r="E31" s="1">
        <v>0.61360000000000003</v>
      </c>
      <c r="F31" s="1">
        <v>0.38640000000000002</v>
      </c>
      <c r="G31">
        <v>66</v>
      </c>
      <c r="H31">
        <v>13</v>
      </c>
      <c r="I31">
        <v>1516</v>
      </c>
      <c r="J31" s="20">
        <v>0.98826599999999998</v>
      </c>
      <c r="K31">
        <v>9</v>
      </c>
      <c r="L31">
        <v>125.222222</v>
      </c>
      <c r="M31">
        <v>553</v>
      </c>
      <c r="N31">
        <v>2</v>
      </c>
      <c r="O31">
        <v>1127</v>
      </c>
      <c r="P31" s="1">
        <v>0.73468100000000003</v>
      </c>
    </row>
    <row r="32" spans="1:16" x14ac:dyDescent="0.25">
      <c r="A32" t="s">
        <v>16</v>
      </c>
      <c r="B32" s="19">
        <v>500502357</v>
      </c>
      <c r="C32">
        <v>1568</v>
      </c>
      <c r="D32">
        <v>932</v>
      </c>
      <c r="E32" s="1">
        <v>0.62719999999999998</v>
      </c>
      <c r="F32" s="1">
        <v>0.37280000000000002</v>
      </c>
      <c r="G32">
        <v>57</v>
      </c>
      <c r="H32">
        <v>13</v>
      </c>
      <c r="I32">
        <v>1521</v>
      </c>
      <c r="J32" s="20">
        <v>0.97002600000000005</v>
      </c>
      <c r="K32">
        <v>9</v>
      </c>
      <c r="L32">
        <v>130.33333300000001</v>
      </c>
      <c r="M32">
        <v>839</v>
      </c>
      <c r="N32">
        <v>3</v>
      </c>
      <c r="O32">
        <v>1173</v>
      </c>
      <c r="P32" s="1">
        <v>0.74808699999999995</v>
      </c>
    </row>
    <row r="33" spans="1:16" x14ac:dyDescent="0.25">
      <c r="A33" t="s">
        <v>16</v>
      </c>
      <c r="B33" s="19">
        <v>273912507</v>
      </c>
      <c r="C33">
        <v>1603</v>
      </c>
      <c r="D33">
        <v>897</v>
      </c>
      <c r="E33" s="1">
        <v>0.64119999999999999</v>
      </c>
      <c r="F33" s="1">
        <v>0.35880000000000001</v>
      </c>
      <c r="G33">
        <v>71</v>
      </c>
      <c r="H33">
        <v>9</v>
      </c>
      <c r="I33">
        <v>1545</v>
      </c>
      <c r="J33" s="20">
        <v>0.96381799999999995</v>
      </c>
      <c r="K33">
        <v>9</v>
      </c>
      <c r="L33">
        <v>138.444444</v>
      </c>
      <c r="M33">
        <v>1177</v>
      </c>
      <c r="N33">
        <v>5</v>
      </c>
      <c r="O33">
        <v>1246</v>
      </c>
      <c r="P33" s="1">
        <v>0.77729300000000001</v>
      </c>
    </row>
    <row r="34" spans="1:16" x14ac:dyDescent="0.25">
      <c r="A34" t="s">
        <v>16</v>
      </c>
      <c r="B34" s="19">
        <v>1468946862</v>
      </c>
      <c r="C34">
        <v>1501</v>
      </c>
      <c r="D34">
        <v>999</v>
      </c>
      <c r="E34" s="1">
        <v>0.60040000000000004</v>
      </c>
      <c r="F34" s="1">
        <v>0.39960000000000001</v>
      </c>
      <c r="G34">
        <v>69</v>
      </c>
      <c r="H34">
        <v>21</v>
      </c>
      <c r="I34">
        <v>1409</v>
      </c>
      <c r="J34" s="20">
        <v>0.93870799999999999</v>
      </c>
      <c r="K34">
        <v>15</v>
      </c>
      <c r="L34">
        <v>72</v>
      </c>
      <c r="M34">
        <v>673</v>
      </c>
      <c r="N34">
        <v>1</v>
      </c>
      <c r="O34">
        <v>1080</v>
      </c>
      <c r="P34" s="1">
        <v>0.71952000000000005</v>
      </c>
    </row>
    <row r="35" spans="1:16" x14ac:dyDescent="0.25">
      <c r="A35" t="s">
        <v>16</v>
      </c>
      <c r="B35" s="19">
        <v>962482222</v>
      </c>
      <c r="C35">
        <v>1512</v>
      </c>
      <c r="D35">
        <v>988</v>
      </c>
      <c r="E35" s="1">
        <v>0.6048</v>
      </c>
      <c r="F35" s="1">
        <v>0.3952</v>
      </c>
      <c r="G35">
        <v>73</v>
      </c>
      <c r="H35">
        <v>8</v>
      </c>
      <c r="I35">
        <v>1500</v>
      </c>
      <c r="J35" s="20">
        <v>0.99206300000000003</v>
      </c>
      <c r="K35">
        <v>8</v>
      </c>
      <c r="L35">
        <v>141.375</v>
      </c>
      <c r="M35">
        <v>893</v>
      </c>
      <c r="N35">
        <v>2</v>
      </c>
      <c r="O35">
        <v>1131</v>
      </c>
      <c r="P35" s="1">
        <v>0.74801600000000001</v>
      </c>
    </row>
    <row r="36" spans="1:16" x14ac:dyDescent="0.25">
      <c r="A36" t="s">
        <v>16</v>
      </c>
      <c r="B36" s="19">
        <v>894383659</v>
      </c>
      <c r="C36">
        <v>1452</v>
      </c>
      <c r="D36">
        <v>1048</v>
      </c>
      <c r="E36" s="1">
        <v>0.58079999999999998</v>
      </c>
      <c r="F36" s="1">
        <v>0.41920000000000002</v>
      </c>
      <c r="G36">
        <v>67</v>
      </c>
      <c r="H36">
        <v>11</v>
      </c>
      <c r="I36">
        <v>1426</v>
      </c>
      <c r="J36" s="20">
        <v>0.98209400000000002</v>
      </c>
      <c r="K36">
        <v>11</v>
      </c>
      <c r="L36">
        <v>94.818181999999993</v>
      </c>
      <c r="M36">
        <v>972</v>
      </c>
      <c r="N36">
        <v>1</v>
      </c>
      <c r="O36">
        <v>1043</v>
      </c>
      <c r="P36" s="1">
        <v>0.71831999999999996</v>
      </c>
    </row>
    <row r="37" spans="1:16" x14ac:dyDescent="0.25">
      <c r="A37" t="s">
        <v>16</v>
      </c>
      <c r="B37" s="19">
        <v>103553577</v>
      </c>
      <c r="C37">
        <v>1553</v>
      </c>
      <c r="D37">
        <v>947</v>
      </c>
      <c r="E37" s="1">
        <v>0.62119999999999997</v>
      </c>
      <c r="F37" s="1">
        <v>0.37880000000000003</v>
      </c>
      <c r="G37">
        <v>55</v>
      </c>
      <c r="H37">
        <v>12</v>
      </c>
      <c r="I37">
        <v>1529</v>
      </c>
      <c r="J37" s="20">
        <v>0.98454600000000003</v>
      </c>
      <c r="K37">
        <v>8</v>
      </c>
      <c r="L37">
        <v>145.625</v>
      </c>
      <c r="M37">
        <v>1094</v>
      </c>
      <c r="N37">
        <v>4</v>
      </c>
      <c r="O37">
        <v>1165</v>
      </c>
      <c r="P37" s="1">
        <v>0.75016099999999997</v>
      </c>
    </row>
    <row r="38" spans="1:16" x14ac:dyDescent="0.25">
      <c r="A38" t="s">
        <v>16</v>
      </c>
      <c r="B38" s="19">
        <v>861460515</v>
      </c>
      <c r="C38">
        <v>1491</v>
      </c>
      <c r="D38">
        <v>1009</v>
      </c>
      <c r="E38" s="1">
        <v>0.59640000000000004</v>
      </c>
      <c r="F38" s="1">
        <v>0.40360000000000001</v>
      </c>
      <c r="G38">
        <v>77</v>
      </c>
      <c r="H38">
        <v>15</v>
      </c>
      <c r="I38">
        <v>1457</v>
      </c>
      <c r="J38" s="20">
        <v>0.97719699999999998</v>
      </c>
      <c r="K38">
        <v>13</v>
      </c>
      <c r="L38">
        <v>83.230768999999995</v>
      </c>
      <c r="M38">
        <v>889</v>
      </c>
      <c r="N38">
        <v>1</v>
      </c>
      <c r="O38">
        <v>1082</v>
      </c>
      <c r="P38" s="1">
        <v>0.72568699999999997</v>
      </c>
    </row>
    <row r="39" spans="1:16" x14ac:dyDescent="0.25">
      <c r="A39" t="s">
        <v>16</v>
      </c>
      <c r="B39" s="19">
        <v>188482822</v>
      </c>
      <c r="C39">
        <v>1513</v>
      </c>
      <c r="D39">
        <v>987</v>
      </c>
      <c r="E39" s="1">
        <v>0.60519999999999996</v>
      </c>
      <c r="F39" s="1">
        <v>0.39479999999999998</v>
      </c>
      <c r="G39">
        <v>62</v>
      </c>
      <c r="H39">
        <v>13</v>
      </c>
      <c r="I39">
        <v>1463</v>
      </c>
      <c r="J39" s="20">
        <v>0.96695299999999995</v>
      </c>
      <c r="K39">
        <v>14</v>
      </c>
      <c r="L39">
        <v>76.857142999999994</v>
      </c>
      <c r="M39">
        <v>800</v>
      </c>
      <c r="N39">
        <v>1</v>
      </c>
      <c r="O39">
        <v>1076</v>
      </c>
      <c r="P39" s="1">
        <v>0.71116999999999997</v>
      </c>
    </row>
    <row r="40" spans="1:16" x14ac:dyDescent="0.25">
      <c r="A40" t="s">
        <v>16</v>
      </c>
      <c r="B40" s="19">
        <v>1978196607</v>
      </c>
      <c r="C40">
        <v>1598</v>
      </c>
      <c r="D40">
        <v>902</v>
      </c>
      <c r="E40" s="1">
        <v>0.63919999999999999</v>
      </c>
      <c r="F40" s="1">
        <v>0.36080000000000001</v>
      </c>
      <c r="G40">
        <v>69</v>
      </c>
      <c r="H40">
        <v>7</v>
      </c>
      <c r="I40">
        <v>1590</v>
      </c>
      <c r="J40" s="20">
        <v>0.99499400000000005</v>
      </c>
      <c r="K40">
        <v>5</v>
      </c>
      <c r="L40">
        <v>249.4</v>
      </c>
      <c r="M40">
        <v>1180</v>
      </c>
      <c r="N40">
        <v>1</v>
      </c>
      <c r="O40">
        <v>1247</v>
      </c>
      <c r="P40" s="1">
        <v>0.78034999999999999</v>
      </c>
    </row>
    <row r="41" spans="1:16" x14ac:dyDescent="0.25">
      <c r="A41" t="s">
        <v>16</v>
      </c>
      <c r="B41" s="19">
        <v>1445623903</v>
      </c>
      <c r="C41">
        <v>1603</v>
      </c>
      <c r="D41">
        <v>897</v>
      </c>
      <c r="E41" s="1">
        <v>0.64119999999999999</v>
      </c>
      <c r="F41" s="1">
        <v>0.35880000000000001</v>
      </c>
      <c r="G41">
        <v>67</v>
      </c>
      <c r="H41">
        <v>10</v>
      </c>
      <c r="I41">
        <v>1516</v>
      </c>
      <c r="J41" s="20">
        <v>0.94572699999999998</v>
      </c>
      <c r="K41">
        <v>9</v>
      </c>
      <c r="L41">
        <v>136.66666699999999</v>
      </c>
      <c r="M41">
        <v>1109</v>
      </c>
      <c r="N41">
        <v>1</v>
      </c>
      <c r="O41">
        <v>1230</v>
      </c>
      <c r="P41" s="1">
        <v>0.76731099999999997</v>
      </c>
    </row>
    <row r="42" spans="1:16" x14ac:dyDescent="0.25">
      <c r="A42" t="s">
        <v>16</v>
      </c>
      <c r="B42" s="19">
        <v>1627737822</v>
      </c>
      <c r="C42">
        <v>1449</v>
      </c>
      <c r="D42">
        <v>1051</v>
      </c>
      <c r="E42" s="1">
        <v>0.5796</v>
      </c>
      <c r="F42" s="1">
        <v>0.4204</v>
      </c>
      <c r="G42">
        <v>110</v>
      </c>
      <c r="H42">
        <v>15</v>
      </c>
      <c r="I42">
        <v>1425</v>
      </c>
      <c r="J42" s="20">
        <v>0.98343700000000001</v>
      </c>
      <c r="K42">
        <v>12</v>
      </c>
      <c r="L42">
        <v>85.166667000000004</v>
      </c>
      <c r="M42">
        <v>658</v>
      </c>
      <c r="N42">
        <v>2</v>
      </c>
      <c r="O42">
        <v>1022</v>
      </c>
      <c r="P42" s="1">
        <v>0.705314</v>
      </c>
    </row>
    <row r="43" spans="1:16" x14ac:dyDescent="0.25">
      <c r="A43" t="s">
        <v>16</v>
      </c>
      <c r="B43" s="19">
        <v>2043903679</v>
      </c>
      <c r="C43">
        <v>1565</v>
      </c>
      <c r="D43">
        <v>935</v>
      </c>
      <c r="E43" s="1">
        <v>0.626</v>
      </c>
      <c r="F43" s="1">
        <v>0.374</v>
      </c>
      <c r="G43">
        <v>62</v>
      </c>
      <c r="H43">
        <v>15</v>
      </c>
      <c r="I43">
        <v>1478</v>
      </c>
      <c r="J43" s="20">
        <v>0.94440900000000005</v>
      </c>
      <c r="K43">
        <v>7</v>
      </c>
      <c r="L43">
        <v>167.28571400000001</v>
      </c>
      <c r="M43">
        <v>1093</v>
      </c>
      <c r="N43">
        <v>2</v>
      </c>
      <c r="O43">
        <v>1171</v>
      </c>
      <c r="P43" s="1">
        <v>0.74824299999999999</v>
      </c>
    </row>
    <row r="44" spans="1:16" x14ac:dyDescent="0.25">
      <c r="A44" t="s">
        <v>16</v>
      </c>
      <c r="B44" s="19">
        <v>923981188</v>
      </c>
      <c r="C44">
        <v>1525</v>
      </c>
      <c r="D44">
        <v>975</v>
      </c>
      <c r="E44" s="1">
        <v>0.61</v>
      </c>
      <c r="F44" s="1">
        <v>0.39</v>
      </c>
      <c r="G44">
        <v>64</v>
      </c>
      <c r="H44">
        <v>8</v>
      </c>
      <c r="I44">
        <v>1511</v>
      </c>
      <c r="J44" s="20">
        <v>0.99082000000000003</v>
      </c>
      <c r="K44">
        <v>12</v>
      </c>
      <c r="L44">
        <v>93.75</v>
      </c>
      <c r="M44">
        <v>989</v>
      </c>
      <c r="N44">
        <v>1</v>
      </c>
      <c r="O44">
        <v>1125</v>
      </c>
      <c r="P44" s="1">
        <v>0.73770500000000006</v>
      </c>
    </row>
    <row r="45" spans="1:16" x14ac:dyDescent="0.25">
      <c r="A45" t="s">
        <v>16</v>
      </c>
      <c r="B45" s="19">
        <v>1186369415</v>
      </c>
      <c r="C45">
        <v>1520</v>
      </c>
      <c r="D45">
        <v>980</v>
      </c>
      <c r="E45" s="1">
        <v>0.60799999999999998</v>
      </c>
      <c r="F45" s="1">
        <v>0.39200000000000002</v>
      </c>
      <c r="G45">
        <v>91</v>
      </c>
      <c r="H45">
        <v>13</v>
      </c>
      <c r="I45">
        <v>1388</v>
      </c>
      <c r="J45" s="20">
        <v>0.91315800000000003</v>
      </c>
      <c r="K45">
        <v>13</v>
      </c>
      <c r="L45">
        <v>85.846153999999999</v>
      </c>
      <c r="M45">
        <v>695</v>
      </c>
      <c r="N45">
        <v>1</v>
      </c>
      <c r="O45">
        <v>1116</v>
      </c>
      <c r="P45" s="1">
        <v>0.73421099999999995</v>
      </c>
    </row>
    <row r="46" spans="1:16" x14ac:dyDescent="0.25">
      <c r="A46" t="s">
        <v>16</v>
      </c>
      <c r="B46" s="19">
        <v>1659178000</v>
      </c>
      <c r="C46">
        <v>1414</v>
      </c>
      <c r="D46">
        <v>1086</v>
      </c>
      <c r="E46" s="1">
        <v>0.56559999999999999</v>
      </c>
      <c r="F46" s="1">
        <v>0.43440000000000001</v>
      </c>
      <c r="G46">
        <v>78</v>
      </c>
      <c r="H46">
        <v>16</v>
      </c>
      <c r="I46">
        <v>1391</v>
      </c>
      <c r="J46" s="20">
        <v>0.983734</v>
      </c>
      <c r="K46">
        <v>14</v>
      </c>
      <c r="L46">
        <v>67.642857000000006</v>
      </c>
      <c r="M46">
        <v>392</v>
      </c>
      <c r="N46">
        <v>1</v>
      </c>
      <c r="O46">
        <v>947</v>
      </c>
      <c r="P46" s="1">
        <v>0.66973099999999997</v>
      </c>
    </row>
    <row r="47" spans="1:16" x14ac:dyDescent="0.25">
      <c r="A47" t="s">
        <v>16</v>
      </c>
      <c r="B47" s="19">
        <v>866674103</v>
      </c>
      <c r="C47">
        <v>1583</v>
      </c>
      <c r="D47">
        <v>917</v>
      </c>
      <c r="E47" s="1">
        <v>0.63319999999999999</v>
      </c>
      <c r="F47" s="1">
        <v>0.36680000000000001</v>
      </c>
      <c r="G47">
        <v>63</v>
      </c>
      <c r="H47">
        <v>7</v>
      </c>
      <c r="I47">
        <v>1576</v>
      </c>
      <c r="J47" s="20">
        <v>0.99557799999999996</v>
      </c>
      <c r="K47">
        <v>4</v>
      </c>
      <c r="L47">
        <v>300.75</v>
      </c>
      <c r="M47">
        <v>1169</v>
      </c>
      <c r="N47">
        <v>1</v>
      </c>
      <c r="O47">
        <v>1203</v>
      </c>
      <c r="P47" s="1">
        <v>0.75994899999999999</v>
      </c>
    </row>
    <row r="48" spans="1:16" x14ac:dyDescent="0.25">
      <c r="A48" t="s">
        <v>16</v>
      </c>
      <c r="B48" s="19">
        <v>199796941</v>
      </c>
      <c r="C48">
        <v>1537</v>
      </c>
      <c r="D48">
        <v>963</v>
      </c>
      <c r="E48" s="1">
        <v>0.61480000000000001</v>
      </c>
      <c r="F48" s="1">
        <v>0.38519999999999999</v>
      </c>
      <c r="G48">
        <v>80</v>
      </c>
      <c r="H48">
        <v>16</v>
      </c>
      <c r="I48">
        <v>1495</v>
      </c>
      <c r="J48" s="20">
        <v>0.97267400000000004</v>
      </c>
      <c r="K48">
        <v>11</v>
      </c>
      <c r="L48">
        <v>100.727273</v>
      </c>
      <c r="M48">
        <v>715</v>
      </c>
      <c r="N48">
        <v>1</v>
      </c>
      <c r="O48">
        <v>1108</v>
      </c>
      <c r="P48" s="1">
        <v>0.720885</v>
      </c>
    </row>
    <row r="49" spans="1:16" x14ac:dyDescent="0.25">
      <c r="A49" t="s">
        <v>16</v>
      </c>
      <c r="B49" s="19">
        <v>8337376</v>
      </c>
      <c r="C49">
        <v>1507</v>
      </c>
      <c r="D49">
        <v>993</v>
      </c>
      <c r="E49" s="1">
        <v>0.6028</v>
      </c>
      <c r="F49" s="1">
        <v>0.3972</v>
      </c>
      <c r="G49">
        <v>71</v>
      </c>
      <c r="H49">
        <v>5</v>
      </c>
      <c r="I49">
        <v>1494</v>
      </c>
      <c r="J49" s="20">
        <v>0.99137399999999998</v>
      </c>
      <c r="K49">
        <v>5</v>
      </c>
      <c r="L49">
        <v>227</v>
      </c>
      <c r="M49">
        <v>826</v>
      </c>
      <c r="N49">
        <v>5</v>
      </c>
      <c r="O49">
        <v>1135</v>
      </c>
      <c r="P49" s="1">
        <v>0.75315200000000004</v>
      </c>
    </row>
    <row r="50" spans="1:16" x14ac:dyDescent="0.25">
      <c r="A50" t="s">
        <v>16</v>
      </c>
      <c r="B50" s="19">
        <v>1247242568</v>
      </c>
      <c r="C50">
        <v>1521</v>
      </c>
      <c r="D50">
        <v>979</v>
      </c>
      <c r="E50" s="1">
        <v>0.60840000000000005</v>
      </c>
      <c r="F50" s="1">
        <v>0.3916</v>
      </c>
      <c r="G50">
        <v>59</v>
      </c>
      <c r="H50">
        <v>9</v>
      </c>
      <c r="I50">
        <v>1492</v>
      </c>
      <c r="J50" s="20">
        <v>0.98093399999999997</v>
      </c>
      <c r="K50">
        <v>11</v>
      </c>
      <c r="L50">
        <v>99.818181999999993</v>
      </c>
      <c r="M50">
        <v>952</v>
      </c>
      <c r="N50">
        <v>1</v>
      </c>
      <c r="O50">
        <v>1098</v>
      </c>
      <c r="P50" s="1">
        <v>0.72189300000000001</v>
      </c>
    </row>
    <row r="51" spans="1:16" x14ac:dyDescent="0.25">
      <c r="A51" t="s">
        <v>16</v>
      </c>
      <c r="B51" s="19">
        <v>612380058</v>
      </c>
      <c r="C51">
        <v>1593</v>
      </c>
      <c r="D51">
        <v>907</v>
      </c>
      <c r="E51" s="1">
        <v>0.63719999999999999</v>
      </c>
      <c r="F51" s="1">
        <v>0.36280000000000001</v>
      </c>
      <c r="G51">
        <v>66</v>
      </c>
      <c r="H51">
        <v>10</v>
      </c>
      <c r="I51">
        <v>1583</v>
      </c>
      <c r="J51" s="20">
        <v>0.99372300000000002</v>
      </c>
      <c r="K51">
        <v>7</v>
      </c>
      <c r="L51">
        <v>180.28571400000001</v>
      </c>
      <c r="M51">
        <v>1114</v>
      </c>
      <c r="N51">
        <v>3</v>
      </c>
      <c r="O51">
        <v>1262</v>
      </c>
      <c r="P51" s="1">
        <v>0.79221600000000003</v>
      </c>
    </row>
    <row r="52" spans="1:16" x14ac:dyDescent="0.25">
      <c r="A52" t="s">
        <v>26</v>
      </c>
      <c r="B52"/>
      <c r="C52">
        <f>SUBTOTAL(101,CA8_wall50_it1_neigh5[floors])</f>
        <v>1527.28</v>
      </c>
      <c r="D52">
        <f>SUBTOTAL(101,CA8_wall50_it1_neigh5[walls])</f>
        <v>972.72</v>
      </c>
      <c r="E52" s="2">
        <f>SUBTOTAL(101,CA8_wall50_it1_neigh5[floor_percent])</f>
        <v>0.6109119999999999</v>
      </c>
      <c r="F52" s="2">
        <f>SUBTOTAL(101,CA8_wall50_it1_neigh5[wall_percent])</f>
        <v>0.38908800000000016</v>
      </c>
      <c r="G52">
        <f>SUBTOTAL(101,CA8_wall50_it1_neigh5[longest_shortest_path])</f>
        <v>68.42</v>
      </c>
      <c r="H52">
        <f>SUBTOTAL(101,CA8_wall50_it1_neigh5[component_count])</f>
        <v>11.18</v>
      </c>
      <c r="I52">
        <f>SUBTOTAL(101,CA8_wall50_it1_neigh5[max_component_size])</f>
        <v>1485.24</v>
      </c>
      <c r="J52">
        <f>SUBTOTAL(101,CA8_wall50_it1_neigh5[connectivity_ratio])</f>
        <v>0.97206613999999991</v>
      </c>
      <c r="K52">
        <f>SUBTOTAL(101,CA8_wall50_it1_neigh5[room_count])</f>
        <v>10.039999999999999</v>
      </c>
      <c r="L52">
        <f>SUBTOTAL(101,CA8_wall50_it1_neigh5[avg_room_size])</f>
        <v>131.33030248</v>
      </c>
      <c r="M52">
        <f>SUBTOTAL(101,CA8_wall50_it1_neigh5[max_room_size])</f>
        <v>857</v>
      </c>
      <c r="N52">
        <f>SUBTOTAL(101,CA8_wall50_it1_neigh5[min_room_size])</f>
        <v>2.48</v>
      </c>
      <c r="O52">
        <f>SUBTOTAL(101,CA8_wall50_it1_neigh5[room_tiles])</f>
        <v>1126.02</v>
      </c>
      <c r="P52" s="2">
        <f>SUBTOTAL(101,CA8_wall50_it1_neigh5[room_ratio])</f>
        <v>0.73647649999999998</v>
      </c>
    </row>
    <row r="53" spans="1:16" x14ac:dyDescent="0.25">
      <c r="A53" s="22" t="s">
        <v>40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3A43-5902-4C9B-94BE-74C8E819F8D8}">
  <dimension ref="A1:P53"/>
  <sheetViews>
    <sheetView topLeftCell="A25" workbookViewId="0">
      <selection activeCell="F55" sqref="F55"/>
    </sheetView>
  </sheetViews>
  <sheetFormatPr defaultRowHeight="15" x14ac:dyDescent="0.25"/>
  <cols>
    <col min="1" max="1" width="20.140625" bestFit="1" customWidth="1"/>
    <col min="2" max="2" width="11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287288496</v>
      </c>
      <c r="C2">
        <v>273</v>
      </c>
      <c r="D2">
        <v>2227</v>
      </c>
      <c r="E2" s="1">
        <v>0.10920000000000001</v>
      </c>
      <c r="F2" s="1">
        <v>0.89080000000000004</v>
      </c>
      <c r="G2">
        <v>9</v>
      </c>
      <c r="H2">
        <v>16</v>
      </c>
      <c r="I2">
        <v>47</v>
      </c>
      <c r="J2" s="20">
        <v>0.17216100000000001</v>
      </c>
      <c r="K2">
        <v>14</v>
      </c>
      <c r="L2">
        <v>12.928571</v>
      </c>
      <c r="M2">
        <v>37</v>
      </c>
      <c r="N2">
        <v>1</v>
      </c>
      <c r="O2">
        <v>181</v>
      </c>
      <c r="P2" s="1">
        <v>0.66300400000000004</v>
      </c>
    </row>
    <row r="3" spans="1:16" x14ac:dyDescent="0.25">
      <c r="A3" t="s">
        <v>16</v>
      </c>
      <c r="B3" s="19">
        <v>716238622</v>
      </c>
      <c r="C3">
        <v>159</v>
      </c>
      <c r="D3">
        <v>2341</v>
      </c>
      <c r="E3" s="1">
        <v>6.3600000000000004E-2</v>
      </c>
      <c r="F3" s="1">
        <v>0.93640000000000001</v>
      </c>
      <c r="G3">
        <v>9</v>
      </c>
      <c r="H3">
        <v>7</v>
      </c>
      <c r="I3">
        <v>42</v>
      </c>
      <c r="J3" s="20">
        <v>0.26415100000000002</v>
      </c>
      <c r="K3">
        <v>6</v>
      </c>
      <c r="L3">
        <v>17.833333</v>
      </c>
      <c r="M3">
        <v>32</v>
      </c>
      <c r="N3">
        <v>8</v>
      </c>
      <c r="O3">
        <v>107</v>
      </c>
      <c r="P3" s="1">
        <v>0.672956</v>
      </c>
    </row>
    <row r="4" spans="1:16" x14ac:dyDescent="0.25">
      <c r="A4" t="s">
        <v>16</v>
      </c>
      <c r="B4" s="19">
        <v>1262679124</v>
      </c>
      <c r="C4">
        <v>259</v>
      </c>
      <c r="D4">
        <v>2241</v>
      </c>
      <c r="E4" s="1">
        <v>0.1036</v>
      </c>
      <c r="F4" s="1">
        <v>0.89639999999999997</v>
      </c>
      <c r="G4">
        <v>27</v>
      </c>
      <c r="H4">
        <v>6</v>
      </c>
      <c r="I4">
        <v>148</v>
      </c>
      <c r="J4" s="20">
        <v>0.57142899999999996</v>
      </c>
      <c r="K4">
        <v>7</v>
      </c>
      <c r="L4">
        <v>27.857143000000001</v>
      </c>
      <c r="M4">
        <v>64</v>
      </c>
      <c r="N4">
        <v>1</v>
      </c>
      <c r="O4">
        <v>195</v>
      </c>
      <c r="P4" s="1">
        <v>0.75289600000000001</v>
      </c>
    </row>
    <row r="5" spans="1:16" x14ac:dyDescent="0.25">
      <c r="A5" t="s">
        <v>16</v>
      </c>
      <c r="B5" s="19">
        <v>1721283270</v>
      </c>
      <c r="C5">
        <v>377</v>
      </c>
      <c r="D5">
        <v>2123</v>
      </c>
      <c r="E5" s="1">
        <v>0.15079999999999999</v>
      </c>
      <c r="F5" s="1">
        <v>0.84919999999999995</v>
      </c>
      <c r="G5">
        <v>11</v>
      </c>
      <c r="H5">
        <v>15</v>
      </c>
      <c r="I5">
        <v>84</v>
      </c>
      <c r="J5" s="20">
        <v>0.22281200000000001</v>
      </c>
      <c r="K5">
        <v>14</v>
      </c>
      <c r="L5">
        <v>18.928571000000002</v>
      </c>
      <c r="M5">
        <v>68</v>
      </c>
      <c r="N5">
        <v>1</v>
      </c>
      <c r="O5">
        <v>265</v>
      </c>
      <c r="P5" s="1">
        <v>0.70291800000000004</v>
      </c>
    </row>
    <row r="6" spans="1:16" x14ac:dyDescent="0.25">
      <c r="A6" t="s">
        <v>16</v>
      </c>
      <c r="B6" s="19">
        <v>335522199</v>
      </c>
      <c r="C6">
        <v>301</v>
      </c>
      <c r="D6">
        <v>2199</v>
      </c>
      <c r="E6" s="1">
        <v>0.12039999999999999</v>
      </c>
      <c r="F6" s="1">
        <v>0.87960000000000005</v>
      </c>
      <c r="G6">
        <v>12</v>
      </c>
      <c r="H6">
        <v>11</v>
      </c>
      <c r="I6">
        <v>62</v>
      </c>
      <c r="J6" s="20">
        <v>0.20598</v>
      </c>
      <c r="K6">
        <v>11</v>
      </c>
      <c r="L6">
        <v>20.090909</v>
      </c>
      <c r="M6">
        <v>52</v>
      </c>
      <c r="N6">
        <v>1</v>
      </c>
      <c r="O6">
        <v>221</v>
      </c>
      <c r="P6" s="1">
        <v>0.73421899999999996</v>
      </c>
    </row>
    <row r="7" spans="1:16" x14ac:dyDescent="0.25">
      <c r="A7" t="s">
        <v>16</v>
      </c>
      <c r="B7" s="19">
        <v>897166135</v>
      </c>
      <c r="C7">
        <v>220</v>
      </c>
      <c r="D7">
        <v>2280</v>
      </c>
      <c r="E7" s="1">
        <v>8.7999999999999995E-2</v>
      </c>
      <c r="F7" s="1">
        <v>0.91200000000000003</v>
      </c>
      <c r="G7">
        <v>9</v>
      </c>
      <c r="H7">
        <v>12</v>
      </c>
      <c r="I7">
        <v>56</v>
      </c>
      <c r="J7" s="20">
        <v>0.25454500000000002</v>
      </c>
      <c r="K7">
        <v>12</v>
      </c>
      <c r="L7">
        <v>12</v>
      </c>
      <c r="M7">
        <v>45</v>
      </c>
      <c r="N7">
        <v>4</v>
      </c>
      <c r="O7">
        <v>144</v>
      </c>
      <c r="P7" s="1">
        <v>0.65454500000000004</v>
      </c>
    </row>
    <row r="8" spans="1:16" x14ac:dyDescent="0.25">
      <c r="A8" t="s">
        <v>16</v>
      </c>
      <c r="B8" s="19">
        <v>623050237</v>
      </c>
      <c r="C8">
        <v>191</v>
      </c>
      <c r="D8">
        <v>2309</v>
      </c>
      <c r="E8" s="1">
        <v>7.6399999999999996E-2</v>
      </c>
      <c r="F8" s="1">
        <v>0.92359999999999998</v>
      </c>
      <c r="G8">
        <v>10</v>
      </c>
      <c r="H8">
        <v>6</v>
      </c>
      <c r="I8">
        <v>74</v>
      </c>
      <c r="J8" s="20">
        <v>0.38743499999999997</v>
      </c>
      <c r="K8">
        <v>5</v>
      </c>
      <c r="L8">
        <v>29</v>
      </c>
      <c r="M8">
        <v>62</v>
      </c>
      <c r="N8">
        <v>7</v>
      </c>
      <c r="O8">
        <v>145</v>
      </c>
      <c r="P8" s="1">
        <v>0.759162</v>
      </c>
    </row>
    <row r="9" spans="1:16" x14ac:dyDescent="0.25">
      <c r="A9" t="s">
        <v>16</v>
      </c>
      <c r="B9" s="19">
        <v>149565173</v>
      </c>
      <c r="C9">
        <v>312</v>
      </c>
      <c r="D9">
        <v>2188</v>
      </c>
      <c r="E9" s="1">
        <v>0.12479999999999999</v>
      </c>
      <c r="F9" s="1">
        <v>0.87519999999999998</v>
      </c>
      <c r="G9">
        <v>17</v>
      </c>
      <c r="H9">
        <v>10</v>
      </c>
      <c r="I9">
        <v>122</v>
      </c>
      <c r="J9" s="20">
        <v>0.39102599999999998</v>
      </c>
      <c r="K9">
        <v>9</v>
      </c>
      <c r="L9">
        <v>26.555555999999999</v>
      </c>
      <c r="M9">
        <v>107</v>
      </c>
      <c r="N9">
        <v>4</v>
      </c>
      <c r="O9">
        <v>239</v>
      </c>
      <c r="P9" s="1">
        <v>0.76602599999999998</v>
      </c>
    </row>
    <row r="10" spans="1:16" x14ac:dyDescent="0.25">
      <c r="A10" t="s">
        <v>16</v>
      </c>
      <c r="B10" s="19">
        <v>1493416806</v>
      </c>
      <c r="C10">
        <v>289</v>
      </c>
      <c r="D10">
        <v>2211</v>
      </c>
      <c r="E10" s="1">
        <v>0.11559999999999999</v>
      </c>
      <c r="F10" s="1">
        <v>0.88439999999999996</v>
      </c>
      <c r="G10">
        <v>18</v>
      </c>
      <c r="H10">
        <v>11</v>
      </c>
      <c r="I10">
        <v>116</v>
      </c>
      <c r="J10" s="20">
        <v>0.40138400000000002</v>
      </c>
      <c r="K10">
        <v>9</v>
      </c>
      <c r="L10">
        <v>23.777778000000001</v>
      </c>
      <c r="M10">
        <v>97</v>
      </c>
      <c r="N10">
        <v>4</v>
      </c>
      <c r="O10">
        <v>214</v>
      </c>
      <c r="P10" s="1">
        <v>0.74048400000000003</v>
      </c>
    </row>
    <row r="11" spans="1:16" x14ac:dyDescent="0.25">
      <c r="A11" t="s">
        <v>16</v>
      </c>
      <c r="B11" s="19">
        <v>1672163517</v>
      </c>
      <c r="C11">
        <v>341</v>
      </c>
      <c r="D11">
        <v>2159</v>
      </c>
      <c r="E11" s="1">
        <v>0.13639999999999999</v>
      </c>
      <c r="F11" s="1">
        <v>0.86360000000000003</v>
      </c>
      <c r="G11">
        <v>12</v>
      </c>
      <c r="H11">
        <v>11</v>
      </c>
      <c r="I11">
        <v>68</v>
      </c>
      <c r="J11" s="20">
        <v>0.19941300000000001</v>
      </c>
      <c r="K11">
        <v>11</v>
      </c>
      <c r="L11">
        <v>22.363636</v>
      </c>
      <c r="M11">
        <v>57</v>
      </c>
      <c r="N11">
        <v>1</v>
      </c>
      <c r="O11">
        <v>246</v>
      </c>
      <c r="P11" s="1">
        <v>0.72140800000000005</v>
      </c>
    </row>
    <row r="12" spans="1:16" x14ac:dyDescent="0.25">
      <c r="A12" t="s">
        <v>16</v>
      </c>
      <c r="B12" s="19">
        <v>1504485455</v>
      </c>
      <c r="C12">
        <v>267</v>
      </c>
      <c r="D12">
        <v>2233</v>
      </c>
      <c r="E12" s="1">
        <v>0.10680000000000001</v>
      </c>
      <c r="F12" s="1">
        <v>0.89319999999999999</v>
      </c>
      <c r="G12">
        <v>10</v>
      </c>
      <c r="H12">
        <v>10</v>
      </c>
      <c r="I12">
        <v>66</v>
      </c>
      <c r="J12" s="20">
        <v>0.24719099999999999</v>
      </c>
      <c r="K12">
        <v>9</v>
      </c>
      <c r="L12">
        <v>21.444444000000001</v>
      </c>
      <c r="M12">
        <v>54</v>
      </c>
      <c r="N12">
        <v>2</v>
      </c>
      <c r="O12">
        <v>193</v>
      </c>
      <c r="P12" s="1">
        <v>0.72284599999999999</v>
      </c>
    </row>
    <row r="13" spans="1:16" x14ac:dyDescent="0.25">
      <c r="A13" t="s">
        <v>16</v>
      </c>
      <c r="B13" s="19">
        <v>858412385</v>
      </c>
      <c r="C13">
        <v>281</v>
      </c>
      <c r="D13">
        <v>2219</v>
      </c>
      <c r="E13" s="1">
        <v>0.1124</v>
      </c>
      <c r="F13" s="1">
        <v>0.88759999999999994</v>
      </c>
      <c r="G13">
        <v>17</v>
      </c>
      <c r="H13">
        <v>9</v>
      </c>
      <c r="I13">
        <v>90</v>
      </c>
      <c r="J13" s="20">
        <v>0.32028499999999999</v>
      </c>
      <c r="K13">
        <v>9</v>
      </c>
      <c r="L13">
        <v>22.555555999999999</v>
      </c>
      <c r="M13">
        <v>74</v>
      </c>
      <c r="N13">
        <v>4</v>
      </c>
      <c r="O13">
        <v>203</v>
      </c>
      <c r="P13" s="1">
        <v>0.72241999999999995</v>
      </c>
    </row>
    <row r="14" spans="1:16" x14ac:dyDescent="0.25">
      <c r="A14" t="s">
        <v>16</v>
      </c>
      <c r="B14" s="19">
        <v>14684737</v>
      </c>
      <c r="C14">
        <v>287</v>
      </c>
      <c r="D14">
        <v>2213</v>
      </c>
      <c r="E14" s="1">
        <v>0.1148</v>
      </c>
      <c r="F14" s="1">
        <v>0.88519999999999999</v>
      </c>
      <c r="G14">
        <v>10</v>
      </c>
      <c r="H14">
        <v>10</v>
      </c>
      <c r="I14">
        <v>82</v>
      </c>
      <c r="J14" s="20">
        <v>0.28571400000000002</v>
      </c>
      <c r="K14">
        <v>10</v>
      </c>
      <c r="L14">
        <v>20.8</v>
      </c>
      <c r="M14">
        <v>70</v>
      </c>
      <c r="N14">
        <v>1</v>
      </c>
      <c r="O14">
        <v>208</v>
      </c>
      <c r="P14" s="1">
        <v>0.72473900000000002</v>
      </c>
    </row>
    <row r="15" spans="1:16" x14ac:dyDescent="0.25">
      <c r="A15" t="s">
        <v>16</v>
      </c>
      <c r="B15" s="19">
        <v>41432324</v>
      </c>
      <c r="C15">
        <v>308</v>
      </c>
      <c r="D15">
        <v>2192</v>
      </c>
      <c r="E15" s="1">
        <v>0.1232</v>
      </c>
      <c r="F15" s="1">
        <v>0.87680000000000002</v>
      </c>
      <c r="G15">
        <v>14</v>
      </c>
      <c r="H15">
        <v>11</v>
      </c>
      <c r="I15">
        <v>93</v>
      </c>
      <c r="J15" s="20">
        <v>0.30194799999999999</v>
      </c>
      <c r="K15">
        <v>10</v>
      </c>
      <c r="L15">
        <v>22.4</v>
      </c>
      <c r="M15">
        <v>79</v>
      </c>
      <c r="N15">
        <v>2</v>
      </c>
      <c r="O15">
        <v>224</v>
      </c>
      <c r="P15" s="1">
        <v>0.72727299999999995</v>
      </c>
    </row>
    <row r="16" spans="1:16" x14ac:dyDescent="0.25">
      <c r="A16" t="s">
        <v>16</v>
      </c>
      <c r="B16" s="19">
        <v>452062132</v>
      </c>
      <c r="C16">
        <v>192</v>
      </c>
      <c r="D16">
        <v>2308</v>
      </c>
      <c r="E16" s="1">
        <v>7.6799999999999993E-2</v>
      </c>
      <c r="F16" s="1">
        <v>0.92320000000000002</v>
      </c>
      <c r="G16">
        <v>10</v>
      </c>
      <c r="H16">
        <v>10</v>
      </c>
      <c r="I16">
        <v>49</v>
      </c>
      <c r="J16" s="20">
        <v>0.25520799999999999</v>
      </c>
      <c r="K16">
        <v>7</v>
      </c>
      <c r="L16">
        <v>18.571428999999998</v>
      </c>
      <c r="M16">
        <v>40</v>
      </c>
      <c r="N16">
        <v>4</v>
      </c>
      <c r="O16">
        <v>130</v>
      </c>
      <c r="P16" s="1">
        <v>0.67708299999999999</v>
      </c>
    </row>
    <row r="17" spans="1:16" x14ac:dyDescent="0.25">
      <c r="A17" t="s">
        <v>16</v>
      </c>
      <c r="B17" s="19">
        <v>1588893290</v>
      </c>
      <c r="C17">
        <v>262</v>
      </c>
      <c r="D17">
        <v>2238</v>
      </c>
      <c r="E17" s="1">
        <v>0.1048</v>
      </c>
      <c r="F17" s="1">
        <v>0.8952</v>
      </c>
      <c r="G17">
        <v>15</v>
      </c>
      <c r="H17">
        <v>8</v>
      </c>
      <c r="I17">
        <v>91</v>
      </c>
      <c r="J17" s="20">
        <v>0.34732800000000003</v>
      </c>
      <c r="K17">
        <v>6</v>
      </c>
      <c r="L17">
        <v>33.333333000000003</v>
      </c>
      <c r="M17">
        <v>75</v>
      </c>
      <c r="N17">
        <v>6</v>
      </c>
      <c r="O17">
        <v>200</v>
      </c>
      <c r="P17" s="1">
        <v>0.76335900000000001</v>
      </c>
    </row>
    <row r="18" spans="1:16" x14ac:dyDescent="0.25">
      <c r="A18" t="s">
        <v>16</v>
      </c>
      <c r="B18" s="19">
        <v>1649761933</v>
      </c>
      <c r="C18">
        <v>364</v>
      </c>
      <c r="D18">
        <v>2136</v>
      </c>
      <c r="E18" s="1">
        <v>0.14560000000000001</v>
      </c>
      <c r="F18" s="1">
        <v>0.85440000000000005</v>
      </c>
      <c r="G18">
        <v>11</v>
      </c>
      <c r="H18">
        <v>13</v>
      </c>
      <c r="I18">
        <v>72</v>
      </c>
      <c r="J18" s="20">
        <v>0.19780200000000001</v>
      </c>
      <c r="K18">
        <v>11</v>
      </c>
      <c r="L18">
        <v>24.272727</v>
      </c>
      <c r="M18">
        <v>59</v>
      </c>
      <c r="N18">
        <v>7</v>
      </c>
      <c r="O18">
        <v>267</v>
      </c>
      <c r="P18" s="1">
        <v>0.73351599999999995</v>
      </c>
    </row>
    <row r="19" spans="1:16" x14ac:dyDescent="0.25">
      <c r="A19" t="s">
        <v>16</v>
      </c>
      <c r="B19" s="19">
        <v>1735459278</v>
      </c>
      <c r="C19">
        <v>274</v>
      </c>
      <c r="D19">
        <v>2226</v>
      </c>
      <c r="E19" s="1">
        <v>0.1096</v>
      </c>
      <c r="F19" s="1">
        <v>0.89039999999999997</v>
      </c>
      <c r="G19">
        <v>13</v>
      </c>
      <c r="H19">
        <v>11</v>
      </c>
      <c r="I19">
        <v>80</v>
      </c>
      <c r="J19" s="20">
        <v>0.29197099999999998</v>
      </c>
      <c r="K19">
        <v>9</v>
      </c>
      <c r="L19">
        <v>22.333333</v>
      </c>
      <c r="M19">
        <v>67</v>
      </c>
      <c r="N19">
        <v>4</v>
      </c>
      <c r="O19">
        <v>201</v>
      </c>
      <c r="P19" s="1">
        <v>0.73357700000000003</v>
      </c>
    </row>
    <row r="20" spans="1:16" x14ac:dyDescent="0.25">
      <c r="A20" t="s">
        <v>16</v>
      </c>
      <c r="B20" s="19">
        <v>1105170656</v>
      </c>
      <c r="C20">
        <v>259</v>
      </c>
      <c r="D20">
        <v>2241</v>
      </c>
      <c r="E20" s="1">
        <v>0.1036</v>
      </c>
      <c r="F20" s="1">
        <v>0.89639999999999997</v>
      </c>
      <c r="G20">
        <v>21</v>
      </c>
      <c r="H20">
        <v>14</v>
      </c>
      <c r="I20">
        <v>108</v>
      </c>
      <c r="J20" s="20">
        <v>0.41698800000000003</v>
      </c>
      <c r="K20">
        <v>13</v>
      </c>
      <c r="L20">
        <v>12.923076999999999</v>
      </c>
      <c r="M20">
        <v>91</v>
      </c>
      <c r="N20">
        <v>1</v>
      </c>
      <c r="O20">
        <v>168</v>
      </c>
      <c r="P20" s="1">
        <v>0.64864900000000003</v>
      </c>
    </row>
    <row r="21" spans="1:16" x14ac:dyDescent="0.25">
      <c r="A21" t="s">
        <v>16</v>
      </c>
      <c r="B21" s="19">
        <v>53738141</v>
      </c>
      <c r="C21">
        <v>185</v>
      </c>
      <c r="D21">
        <v>2315</v>
      </c>
      <c r="E21" s="1">
        <v>7.3999999999999996E-2</v>
      </c>
      <c r="F21" s="1">
        <v>0.92600000000000005</v>
      </c>
      <c r="G21">
        <v>10</v>
      </c>
      <c r="H21">
        <v>8</v>
      </c>
      <c r="I21">
        <v>61</v>
      </c>
      <c r="J21" s="20">
        <v>0.32973000000000002</v>
      </c>
      <c r="K21">
        <v>7</v>
      </c>
      <c r="L21">
        <v>18.857143000000001</v>
      </c>
      <c r="M21">
        <v>50</v>
      </c>
      <c r="N21">
        <v>4</v>
      </c>
      <c r="O21">
        <v>132</v>
      </c>
      <c r="P21" s="1">
        <v>0.71351399999999998</v>
      </c>
    </row>
    <row r="22" spans="1:16" x14ac:dyDescent="0.25">
      <c r="A22" t="s">
        <v>16</v>
      </c>
      <c r="B22" s="19">
        <v>2077045203</v>
      </c>
      <c r="C22">
        <v>294</v>
      </c>
      <c r="D22">
        <v>2206</v>
      </c>
      <c r="E22" s="1">
        <v>0.1176</v>
      </c>
      <c r="F22" s="1">
        <v>0.88239999999999996</v>
      </c>
      <c r="G22">
        <v>15</v>
      </c>
      <c r="H22">
        <v>8</v>
      </c>
      <c r="I22">
        <v>117</v>
      </c>
      <c r="J22" s="20">
        <v>0.39795900000000001</v>
      </c>
      <c r="K22">
        <v>8</v>
      </c>
      <c r="L22">
        <v>28.375</v>
      </c>
      <c r="M22">
        <v>100</v>
      </c>
      <c r="N22">
        <v>6</v>
      </c>
      <c r="O22">
        <v>227</v>
      </c>
      <c r="P22" s="1">
        <v>0.77210900000000005</v>
      </c>
    </row>
    <row r="23" spans="1:16" x14ac:dyDescent="0.25">
      <c r="A23" t="s">
        <v>16</v>
      </c>
      <c r="B23" s="19">
        <v>1881407147</v>
      </c>
      <c r="C23">
        <v>191</v>
      </c>
      <c r="D23">
        <v>2309</v>
      </c>
      <c r="E23" s="1">
        <v>7.6399999999999996E-2</v>
      </c>
      <c r="F23" s="1">
        <v>0.92359999999999998</v>
      </c>
      <c r="G23">
        <v>11</v>
      </c>
      <c r="H23">
        <v>12</v>
      </c>
      <c r="I23">
        <v>53</v>
      </c>
      <c r="J23" s="20">
        <v>0.27748699999999998</v>
      </c>
      <c r="K23">
        <v>9</v>
      </c>
      <c r="L23">
        <v>13.888889000000001</v>
      </c>
      <c r="M23">
        <v>42</v>
      </c>
      <c r="N23">
        <v>4</v>
      </c>
      <c r="O23">
        <v>125</v>
      </c>
      <c r="P23" s="1">
        <v>0.65444999999999998</v>
      </c>
    </row>
    <row r="24" spans="1:16" x14ac:dyDescent="0.25">
      <c r="A24" t="s">
        <v>16</v>
      </c>
      <c r="B24" s="19">
        <v>563717885</v>
      </c>
      <c r="C24">
        <v>346</v>
      </c>
      <c r="D24">
        <v>2154</v>
      </c>
      <c r="E24" s="1">
        <v>0.1384</v>
      </c>
      <c r="F24" s="1">
        <v>0.86160000000000003</v>
      </c>
      <c r="G24">
        <v>14</v>
      </c>
      <c r="H24">
        <v>8</v>
      </c>
      <c r="I24">
        <v>107</v>
      </c>
      <c r="J24" s="20">
        <v>0.309249</v>
      </c>
      <c r="K24">
        <v>9</v>
      </c>
      <c r="L24">
        <v>29.666667</v>
      </c>
      <c r="M24">
        <v>94</v>
      </c>
      <c r="N24">
        <v>1</v>
      </c>
      <c r="O24">
        <v>267</v>
      </c>
      <c r="P24" s="1">
        <v>0.77167600000000003</v>
      </c>
    </row>
    <row r="25" spans="1:16" x14ac:dyDescent="0.25">
      <c r="A25" t="s">
        <v>16</v>
      </c>
      <c r="B25" s="19">
        <v>342758997</v>
      </c>
      <c r="C25">
        <v>243</v>
      </c>
      <c r="D25">
        <v>2257</v>
      </c>
      <c r="E25" s="1">
        <v>9.7199999999999995E-2</v>
      </c>
      <c r="F25" s="1">
        <v>0.90280000000000005</v>
      </c>
      <c r="G25">
        <v>13</v>
      </c>
      <c r="H25">
        <v>13</v>
      </c>
      <c r="I25">
        <v>67</v>
      </c>
      <c r="J25" s="20">
        <v>0.27572000000000002</v>
      </c>
      <c r="K25">
        <v>11</v>
      </c>
      <c r="L25">
        <v>14.363636</v>
      </c>
      <c r="M25">
        <v>52</v>
      </c>
      <c r="N25">
        <v>4</v>
      </c>
      <c r="O25">
        <v>158</v>
      </c>
      <c r="P25" s="1">
        <v>0.65020599999999995</v>
      </c>
    </row>
    <row r="26" spans="1:16" x14ac:dyDescent="0.25">
      <c r="A26" t="s">
        <v>16</v>
      </c>
      <c r="B26" s="19">
        <v>1101382469</v>
      </c>
      <c r="C26">
        <v>264</v>
      </c>
      <c r="D26">
        <v>2236</v>
      </c>
      <c r="E26" s="1">
        <v>0.1056</v>
      </c>
      <c r="F26" s="1">
        <v>0.89439999999999997</v>
      </c>
      <c r="G26">
        <v>13</v>
      </c>
      <c r="H26">
        <v>13</v>
      </c>
      <c r="I26">
        <v>73</v>
      </c>
      <c r="J26" s="20">
        <v>0.27651500000000001</v>
      </c>
      <c r="K26">
        <v>10</v>
      </c>
      <c r="L26">
        <v>19.399999999999999</v>
      </c>
      <c r="M26">
        <v>64</v>
      </c>
      <c r="N26">
        <v>4</v>
      </c>
      <c r="O26">
        <v>194</v>
      </c>
      <c r="P26" s="1">
        <v>0.73484799999999995</v>
      </c>
    </row>
    <row r="27" spans="1:16" x14ac:dyDescent="0.25">
      <c r="A27" t="s">
        <v>16</v>
      </c>
      <c r="B27" s="19">
        <v>376847607</v>
      </c>
      <c r="C27">
        <v>184</v>
      </c>
      <c r="D27">
        <v>2316</v>
      </c>
      <c r="E27" s="1">
        <v>7.3599999999999999E-2</v>
      </c>
      <c r="F27" s="1">
        <v>0.9264</v>
      </c>
      <c r="G27">
        <v>8</v>
      </c>
      <c r="H27">
        <v>12</v>
      </c>
      <c r="I27">
        <v>35</v>
      </c>
      <c r="J27" s="20">
        <v>0.190217</v>
      </c>
      <c r="K27">
        <v>9</v>
      </c>
      <c r="L27">
        <v>11.777778</v>
      </c>
      <c r="M27">
        <v>26</v>
      </c>
      <c r="N27">
        <v>4</v>
      </c>
      <c r="O27">
        <v>106</v>
      </c>
      <c r="P27" s="1">
        <v>0.57608700000000002</v>
      </c>
    </row>
    <row r="28" spans="1:16" x14ac:dyDescent="0.25">
      <c r="A28" t="s">
        <v>16</v>
      </c>
      <c r="B28" s="19">
        <v>1084536882</v>
      </c>
      <c r="C28">
        <v>256</v>
      </c>
      <c r="D28">
        <v>2244</v>
      </c>
      <c r="E28" s="1">
        <v>0.1024</v>
      </c>
      <c r="F28" s="1">
        <v>0.89759999999999995</v>
      </c>
      <c r="G28">
        <v>11</v>
      </c>
      <c r="H28">
        <v>6</v>
      </c>
      <c r="I28">
        <v>89</v>
      </c>
      <c r="J28" s="20">
        <v>0.34765600000000002</v>
      </c>
      <c r="K28">
        <v>6</v>
      </c>
      <c r="L28">
        <v>33.833333000000003</v>
      </c>
      <c r="M28">
        <v>78</v>
      </c>
      <c r="N28">
        <v>4</v>
      </c>
      <c r="O28">
        <v>203</v>
      </c>
      <c r="P28" s="1">
        <v>0.79296900000000003</v>
      </c>
    </row>
    <row r="29" spans="1:16" x14ac:dyDescent="0.25">
      <c r="A29" t="s">
        <v>16</v>
      </c>
      <c r="B29" s="19">
        <v>896716381</v>
      </c>
      <c r="C29">
        <v>175</v>
      </c>
      <c r="D29">
        <v>2325</v>
      </c>
      <c r="E29" s="1">
        <v>7.0000000000000007E-2</v>
      </c>
      <c r="F29" s="1">
        <v>0.93</v>
      </c>
      <c r="G29">
        <v>12</v>
      </c>
      <c r="H29">
        <v>9</v>
      </c>
      <c r="I29">
        <v>74</v>
      </c>
      <c r="J29" s="20">
        <v>0.42285699999999998</v>
      </c>
      <c r="K29">
        <v>9</v>
      </c>
      <c r="L29">
        <v>12</v>
      </c>
      <c r="M29">
        <v>47</v>
      </c>
      <c r="N29">
        <v>4</v>
      </c>
      <c r="O29">
        <v>108</v>
      </c>
      <c r="P29" s="1">
        <v>0.617143</v>
      </c>
    </row>
    <row r="30" spans="1:16" x14ac:dyDescent="0.25">
      <c r="A30" t="s">
        <v>16</v>
      </c>
      <c r="B30" s="19">
        <v>1886263793</v>
      </c>
      <c r="C30">
        <v>247</v>
      </c>
      <c r="D30">
        <v>2253</v>
      </c>
      <c r="E30" s="1">
        <v>9.8799999999999999E-2</v>
      </c>
      <c r="F30" s="1">
        <v>0.9012</v>
      </c>
      <c r="G30">
        <v>16</v>
      </c>
      <c r="H30">
        <v>11</v>
      </c>
      <c r="I30">
        <v>87</v>
      </c>
      <c r="J30" s="20">
        <v>0.35222700000000001</v>
      </c>
      <c r="K30">
        <v>9</v>
      </c>
      <c r="L30">
        <v>19.444444000000001</v>
      </c>
      <c r="M30">
        <v>73</v>
      </c>
      <c r="N30">
        <v>4</v>
      </c>
      <c r="O30">
        <v>175</v>
      </c>
      <c r="P30" s="1">
        <v>0.70850199999999997</v>
      </c>
    </row>
    <row r="31" spans="1:16" x14ac:dyDescent="0.25">
      <c r="A31" t="s">
        <v>16</v>
      </c>
      <c r="B31" s="19">
        <v>1793028289</v>
      </c>
      <c r="C31">
        <v>279</v>
      </c>
      <c r="D31">
        <v>2221</v>
      </c>
      <c r="E31" s="1">
        <v>0.1116</v>
      </c>
      <c r="F31" s="1">
        <v>0.88839999999999997</v>
      </c>
      <c r="G31">
        <v>15</v>
      </c>
      <c r="H31">
        <v>12</v>
      </c>
      <c r="I31">
        <v>75</v>
      </c>
      <c r="J31" s="20">
        <v>0.26881699999999997</v>
      </c>
      <c r="K31">
        <v>10</v>
      </c>
      <c r="L31">
        <v>19.8</v>
      </c>
      <c r="M31">
        <v>60</v>
      </c>
      <c r="N31">
        <v>4</v>
      </c>
      <c r="O31">
        <v>198</v>
      </c>
      <c r="P31" s="1">
        <v>0.709677</v>
      </c>
    </row>
    <row r="32" spans="1:16" x14ac:dyDescent="0.25">
      <c r="A32" t="s">
        <v>16</v>
      </c>
      <c r="B32" s="19">
        <v>1656771845</v>
      </c>
      <c r="C32">
        <v>386</v>
      </c>
      <c r="D32">
        <v>2114</v>
      </c>
      <c r="E32" s="1">
        <v>0.15440000000000001</v>
      </c>
      <c r="F32" s="1">
        <v>0.84560000000000002</v>
      </c>
      <c r="G32">
        <v>17</v>
      </c>
      <c r="H32">
        <v>11</v>
      </c>
      <c r="I32">
        <v>114</v>
      </c>
      <c r="J32" s="20">
        <v>0.29533700000000002</v>
      </c>
      <c r="K32">
        <v>10</v>
      </c>
      <c r="L32">
        <v>29</v>
      </c>
      <c r="M32">
        <v>94</v>
      </c>
      <c r="N32">
        <v>4</v>
      </c>
      <c r="O32">
        <v>290</v>
      </c>
      <c r="P32" s="1">
        <v>0.75129500000000005</v>
      </c>
    </row>
    <row r="33" spans="1:16" x14ac:dyDescent="0.25">
      <c r="A33" t="s">
        <v>16</v>
      </c>
      <c r="B33" s="19">
        <v>128645286</v>
      </c>
      <c r="C33">
        <v>303</v>
      </c>
      <c r="D33">
        <v>2197</v>
      </c>
      <c r="E33" s="1">
        <v>0.1212</v>
      </c>
      <c r="F33" s="1">
        <v>0.87880000000000003</v>
      </c>
      <c r="G33">
        <v>23</v>
      </c>
      <c r="H33">
        <v>8</v>
      </c>
      <c r="I33">
        <v>119</v>
      </c>
      <c r="J33" s="20">
        <v>0.392739</v>
      </c>
      <c r="K33">
        <v>10</v>
      </c>
      <c r="L33">
        <v>21.4</v>
      </c>
      <c r="M33">
        <v>74</v>
      </c>
      <c r="N33">
        <v>2</v>
      </c>
      <c r="O33">
        <v>214</v>
      </c>
      <c r="P33" s="1">
        <v>0.70627099999999998</v>
      </c>
    </row>
    <row r="34" spans="1:16" x14ac:dyDescent="0.25">
      <c r="A34" t="s">
        <v>16</v>
      </c>
      <c r="B34" s="19">
        <v>1884606883</v>
      </c>
      <c r="C34">
        <v>440</v>
      </c>
      <c r="D34">
        <v>2060</v>
      </c>
      <c r="E34" s="1">
        <v>0.17599999999999999</v>
      </c>
      <c r="F34" s="1">
        <v>0.82399999999999995</v>
      </c>
      <c r="G34">
        <v>14</v>
      </c>
      <c r="H34">
        <v>12</v>
      </c>
      <c r="I34">
        <v>96</v>
      </c>
      <c r="J34" s="20">
        <v>0.21818199999999999</v>
      </c>
      <c r="K34">
        <v>11</v>
      </c>
      <c r="L34">
        <v>31.818182</v>
      </c>
      <c r="M34">
        <v>85</v>
      </c>
      <c r="N34">
        <v>4</v>
      </c>
      <c r="O34">
        <v>350</v>
      </c>
      <c r="P34" s="1">
        <v>0.79545500000000002</v>
      </c>
    </row>
    <row r="35" spans="1:16" x14ac:dyDescent="0.25">
      <c r="A35" t="s">
        <v>16</v>
      </c>
      <c r="B35" s="19">
        <v>2015008112</v>
      </c>
      <c r="C35">
        <v>182</v>
      </c>
      <c r="D35">
        <v>2318</v>
      </c>
      <c r="E35" s="1">
        <v>7.2800000000000004E-2</v>
      </c>
      <c r="F35" s="1">
        <v>0.92720000000000002</v>
      </c>
      <c r="G35">
        <v>11</v>
      </c>
      <c r="H35">
        <v>9</v>
      </c>
      <c r="I35">
        <v>61</v>
      </c>
      <c r="J35" s="20">
        <v>0.33516499999999999</v>
      </c>
      <c r="K35">
        <v>8</v>
      </c>
      <c r="L35">
        <v>15.75</v>
      </c>
      <c r="M35">
        <v>50</v>
      </c>
      <c r="N35">
        <v>3</v>
      </c>
      <c r="O35">
        <v>126</v>
      </c>
      <c r="P35" s="1">
        <v>0.69230800000000003</v>
      </c>
    </row>
    <row r="36" spans="1:16" x14ac:dyDescent="0.25">
      <c r="A36" t="s">
        <v>16</v>
      </c>
      <c r="B36" s="19">
        <v>925209750</v>
      </c>
      <c r="C36">
        <v>206</v>
      </c>
      <c r="D36">
        <v>2294</v>
      </c>
      <c r="E36" s="1">
        <v>8.2400000000000001E-2</v>
      </c>
      <c r="F36" s="1">
        <v>0.91759999999999997</v>
      </c>
      <c r="G36">
        <v>8</v>
      </c>
      <c r="H36">
        <v>11</v>
      </c>
      <c r="I36">
        <v>36</v>
      </c>
      <c r="J36" s="20">
        <v>0.174757</v>
      </c>
      <c r="K36">
        <v>9</v>
      </c>
      <c r="L36">
        <v>14.888889000000001</v>
      </c>
      <c r="M36">
        <v>27</v>
      </c>
      <c r="N36">
        <v>4</v>
      </c>
      <c r="O36">
        <v>134</v>
      </c>
      <c r="P36" s="1">
        <v>0.65048499999999998</v>
      </c>
    </row>
    <row r="37" spans="1:16" x14ac:dyDescent="0.25">
      <c r="A37" t="s">
        <v>16</v>
      </c>
      <c r="B37" s="19">
        <v>2088015517</v>
      </c>
      <c r="C37">
        <v>292</v>
      </c>
      <c r="D37">
        <v>2208</v>
      </c>
      <c r="E37" s="1">
        <v>0.1168</v>
      </c>
      <c r="F37" s="1">
        <v>0.88319999999999999</v>
      </c>
      <c r="G37">
        <v>11</v>
      </c>
      <c r="H37">
        <v>13</v>
      </c>
      <c r="I37">
        <v>59</v>
      </c>
      <c r="J37" s="20">
        <v>0.20205500000000001</v>
      </c>
      <c r="K37">
        <v>12</v>
      </c>
      <c r="L37">
        <v>17.25</v>
      </c>
      <c r="M37">
        <v>49</v>
      </c>
      <c r="N37">
        <v>4</v>
      </c>
      <c r="O37">
        <v>207</v>
      </c>
      <c r="P37" s="1">
        <v>0.70890399999999998</v>
      </c>
    </row>
    <row r="38" spans="1:16" x14ac:dyDescent="0.25">
      <c r="A38" t="s">
        <v>16</v>
      </c>
      <c r="B38" s="19">
        <v>1977558212</v>
      </c>
      <c r="C38">
        <v>208</v>
      </c>
      <c r="D38">
        <v>2292</v>
      </c>
      <c r="E38" s="1">
        <v>8.3199999999999996E-2</v>
      </c>
      <c r="F38" s="1">
        <v>0.91679999999999995</v>
      </c>
      <c r="G38">
        <v>9</v>
      </c>
      <c r="H38">
        <v>10</v>
      </c>
      <c r="I38">
        <v>51</v>
      </c>
      <c r="J38" s="20">
        <v>0.24519199999999999</v>
      </c>
      <c r="K38">
        <v>9</v>
      </c>
      <c r="L38">
        <v>15.888889000000001</v>
      </c>
      <c r="M38">
        <v>41</v>
      </c>
      <c r="N38">
        <v>4</v>
      </c>
      <c r="O38">
        <v>143</v>
      </c>
      <c r="P38" s="1">
        <v>0.6875</v>
      </c>
    </row>
    <row r="39" spans="1:16" x14ac:dyDescent="0.25">
      <c r="A39" t="s">
        <v>16</v>
      </c>
      <c r="B39" s="19">
        <v>578867494</v>
      </c>
      <c r="C39">
        <v>298</v>
      </c>
      <c r="D39">
        <v>2202</v>
      </c>
      <c r="E39" s="1">
        <v>0.1192</v>
      </c>
      <c r="F39" s="1">
        <v>0.88080000000000003</v>
      </c>
      <c r="G39">
        <v>12</v>
      </c>
      <c r="H39">
        <v>8</v>
      </c>
      <c r="I39">
        <v>72</v>
      </c>
      <c r="J39" s="20">
        <v>0.24161099999999999</v>
      </c>
      <c r="K39">
        <v>7</v>
      </c>
      <c r="L39">
        <v>32.571429000000002</v>
      </c>
      <c r="M39">
        <v>59</v>
      </c>
      <c r="N39">
        <v>4</v>
      </c>
      <c r="O39">
        <v>228</v>
      </c>
      <c r="P39" s="1">
        <v>0.76510100000000003</v>
      </c>
    </row>
    <row r="40" spans="1:16" x14ac:dyDescent="0.25">
      <c r="A40" t="s">
        <v>16</v>
      </c>
      <c r="B40" s="19">
        <v>333980964</v>
      </c>
      <c r="C40">
        <v>336</v>
      </c>
      <c r="D40">
        <v>2164</v>
      </c>
      <c r="E40" s="1">
        <v>0.13439999999999999</v>
      </c>
      <c r="F40" s="1">
        <v>0.86560000000000004</v>
      </c>
      <c r="G40">
        <v>20</v>
      </c>
      <c r="H40">
        <v>11</v>
      </c>
      <c r="I40">
        <v>137</v>
      </c>
      <c r="J40" s="20">
        <v>0.40773799999999999</v>
      </c>
      <c r="K40">
        <v>10</v>
      </c>
      <c r="L40">
        <v>24.6</v>
      </c>
      <c r="M40">
        <v>117</v>
      </c>
      <c r="N40">
        <v>2</v>
      </c>
      <c r="O40">
        <v>246</v>
      </c>
      <c r="P40" s="1">
        <v>0.73214299999999999</v>
      </c>
    </row>
    <row r="41" spans="1:16" x14ac:dyDescent="0.25">
      <c r="A41" t="s">
        <v>16</v>
      </c>
      <c r="B41" s="19">
        <v>1647042575</v>
      </c>
      <c r="C41">
        <v>301</v>
      </c>
      <c r="D41">
        <v>2199</v>
      </c>
      <c r="E41" s="1">
        <v>0.12039999999999999</v>
      </c>
      <c r="F41" s="1">
        <v>0.87960000000000005</v>
      </c>
      <c r="G41">
        <v>16</v>
      </c>
      <c r="H41">
        <v>11</v>
      </c>
      <c r="I41">
        <v>89</v>
      </c>
      <c r="J41" s="20">
        <v>0.29568100000000003</v>
      </c>
      <c r="K41">
        <v>10</v>
      </c>
      <c r="L41">
        <v>21.7</v>
      </c>
      <c r="M41">
        <v>68</v>
      </c>
      <c r="N41">
        <v>4</v>
      </c>
      <c r="O41">
        <v>217</v>
      </c>
      <c r="P41" s="1">
        <v>0.72092999999999996</v>
      </c>
    </row>
    <row r="42" spans="1:16" x14ac:dyDescent="0.25">
      <c r="A42" t="s">
        <v>16</v>
      </c>
      <c r="B42" s="19">
        <v>438207654</v>
      </c>
      <c r="C42">
        <v>183</v>
      </c>
      <c r="D42">
        <v>2317</v>
      </c>
      <c r="E42" s="1">
        <v>7.3200000000000001E-2</v>
      </c>
      <c r="F42" s="1">
        <v>0.92679999999999996</v>
      </c>
      <c r="G42">
        <v>12</v>
      </c>
      <c r="H42">
        <v>9</v>
      </c>
      <c r="I42">
        <v>56</v>
      </c>
      <c r="J42" s="20">
        <v>0.30601099999999998</v>
      </c>
      <c r="K42">
        <v>9</v>
      </c>
      <c r="L42">
        <v>13.888889000000001</v>
      </c>
      <c r="M42">
        <v>45</v>
      </c>
      <c r="N42">
        <v>4</v>
      </c>
      <c r="O42">
        <v>125</v>
      </c>
      <c r="P42" s="1">
        <v>0.68306</v>
      </c>
    </row>
    <row r="43" spans="1:16" x14ac:dyDescent="0.25">
      <c r="A43" t="s">
        <v>16</v>
      </c>
      <c r="B43" s="19">
        <v>2044567946</v>
      </c>
      <c r="C43">
        <v>154</v>
      </c>
      <c r="D43">
        <v>2346</v>
      </c>
      <c r="E43" s="1">
        <v>6.1600000000000002E-2</v>
      </c>
      <c r="F43" s="1">
        <v>0.93840000000000001</v>
      </c>
      <c r="G43">
        <v>9</v>
      </c>
      <c r="H43">
        <v>10</v>
      </c>
      <c r="I43">
        <v>39</v>
      </c>
      <c r="J43" s="20">
        <v>0.253247</v>
      </c>
      <c r="K43">
        <v>9</v>
      </c>
      <c r="L43">
        <v>10.777778</v>
      </c>
      <c r="M43">
        <v>31</v>
      </c>
      <c r="N43">
        <v>4</v>
      </c>
      <c r="O43">
        <v>97</v>
      </c>
      <c r="P43" s="1">
        <v>0.62987000000000004</v>
      </c>
    </row>
    <row r="44" spans="1:16" x14ac:dyDescent="0.25">
      <c r="A44" t="s">
        <v>16</v>
      </c>
      <c r="B44" s="19">
        <v>2060667589</v>
      </c>
      <c r="C44">
        <v>218</v>
      </c>
      <c r="D44">
        <v>2282</v>
      </c>
      <c r="E44" s="1">
        <v>8.72E-2</v>
      </c>
      <c r="F44" s="1">
        <v>0.91279999999999994</v>
      </c>
      <c r="G44">
        <v>6</v>
      </c>
      <c r="H44">
        <v>13</v>
      </c>
      <c r="I44">
        <v>31</v>
      </c>
      <c r="J44" s="20">
        <v>0.142202</v>
      </c>
      <c r="K44">
        <v>12</v>
      </c>
      <c r="L44">
        <v>11.333333</v>
      </c>
      <c r="M44">
        <v>23</v>
      </c>
      <c r="N44">
        <v>4</v>
      </c>
      <c r="O44">
        <v>136</v>
      </c>
      <c r="P44" s="1">
        <v>0.62385299999999999</v>
      </c>
    </row>
    <row r="45" spans="1:16" x14ac:dyDescent="0.25">
      <c r="A45" t="s">
        <v>16</v>
      </c>
      <c r="B45" s="19">
        <v>815361629</v>
      </c>
      <c r="C45">
        <v>185</v>
      </c>
      <c r="D45">
        <v>2315</v>
      </c>
      <c r="E45" s="1">
        <v>7.3999999999999996E-2</v>
      </c>
      <c r="F45" s="1">
        <v>0.92600000000000005</v>
      </c>
      <c r="G45">
        <v>6</v>
      </c>
      <c r="H45">
        <v>10</v>
      </c>
      <c r="I45">
        <v>35</v>
      </c>
      <c r="J45" s="20">
        <v>0.189189</v>
      </c>
      <c r="K45">
        <v>8</v>
      </c>
      <c r="L45">
        <v>15.375</v>
      </c>
      <c r="M45">
        <v>27</v>
      </c>
      <c r="N45">
        <v>4</v>
      </c>
      <c r="O45">
        <v>123</v>
      </c>
      <c r="P45" s="1">
        <v>0.66486500000000004</v>
      </c>
    </row>
    <row r="46" spans="1:16" x14ac:dyDescent="0.25">
      <c r="A46" t="s">
        <v>16</v>
      </c>
      <c r="B46" s="19">
        <v>1240720039</v>
      </c>
      <c r="C46">
        <v>185</v>
      </c>
      <c r="D46">
        <v>2315</v>
      </c>
      <c r="E46" s="1">
        <v>7.3999999999999996E-2</v>
      </c>
      <c r="F46" s="1">
        <v>0.92600000000000005</v>
      </c>
      <c r="G46">
        <v>10</v>
      </c>
      <c r="H46">
        <v>11</v>
      </c>
      <c r="I46">
        <v>63</v>
      </c>
      <c r="J46" s="20">
        <v>0.34054099999999998</v>
      </c>
      <c r="K46">
        <v>7</v>
      </c>
      <c r="L46">
        <v>17.142856999999999</v>
      </c>
      <c r="M46">
        <v>49</v>
      </c>
      <c r="N46">
        <v>1</v>
      </c>
      <c r="O46">
        <v>120</v>
      </c>
      <c r="P46" s="1">
        <v>0.64864900000000003</v>
      </c>
    </row>
    <row r="47" spans="1:16" x14ac:dyDescent="0.25">
      <c r="A47" t="s">
        <v>16</v>
      </c>
      <c r="B47" s="19">
        <v>1117311930</v>
      </c>
      <c r="C47">
        <v>266</v>
      </c>
      <c r="D47">
        <v>2234</v>
      </c>
      <c r="E47" s="1">
        <v>0.10639999999999999</v>
      </c>
      <c r="F47" s="1">
        <v>0.89359999999999995</v>
      </c>
      <c r="G47">
        <v>16</v>
      </c>
      <c r="H47">
        <v>11</v>
      </c>
      <c r="I47">
        <v>106</v>
      </c>
      <c r="J47" s="20">
        <v>0.39849600000000002</v>
      </c>
      <c r="K47">
        <v>7</v>
      </c>
      <c r="L47">
        <v>26.285713999999999</v>
      </c>
      <c r="M47">
        <v>89</v>
      </c>
      <c r="N47">
        <v>4</v>
      </c>
      <c r="O47">
        <v>184</v>
      </c>
      <c r="P47" s="1">
        <v>0.69172900000000004</v>
      </c>
    </row>
    <row r="48" spans="1:16" x14ac:dyDescent="0.25">
      <c r="A48" t="s">
        <v>16</v>
      </c>
      <c r="B48" s="19">
        <v>2011122391</v>
      </c>
      <c r="C48">
        <v>165</v>
      </c>
      <c r="D48">
        <v>2335</v>
      </c>
      <c r="E48" s="1">
        <v>6.6000000000000003E-2</v>
      </c>
      <c r="F48" s="1">
        <v>0.93400000000000005</v>
      </c>
      <c r="G48">
        <v>6</v>
      </c>
      <c r="H48">
        <v>9</v>
      </c>
      <c r="I48">
        <v>29</v>
      </c>
      <c r="J48" s="20">
        <v>0.175758</v>
      </c>
      <c r="K48">
        <v>8</v>
      </c>
      <c r="L48">
        <v>13.625</v>
      </c>
      <c r="M48">
        <v>21</v>
      </c>
      <c r="N48">
        <v>4</v>
      </c>
      <c r="O48">
        <v>109</v>
      </c>
      <c r="P48" s="1">
        <v>0.66060600000000003</v>
      </c>
    </row>
    <row r="49" spans="1:16" x14ac:dyDescent="0.25">
      <c r="A49" t="s">
        <v>16</v>
      </c>
      <c r="B49" s="19">
        <v>341126605</v>
      </c>
      <c r="C49">
        <v>305</v>
      </c>
      <c r="D49">
        <v>2195</v>
      </c>
      <c r="E49" s="1">
        <v>0.122</v>
      </c>
      <c r="F49" s="1">
        <v>0.878</v>
      </c>
      <c r="G49">
        <v>15</v>
      </c>
      <c r="H49">
        <v>8</v>
      </c>
      <c r="I49">
        <v>77</v>
      </c>
      <c r="J49" s="20">
        <v>0.25245899999999999</v>
      </c>
      <c r="K49">
        <v>9</v>
      </c>
      <c r="L49">
        <v>24.555555999999999</v>
      </c>
      <c r="M49">
        <v>61</v>
      </c>
      <c r="N49">
        <v>8</v>
      </c>
      <c r="O49">
        <v>221</v>
      </c>
      <c r="P49" s="1">
        <v>0.72458999999999996</v>
      </c>
    </row>
    <row r="50" spans="1:16" x14ac:dyDescent="0.25">
      <c r="A50" t="s">
        <v>16</v>
      </c>
      <c r="B50" s="19">
        <v>2088475228</v>
      </c>
      <c r="C50">
        <v>265</v>
      </c>
      <c r="D50">
        <v>2235</v>
      </c>
      <c r="E50" s="1">
        <v>0.106</v>
      </c>
      <c r="F50" s="1">
        <v>0.89400000000000002</v>
      </c>
      <c r="G50">
        <v>12</v>
      </c>
      <c r="H50">
        <v>8</v>
      </c>
      <c r="I50">
        <v>74</v>
      </c>
      <c r="J50" s="20">
        <v>0.27924500000000002</v>
      </c>
      <c r="K50">
        <v>9</v>
      </c>
      <c r="L50">
        <v>21.555555999999999</v>
      </c>
      <c r="M50">
        <v>63</v>
      </c>
      <c r="N50">
        <v>4</v>
      </c>
      <c r="O50">
        <v>194</v>
      </c>
      <c r="P50" s="1">
        <v>0.73207500000000003</v>
      </c>
    </row>
    <row r="51" spans="1:16" x14ac:dyDescent="0.25">
      <c r="A51" t="s">
        <v>16</v>
      </c>
      <c r="B51" s="19">
        <v>2089574016</v>
      </c>
      <c r="C51">
        <v>300</v>
      </c>
      <c r="D51">
        <v>2200</v>
      </c>
      <c r="E51" s="1">
        <v>0.12</v>
      </c>
      <c r="F51" s="1">
        <v>0.88</v>
      </c>
      <c r="G51">
        <v>13</v>
      </c>
      <c r="H51">
        <v>12</v>
      </c>
      <c r="I51">
        <v>94</v>
      </c>
      <c r="J51" s="20">
        <v>0.31333299999999997</v>
      </c>
      <c r="K51">
        <v>12</v>
      </c>
      <c r="L51">
        <v>18.083333</v>
      </c>
      <c r="M51">
        <v>78</v>
      </c>
      <c r="N51">
        <v>4</v>
      </c>
      <c r="O51">
        <v>217</v>
      </c>
      <c r="P51" s="1">
        <v>0.723333</v>
      </c>
    </row>
    <row r="52" spans="1:16" x14ac:dyDescent="0.25">
      <c r="A52" t="s">
        <v>26</v>
      </c>
      <c r="C52">
        <f>SUBTOTAL(101,CA8_wall70_it6_neigh5[floors])</f>
        <v>261.16000000000003</v>
      </c>
      <c r="D52">
        <f>SUBTOTAL(101,CA8_wall70_it6_neigh5[walls])</f>
        <v>2238.84</v>
      </c>
      <c r="E52" s="2">
        <f>SUBTOTAL(101,CA8_wall70_it6_neigh5[floor_percent])</f>
        <v>0.10446399999999999</v>
      </c>
      <c r="F52" s="2">
        <f>SUBTOTAL(101,CA8_wall70_it6_neigh5[wall_percent])</f>
        <v>0.89553600000000022</v>
      </c>
      <c r="G52">
        <f>SUBTOTAL(101,CA8_wall70_it6_neigh5[longest_shortest_path])</f>
        <v>12.78</v>
      </c>
      <c r="H52">
        <f>SUBTOTAL(101,CA8_wall70_it6_neigh5[component_count])</f>
        <v>10.36</v>
      </c>
      <c r="I52">
        <f>SUBTOTAL(101,CA8_wall70_it6_neigh5[max_component_size])</f>
        <v>76.52</v>
      </c>
      <c r="J52">
        <f>SUBTOTAL(101,CA8_wall70_it6_neigh5[connectivity_ratio])</f>
        <v>0.29284285999999998</v>
      </c>
      <c r="K52">
        <f>SUBTOTAL(101,CA8_wall70_it6_neigh5[room_count])</f>
        <v>9.3000000000000007</v>
      </c>
      <c r="L52">
        <f>SUBTOTAL(101,CA8_wall70_it6_neigh5[avg_room_size])</f>
        <v>20.57733382</v>
      </c>
      <c r="M52">
        <f>SUBTOTAL(101,CA8_wall70_it6_neigh5[max_room_size])</f>
        <v>61.34</v>
      </c>
      <c r="N52">
        <f>SUBTOTAL(101,CA8_wall70_it6_neigh5[min_room_size])</f>
        <v>3.64</v>
      </c>
      <c r="O52">
        <f>SUBTOTAL(101,CA8_wall70_it6_neigh5[room_tiles])</f>
        <v>186.5</v>
      </c>
      <c r="P52" s="2">
        <f>SUBTOTAL(101,CA8_wall70_it6_neigh5[room_ratio])</f>
        <v>0.70630566000000006</v>
      </c>
    </row>
    <row r="53" spans="1:16" x14ac:dyDescent="0.25">
      <c r="A53" s="22" t="s">
        <v>41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328F-8151-44CD-8140-4B03A92B0456}">
  <dimension ref="A1:P53"/>
  <sheetViews>
    <sheetView topLeftCell="A28" workbookViewId="0">
      <selection activeCell="H56" sqref="H56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2123088532</v>
      </c>
      <c r="C2">
        <v>208</v>
      </c>
      <c r="D2">
        <v>2292</v>
      </c>
      <c r="E2" s="1">
        <v>8.3199999999999996E-2</v>
      </c>
      <c r="F2" s="1">
        <v>0.91679999999999995</v>
      </c>
      <c r="G2">
        <v>14</v>
      </c>
      <c r="H2">
        <v>11</v>
      </c>
      <c r="I2">
        <v>60</v>
      </c>
      <c r="J2" s="20">
        <v>0.288462</v>
      </c>
      <c r="K2">
        <v>9</v>
      </c>
      <c r="L2">
        <v>15.444444000000001</v>
      </c>
      <c r="M2">
        <v>48</v>
      </c>
      <c r="N2">
        <v>4</v>
      </c>
      <c r="O2">
        <v>139</v>
      </c>
      <c r="P2" s="1">
        <v>0.668269</v>
      </c>
    </row>
    <row r="3" spans="1:16" x14ac:dyDescent="0.25">
      <c r="A3" t="s">
        <v>16</v>
      </c>
      <c r="B3" s="19">
        <v>1800295963</v>
      </c>
      <c r="C3">
        <v>199</v>
      </c>
      <c r="D3">
        <v>2301</v>
      </c>
      <c r="E3" s="1">
        <v>7.9600000000000004E-2</v>
      </c>
      <c r="F3" s="1">
        <v>0.9204</v>
      </c>
      <c r="G3">
        <v>11</v>
      </c>
      <c r="H3">
        <v>9</v>
      </c>
      <c r="I3">
        <v>54</v>
      </c>
      <c r="J3" s="20">
        <v>0.27135700000000001</v>
      </c>
      <c r="K3">
        <v>8</v>
      </c>
      <c r="L3">
        <v>17.375</v>
      </c>
      <c r="M3">
        <v>43</v>
      </c>
      <c r="N3">
        <v>4</v>
      </c>
      <c r="O3">
        <v>139</v>
      </c>
      <c r="P3" s="1">
        <v>0.698492</v>
      </c>
    </row>
    <row r="4" spans="1:16" x14ac:dyDescent="0.25">
      <c r="A4" t="s">
        <v>16</v>
      </c>
      <c r="B4" s="19">
        <v>1100810106</v>
      </c>
      <c r="C4">
        <v>241</v>
      </c>
      <c r="D4">
        <v>2259</v>
      </c>
      <c r="E4" s="1">
        <v>9.64E-2</v>
      </c>
      <c r="F4" s="1">
        <v>0.90359999999999996</v>
      </c>
      <c r="G4">
        <v>12</v>
      </c>
      <c r="H4">
        <v>17</v>
      </c>
      <c r="I4">
        <v>70</v>
      </c>
      <c r="J4" s="20">
        <v>0.29045599999999999</v>
      </c>
      <c r="K4">
        <v>12</v>
      </c>
      <c r="L4">
        <v>12.333333</v>
      </c>
      <c r="M4">
        <v>59</v>
      </c>
      <c r="N4">
        <v>1</v>
      </c>
      <c r="O4">
        <v>148</v>
      </c>
      <c r="P4" s="1">
        <v>0.61410799999999999</v>
      </c>
    </row>
    <row r="5" spans="1:16" x14ac:dyDescent="0.25">
      <c r="A5" t="s">
        <v>16</v>
      </c>
      <c r="B5" s="19">
        <v>365065082</v>
      </c>
      <c r="C5">
        <v>313</v>
      </c>
      <c r="D5">
        <v>2187</v>
      </c>
      <c r="E5" s="1">
        <v>0.12520000000000001</v>
      </c>
      <c r="F5" s="1">
        <v>0.87480000000000002</v>
      </c>
      <c r="G5">
        <v>12</v>
      </c>
      <c r="H5">
        <v>14</v>
      </c>
      <c r="I5">
        <v>65</v>
      </c>
      <c r="J5" s="20">
        <v>0.20766799999999999</v>
      </c>
      <c r="K5">
        <v>11</v>
      </c>
      <c r="L5">
        <v>18.545455</v>
      </c>
      <c r="M5">
        <v>41</v>
      </c>
      <c r="N5">
        <v>6</v>
      </c>
      <c r="O5">
        <v>204</v>
      </c>
      <c r="P5" s="1">
        <v>0.65175700000000003</v>
      </c>
    </row>
    <row r="6" spans="1:16" x14ac:dyDescent="0.25">
      <c r="A6" t="s">
        <v>16</v>
      </c>
      <c r="B6" s="19">
        <v>2022977236</v>
      </c>
      <c r="C6">
        <v>265</v>
      </c>
      <c r="D6">
        <v>2235</v>
      </c>
      <c r="E6" s="1">
        <v>0.106</v>
      </c>
      <c r="F6" s="1">
        <v>0.89400000000000002</v>
      </c>
      <c r="G6">
        <v>14</v>
      </c>
      <c r="H6">
        <v>12</v>
      </c>
      <c r="I6">
        <v>58</v>
      </c>
      <c r="J6" s="20">
        <v>0.21886800000000001</v>
      </c>
      <c r="K6">
        <v>10</v>
      </c>
      <c r="L6">
        <v>18.5</v>
      </c>
      <c r="M6">
        <v>47</v>
      </c>
      <c r="N6">
        <v>4</v>
      </c>
      <c r="O6">
        <v>185</v>
      </c>
      <c r="P6" s="1">
        <v>0.69811299999999998</v>
      </c>
    </row>
    <row r="7" spans="1:16" x14ac:dyDescent="0.25">
      <c r="A7" t="s">
        <v>16</v>
      </c>
      <c r="B7" s="19">
        <v>357835969</v>
      </c>
      <c r="C7">
        <v>192</v>
      </c>
      <c r="D7">
        <v>2308</v>
      </c>
      <c r="E7" s="1">
        <v>7.6799999999999993E-2</v>
      </c>
      <c r="F7" s="1">
        <v>0.92320000000000002</v>
      </c>
      <c r="G7">
        <v>9</v>
      </c>
      <c r="H7">
        <v>12</v>
      </c>
      <c r="I7">
        <v>49</v>
      </c>
      <c r="J7" s="20">
        <v>0.25520799999999999</v>
      </c>
      <c r="K7">
        <v>8</v>
      </c>
      <c r="L7">
        <v>15.625</v>
      </c>
      <c r="M7">
        <v>39</v>
      </c>
      <c r="N7">
        <v>2</v>
      </c>
      <c r="O7">
        <v>125</v>
      </c>
      <c r="P7" s="1">
        <v>0.65104200000000001</v>
      </c>
    </row>
    <row r="8" spans="1:16" x14ac:dyDescent="0.25">
      <c r="A8" t="s">
        <v>16</v>
      </c>
      <c r="B8" s="19">
        <v>399291329</v>
      </c>
      <c r="C8">
        <v>315</v>
      </c>
      <c r="D8">
        <v>2185</v>
      </c>
      <c r="E8" s="1">
        <v>0.126</v>
      </c>
      <c r="F8" s="1">
        <v>0.874</v>
      </c>
      <c r="G8">
        <v>18</v>
      </c>
      <c r="H8">
        <v>11</v>
      </c>
      <c r="I8">
        <v>113</v>
      </c>
      <c r="J8" s="20">
        <v>0.35872999999999999</v>
      </c>
      <c r="K8">
        <v>11</v>
      </c>
      <c r="L8">
        <v>20.636364</v>
      </c>
      <c r="M8">
        <v>99</v>
      </c>
      <c r="N8">
        <v>1</v>
      </c>
      <c r="O8">
        <v>227</v>
      </c>
      <c r="P8" s="1">
        <v>0.72063500000000003</v>
      </c>
    </row>
    <row r="9" spans="1:16" x14ac:dyDescent="0.25">
      <c r="A9" t="s">
        <v>16</v>
      </c>
      <c r="B9" s="19">
        <v>960902149</v>
      </c>
      <c r="C9">
        <v>274</v>
      </c>
      <c r="D9">
        <v>2226</v>
      </c>
      <c r="E9" s="1">
        <v>0.1096</v>
      </c>
      <c r="F9" s="1">
        <v>0.89039999999999997</v>
      </c>
      <c r="G9">
        <v>12</v>
      </c>
      <c r="H9">
        <v>13</v>
      </c>
      <c r="I9">
        <v>48</v>
      </c>
      <c r="J9" s="20">
        <v>0.175182</v>
      </c>
      <c r="K9">
        <v>13</v>
      </c>
      <c r="L9">
        <v>13.692308000000001</v>
      </c>
      <c r="M9">
        <v>37</v>
      </c>
      <c r="N9">
        <v>1</v>
      </c>
      <c r="O9">
        <v>178</v>
      </c>
      <c r="P9" s="1">
        <v>0.64963499999999996</v>
      </c>
    </row>
    <row r="10" spans="1:16" x14ac:dyDescent="0.25">
      <c r="A10" t="s">
        <v>16</v>
      </c>
      <c r="B10" s="19">
        <v>184089534</v>
      </c>
      <c r="C10">
        <v>229</v>
      </c>
      <c r="D10">
        <v>2271</v>
      </c>
      <c r="E10" s="1">
        <v>9.1600000000000001E-2</v>
      </c>
      <c r="F10" s="1">
        <v>0.90839999999999999</v>
      </c>
      <c r="G10">
        <v>13</v>
      </c>
      <c r="H10">
        <v>13</v>
      </c>
      <c r="I10">
        <v>59</v>
      </c>
      <c r="J10" s="20">
        <v>0.25764199999999998</v>
      </c>
      <c r="K10">
        <v>14</v>
      </c>
      <c r="L10">
        <v>10</v>
      </c>
      <c r="M10">
        <v>30</v>
      </c>
      <c r="N10">
        <v>2</v>
      </c>
      <c r="O10">
        <v>140</v>
      </c>
      <c r="P10" s="1">
        <v>0.61135399999999995</v>
      </c>
    </row>
    <row r="11" spans="1:16" x14ac:dyDescent="0.25">
      <c r="A11" t="s">
        <v>16</v>
      </c>
      <c r="B11" s="19">
        <v>1151377907</v>
      </c>
      <c r="C11">
        <v>428</v>
      </c>
      <c r="D11">
        <v>2072</v>
      </c>
      <c r="E11" s="1">
        <v>0.17119999999999999</v>
      </c>
      <c r="F11" s="1">
        <v>0.82879999999999998</v>
      </c>
      <c r="G11">
        <v>19</v>
      </c>
      <c r="H11">
        <v>13</v>
      </c>
      <c r="I11">
        <v>92</v>
      </c>
      <c r="J11" s="20">
        <v>0.21495300000000001</v>
      </c>
      <c r="K11">
        <v>12</v>
      </c>
      <c r="L11">
        <v>26.333333</v>
      </c>
      <c r="M11">
        <v>77</v>
      </c>
      <c r="N11">
        <v>4</v>
      </c>
      <c r="O11">
        <v>316</v>
      </c>
      <c r="P11" s="1">
        <v>0.73831800000000003</v>
      </c>
    </row>
    <row r="12" spans="1:16" x14ac:dyDescent="0.25">
      <c r="A12" t="s">
        <v>16</v>
      </c>
      <c r="B12" s="19">
        <v>1576199806</v>
      </c>
      <c r="C12">
        <v>291</v>
      </c>
      <c r="D12">
        <v>2209</v>
      </c>
      <c r="E12" s="1">
        <v>0.1164</v>
      </c>
      <c r="F12" s="1">
        <v>0.88360000000000005</v>
      </c>
      <c r="G12">
        <v>14</v>
      </c>
      <c r="H12">
        <v>12</v>
      </c>
      <c r="I12">
        <v>131</v>
      </c>
      <c r="J12" s="20">
        <v>0.45017200000000002</v>
      </c>
      <c r="K12">
        <v>8</v>
      </c>
      <c r="L12">
        <v>26.5</v>
      </c>
      <c r="M12">
        <v>113</v>
      </c>
      <c r="N12">
        <v>4</v>
      </c>
      <c r="O12">
        <v>212</v>
      </c>
      <c r="P12" s="1">
        <v>0.728522</v>
      </c>
    </row>
    <row r="13" spans="1:16" x14ac:dyDescent="0.25">
      <c r="A13" t="s">
        <v>16</v>
      </c>
      <c r="B13" s="19">
        <v>749186749</v>
      </c>
      <c r="C13">
        <v>214</v>
      </c>
      <c r="D13">
        <v>2286</v>
      </c>
      <c r="E13" s="1">
        <v>8.5599999999999996E-2</v>
      </c>
      <c r="F13" s="1">
        <v>0.91439999999999999</v>
      </c>
      <c r="G13">
        <v>12</v>
      </c>
      <c r="H13">
        <v>15</v>
      </c>
      <c r="I13">
        <v>92</v>
      </c>
      <c r="J13" s="20">
        <v>0.42990699999999998</v>
      </c>
      <c r="K13">
        <v>9</v>
      </c>
      <c r="L13">
        <v>14.333333</v>
      </c>
      <c r="M13">
        <v>77</v>
      </c>
      <c r="N13">
        <v>1</v>
      </c>
      <c r="O13">
        <v>129</v>
      </c>
      <c r="P13" s="1">
        <v>0.60280400000000001</v>
      </c>
    </row>
    <row r="14" spans="1:16" x14ac:dyDescent="0.25">
      <c r="A14" t="s">
        <v>16</v>
      </c>
      <c r="B14" s="19">
        <v>1576782150</v>
      </c>
      <c r="C14">
        <v>203</v>
      </c>
      <c r="D14">
        <v>2297</v>
      </c>
      <c r="E14" s="1">
        <v>8.1199999999999994E-2</v>
      </c>
      <c r="F14" s="1">
        <v>0.91879999999999995</v>
      </c>
      <c r="G14">
        <v>9</v>
      </c>
      <c r="H14">
        <v>16</v>
      </c>
      <c r="I14">
        <v>41</v>
      </c>
      <c r="J14" s="20">
        <v>0.20197000000000001</v>
      </c>
      <c r="K14">
        <v>11</v>
      </c>
      <c r="L14">
        <v>10.090909</v>
      </c>
      <c r="M14">
        <v>33</v>
      </c>
      <c r="N14">
        <v>1</v>
      </c>
      <c r="O14">
        <v>111</v>
      </c>
      <c r="P14" s="1">
        <v>0.54679800000000001</v>
      </c>
    </row>
    <row r="15" spans="1:16" x14ac:dyDescent="0.25">
      <c r="A15" t="s">
        <v>16</v>
      </c>
      <c r="B15" s="19">
        <v>2107298242</v>
      </c>
      <c r="C15">
        <v>222</v>
      </c>
      <c r="D15">
        <v>2278</v>
      </c>
      <c r="E15" s="1">
        <v>8.8800000000000004E-2</v>
      </c>
      <c r="F15" s="1">
        <v>0.91120000000000001</v>
      </c>
      <c r="G15">
        <v>8</v>
      </c>
      <c r="H15">
        <v>14</v>
      </c>
      <c r="I15">
        <v>34</v>
      </c>
      <c r="J15" s="20">
        <v>0.15315300000000001</v>
      </c>
      <c r="K15">
        <v>11</v>
      </c>
      <c r="L15">
        <v>12.363636</v>
      </c>
      <c r="M15">
        <v>25</v>
      </c>
      <c r="N15">
        <v>6</v>
      </c>
      <c r="O15">
        <v>136</v>
      </c>
      <c r="P15" s="1">
        <v>0.61261299999999996</v>
      </c>
    </row>
    <row r="16" spans="1:16" x14ac:dyDescent="0.25">
      <c r="A16" t="s">
        <v>16</v>
      </c>
      <c r="B16" s="19">
        <v>1312091212</v>
      </c>
      <c r="C16">
        <v>294</v>
      </c>
      <c r="D16">
        <v>2206</v>
      </c>
      <c r="E16" s="1">
        <v>0.1176</v>
      </c>
      <c r="F16" s="1">
        <v>0.88239999999999996</v>
      </c>
      <c r="G16">
        <v>12</v>
      </c>
      <c r="H16">
        <v>14</v>
      </c>
      <c r="I16">
        <v>63</v>
      </c>
      <c r="J16" s="20">
        <v>0.214286</v>
      </c>
      <c r="K16">
        <v>11</v>
      </c>
      <c r="L16">
        <v>18.272727</v>
      </c>
      <c r="M16">
        <v>54</v>
      </c>
      <c r="N16">
        <v>2</v>
      </c>
      <c r="O16">
        <v>201</v>
      </c>
      <c r="P16" s="1">
        <v>0.68367299999999998</v>
      </c>
    </row>
    <row r="17" spans="1:16" x14ac:dyDescent="0.25">
      <c r="A17" t="s">
        <v>16</v>
      </c>
      <c r="B17" s="19">
        <v>1445777211</v>
      </c>
      <c r="C17">
        <v>229</v>
      </c>
      <c r="D17">
        <v>2271</v>
      </c>
      <c r="E17" s="1">
        <v>9.1600000000000001E-2</v>
      </c>
      <c r="F17" s="1">
        <v>0.90839999999999999</v>
      </c>
      <c r="G17">
        <v>9</v>
      </c>
      <c r="H17">
        <v>13</v>
      </c>
      <c r="I17">
        <v>46</v>
      </c>
      <c r="J17" s="20">
        <v>0.200873</v>
      </c>
      <c r="K17">
        <v>11</v>
      </c>
      <c r="L17">
        <v>13.909091</v>
      </c>
      <c r="M17">
        <v>38</v>
      </c>
      <c r="N17">
        <v>2</v>
      </c>
      <c r="O17">
        <v>153</v>
      </c>
      <c r="P17" s="1">
        <v>0.66812199999999999</v>
      </c>
    </row>
    <row r="18" spans="1:16" x14ac:dyDescent="0.25">
      <c r="A18" t="s">
        <v>16</v>
      </c>
      <c r="B18" s="19">
        <v>1061226023</v>
      </c>
      <c r="C18">
        <v>338</v>
      </c>
      <c r="D18">
        <v>2162</v>
      </c>
      <c r="E18" s="1">
        <v>0.13519999999999999</v>
      </c>
      <c r="F18" s="1">
        <v>0.86480000000000001</v>
      </c>
      <c r="G18">
        <v>16</v>
      </c>
      <c r="H18">
        <v>19</v>
      </c>
      <c r="I18">
        <v>75</v>
      </c>
      <c r="J18" s="20">
        <v>0.22189300000000001</v>
      </c>
      <c r="K18">
        <v>15</v>
      </c>
      <c r="L18">
        <v>14.533333000000001</v>
      </c>
      <c r="M18">
        <v>58</v>
      </c>
      <c r="N18">
        <v>1</v>
      </c>
      <c r="O18">
        <v>218</v>
      </c>
      <c r="P18" s="1">
        <v>0.64497000000000004</v>
      </c>
    </row>
    <row r="19" spans="1:16" x14ac:dyDescent="0.25">
      <c r="A19" t="s">
        <v>16</v>
      </c>
      <c r="B19" s="19">
        <v>567266012</v>
      </c>
      <c r="C19">
        <v>269</v>
      </c>
      <c r="D19">
        <v>2231</v>
      </c>
      <c r="E19" s="1">
        <v>0.1076</v>
      </c>
      <c r="F19" s="1">
        <v>0.89239999999999997</v>
      </c>
      <c r="G19">
        <v>10</v>
      </c>
      <c r="H19">
        <v>11</v>
      </c>
      <c r="I19">
        <v>54</v>
      </c>
      <c r="J19" s="20">
        <v>0.200743</v>
      </c>
      <c r="K19">
        <v>9</v>
      </c>
      <c r="L19">
        <v>20.444444000000001</v>
      </c>
      <c r="M19">
        <v>43</v>
      </c>
      <c r="N19">
        <v>6</v>
      </c>
      <c r="O19">
        <v>184</v>
      </c>
      <c r="P19" s="1">
        <v>0.68401500000000004</v>
      </c>
    </row>
    <row r="20" spans="1:16" x14ac:dyDescent="0.25">
      <c r="A20" t="s">
        <v>16</v>
      </c>
      <c r="B20" s="19">
        <v>1698229248</v>
      </c>
      <c r="C20">
        <v>172</v>
      </c>
      <c r="D20">
        <v>2328</v>
      </c>
      <c r="E20" s="1">
        <v>6.88E-2</v>
      </c>
      <c r="F20" s="1">
        <v>0.93120000000000003</v>
      </c>
      <c r="G20">
        <v>8</v>
      </c>
      <c r="H20">
        <v>10</v>
      </c>
      <c r="I20">
        <v>53</v>
      </c>
      <c r="J20" s="20">
        <v>0.30814000000000002</v>
      </c>
      <c r="K20">
        <v>7</v>
      </c>
      <c r="L20">
        <v>16.714286000000001</v>
      </c>
      <c r="M20">
        <v>43</v>
      </c>
      <c r="N20">
        <v>4</v>
      </c>
      <c r="O20">
        <v>117</v>
      </c>
      <c r="P20" s="1">
        <v>0.68023299999999998</v>
      </c>
    </row>
    <row r="21" spans="1:16" x14ac:dyDescent="0.25">
      <c r="A21" t="s">
        <v>16</v>
      </c>
      <c r="B21" s="19">
        <v>1523072723</v>
      </c>
      <c r="C21">
        <v>200</v>
      </c>
      <c r="D21">
        <v>2300</v>
      </c>
      <c r="E21" s="1">
        <v>0.08</v>
      </c>
      <c r="F21" s="1">
        <v>0.92</v>
      </c>
      <c r="G21">
        <v>9</v>
      </c>
      <c r="H21">
        <v>8</v>
      </c>
      <c r="I21">
        <v>45</v>
      </c>
      <c r="J21" s="20">
        <v>0.22500000000000001</v>
      </c>
      <c r="K21">
        <v>7</v>
      </c>
      <c r="L21">
        <v>19.714286000000001</v>
      </c>
      <c r="M21">
        <v>35</v>
      </c>
      <c r="N21">
        <v>7</v>
      </c>
      <c r="O21">
        <v>138</v>
      </c>
      <c r="P21" s="1">
        <v>0.69</v>
      </c>
    </row>
    <row r="22" spans="1:16" x14ac:dyDescent="0.25">
      <c r="A22" t="s">
        <v>16</v>
      </c>
      <c r="B22" s="19">
        <v>440875492</v>
      </c>
      <c r="C22">
        <v>296</v>
      </c>
      <c r="D22">
        <v>2204</v>
      </c>
      <c r="E22" s="1">
        <v>0.11840000000000001</v>
      </c>
      <c r="F22" s="1">
        <v>0.88160000000000005</v>
      </c>
      <c r="G22">
        <v>16</v>
      </c>
      <c r="H22">
        <v>11</v>
      </c>
      <c r="I22">
        <v>114</v>
      </c>
      <c r="J22" s="20">
        <v>0.38513500000000001</v>
      </c>
      <c r="K22">
        <v>10</v>
      </c>
      <c r="L22">
        <v>21</v>
      </c>
      <c r="M22">
        <v>94</v>
      </c>
      <c r="N22">
        <v>3</v>
      </c>
      <c r="O22">
        <v>210</v>
      </c>
      <c r="P22" s="1">
        <v>0.70945899999999995</v>
      </c>
    </row>
    <row r="23" spans="1:16" x14ac:dyDescent="0.25">
      <c r="A23" t="s">
        <v>16</v>
      </c>
      <c r="B23" s="19">
        <v>1673767049</v>
      </c>
      <c r="C23">
        <v>323</v>
      </c>
      <c r="D23">
        <v>2177</v>
      </c>
      <c r="E23" s="1">
        <v>0.12920000000000001</v>
      </c>
      <c r="F23" s="1">
        <v>0.87080000000000002</v>
      </c>
      <c r="G23">
        <v>19</v>
      </c>
      <c r="H23">
        <v>11</v>
      </c>
      <c r="I23">
        <v>132</v>
      </c>
      <c r="J23" s="20">
        <v>0.408669</v>
      </c>
      <c r="K23">
        <v>10</v>
      </c>
      <c r="L23">
        <v>23.8</v>
      </c>
      <c r="M23">
        <v>112</v>
      </c>
      <c r="N23">
        <v>2</v>
      </c>
      <c r="O23">
        <v>238</v>
      </c>
      <c r="P23" s="1">
        <v>0.736842</v>
      </c>
    </row>
    <row r="24" spans="1:16" x14ac:dyDescent="0.25">
      <c r="A24" t="s">
        <v>16</v>
      </c>
      <c r="B24" s="19">
        <v>1457853514</v>
      </c>
      <c r="C24">
        <v>181</v>
      </c>
      <c r="D24">
        <v>2319</v>
      </c>
      <c r="E24" s="1">
        <v>7.2400000000000006E-2</v>
      </c>
      <c r="F24" s="1">
        <v>0.92759999999999998</v>
      </c>
      <c r="G24">
        <v>12</v>
      </c>
      <c r="H24">
        <v>11</v>
      </c>
      <c r="I24">
        <v>62</v>
      </c>
      <c r="J24" s="20">
        <v>0.34254099999999998</v>
      </c>
      <c r="K24">
        <v>7</v>
      </c>
      <c r="L24">
        <v>17</v>
      </c>
      <c r="M24">
        <v>50</v>
      </c>
      <c r="N24">
        <v>4</v>
      </c>
      <c r="O24">
        <v>119</v>
      </c>
      <c r="P24" s="1">
        <v>0.65745900000000002</v>
      </c>
    </row>
    <row r="25" spans="1:16" x14ac:dyDescent="0.25">
      <c r="A25" t="s">
        <v>16</v>
      </c>
      <c r="B25" s="19">
        <v>546678719</v>
      </c>
      <c r="C25">
        <v>248</v>
      </c>
      <c r="D25">
        <v>2252</v>
      </c>
      <c r="E25" s="1">
        <v>9.9199999999999997E-2</v>
      </c>
      <c r="F25" s="1">
        <v>0.90080000000000005</v>
      </c>
      <c r="G25">
        <v>14</v>
      </c>
      <c r="H25">
        <v>12</v>
      </c>
      <c r="I25">
        <v>76</v>
      </c>
      <c r="J25" s="20">
        <v>0.306452</v>
      </c>
      <c r="K25">
        <v>11</v>
      </c>
      <c r="L25">
        <v>15</v>
      </c>
      <c r="M25">
        <v>60</v>
      </c>
      <c r="N25">
        <v>1</v>
      </c>
      <c r="O25">
        <v>165</v>
      </c>
      <c r="P25" s="1">
        <v>0.665323</v>
      </c>
    </row>
    <row r="26" spans="1:16" x14ac:dyDescent="0.25">
      <c r="A26" t="s">
        <v>16</v>
      </c>
      <c r="B26" s="19">
        <v>183869685</v>
      </c>
      <c r="C26">
        <v>165</v>
      </c>
      <c r="D26">
        <v>2335</v>
      </c>
      <c r="E26" s="1">
        <v>6.6000000000000003E-2</v>
      </c>
      <c r="F26" s="1">
        <v>0.93400000000000005</v>
      </c>
      <c r="G26">
        <v>7</v>
      </c>
      <c r="H26">
        <v>17</v>
      </c>
      <c r="I26">
        <v>33</v>
      </c>
      <c r="J26" s="20">
        <v>0.2</v>
      </c>
      <c r="K26">
        <v>11</v>
      </c>
      <c r="L26">
        <v>7.3636359999999996</v>
      </c>
      <c r="M26">
        <v>23</v>
      </c>
      <c r="N26">
        <v>1</v>
      </c>
      <c r="O26">
        <v>81</v>
      </c>
      <c r="P26" s="1">
        <v>0.49090899999999998</v>
      </c>
    </row>
    <row r="27" spans="1:16" x14ac:dyDescent="0.25">
      <c r="A27" t="s">
        <v>16</v>
      </c>
      <c r="B27" s="19">
        <v>1104883194</v>
      </c>
      <c r="C27">
        <v>417</v>
      </c>
      <c r="D27">
        <v>2083</v>
      </c>
      <c r="E27" s="1">
        <v>0.1668</v>
      </c>
      <c r="F27" s="1">
        <v>0.83320000000000005</v>
      </c>
      <c r="G27">
        <v>18</v>
      </c>
      <c r="H27">
        <v>14</v>
      </c>
      <c r="I27">
        <v>118</v>
      </c>
      <c r="J27" s="20">
        <v>0.282974</v>
      </c>
      <c r="K27">
        <v>13</v>
      </c>
      <c r="L27">
        <v>24.384615</v>
      </c>
      <c r="M27">
        <v>103</v>
      </c>
      <c r="N27">
        <v>4</v>
      </c>
      <c r="O27">
        <v>317</v>
      </c>
      <c r="P27" s="1">
        <v>0.76019199999999998</v>
      </c>
    </row>
    <row r="28" spans="1:16" x14ac:dyDescent="0.25">
      <c r="A28" t="s">
        <v>16</v>
      </c>
      <c r="B28" s="19">
        <v>1346252194</v>
      </c>
      <c r="C28">
        <v>285</v>
      </c>
      <c r="D28">
        <v>2215</v>
      </c>
      <c r="E28" s="1">
        <v>0.114</v>
      </c>
      <c r="F28" s="1">
        <v>0.88600000000000001</v>
      </c>
      <c r="G28">
        <v>15</v>
      </c>
      <c r="H28">
        <v>13</v>
      </c>
      <c r="I28">
        <v>76</v>
      </c>
      <c r="J28" s="20">
        <v>0.26666699999999999</v>
      </c>
      <c r="K28">
        <v>8</v>
      </c>
      <c r="L28">
        <v>25.25</v>
      </c>
      <c r="M28">
        <v>65</v>
      </c>
      <c r="N28">
        <v>6</v>
      </c>
      <c r="O28">
        <v>202</v>
      </c>
      <c r="P28" s="1">
        <v>0.70877199999999996</v>
      </c>
    </row>
    <row r="29" spans="1:16" x14ac:dyDescent="0.25">
      <c r="A29" t="s">
        <v>16</v>
      </c>
      <c r="B29" s="19">
        <v>394686466</v>
      </c>
      <c r="C29">
        <v>277</v>
      </c>
      <c r="D29">
        <v>2223</v>
      </c>
      <c r="E29" s="1">
        <v>0.1108</v>
      </c>
      <c r="F29" s="1">
        <v>0.88919999999999999</v>
      </c>
      <c r="G29">
        <v>10</v>
      </c>
      <c r="H29">
        <v>10</v>
      </c>
      <c r="I29">
        <v>64</v>
      </c>
      <c r="J29" s="20">
        <v>0.231047</v>
      </c>
      <c r="K29">
        <v>10</v>
      </c>
      <c r="L29">
        <v>20.2</v>
      </c>
      <c r="M29">
        <v>52</v>
      </c>
      <c r="N29">
        <v>7</v>
      </c>
      <c r="O29">
        <v>202</v>
      </c>
      <c r="P29" s="1">
        <v>0.72924199999999995</v>
      </c>
    </row>
    <row r="30" spans="1:16" x14ac:dyDescent="0.25">
      <c r="A30" t="s">
        <v>16</v>
      </c>
      <c r="B30" s="19">
        <v>1325095972</v>
      </c>
      <c r="C30">
        <v>104</v>
      </c>
      <c r="D30">
        <v>2396</v>
      </c>
      <c r="E30" s="1">
        <v>4.1599999999999998E-2</v>
      </c>
      <c r="F30" s="1">
        <v>0.95840000000000003</v>
      </c>
      <c r="G30">
        <v>5</v>
      </c>
      <c r="H30">
        <v>13</v>
      </c>
      <c r="I30">
        <v>18</v>
      </c>
      <c r="J30" s="20">
        <v>0.17307700000000001</v>
      </c>
      <c r="K30">
        <v>7</v>
      </c>
      <c r="L30">
        <v>7.1428570000000002</v>
      </c>
      <c r="M30">
        <v>11</v>
      </c>
      <c r="N30">
        <v>4</v>
      </c>
      <c r="O30">
        <v>50</v>
      </c>
      <c r="P30" s="1">
        <v>0.480769</v>
      </c>
    </row>
    <row r="31" spans="1:16" x14ac:dyDescent="0.25">
      <c r="A31" t="s">
        <v>16</v>
      </c>
      <c r="B31" s="19">
        <v>1585790455</v>
      </c>
      <c r="C31">
        <v>451</v>
      </c>
      <c r="D31">
        <v>2049</v>
      </c>
      <c r="E31" s="1">
        <v>0.1804</v>
      </c>
      <c r="F31" s="1">
        <v>0.8196</v>
      </c>
      <c r="G31">
        <v>21</v>
      </c>
      <c r="H31">
        <v>11</v>
      </c>
      <c r="I31">
        <v>128</v>
      </c>
      <c r="J31" s="20">
        <v>0.28381400000000001</v>
      </c>
      <c r="K31">
        <v>12</v>
      </c>
      <c r="L31">
        <v>26.333333</v>
      </c>
      <c r="M31">
        <v>65</v>
      </c>
      <c r="N31">
        <v>4</v>
      </c>
      <c r="O31">
        <v>316</v>
      </c>
      <c r="P31" s="1">
        <v>0.70066499999999998</v>
      </c>
    </row>
    <row r="32" spans="1:16" x14ac:dyDescent="0.25">
      <c r="A32" t="s">
        <v>16</v>
      </c>
      <c r="B32" s="19">
        <v>1788936189</v>
      </c>
      <c r="C32">
        <v>294</v>
      </c>
      <c r="D32">
        <v>2206</v>
      </c>
      <c r="E32" s="1">
        <v>0.1176</v>
      </c>
      <c r="F32" s="1">
        <v>0.88239999999999996</v>
      </c>
      <c r="G32">
        <v>14</v>
      </c>
      <c r="H32">
        <v>17</v>
      </c>
      <c r="I32">
        <v>82</v>
      </c>
      <c r="J32" s="20">
        <v>0.27891199999999999</v>
      </c>
      <c r="K32">
        <v>11</v>
      </c>
      <c r="L32">
        <v>17</v>
      </c>
      <c r="M32">
        <v>68</v>
      </c>
      <c r="N32">
        <v>2</v>
      </c>
      <c r="O32">
        <v>187</v>
      </c>
      <c r="P32" s="1">
        <v>0.63605400000000001</v>
      </c>
    </row>
    <row r="33" spans="1:16" x14ac:dyDescent="0.25">
      <c r="A33" t="s">
        <v>16</v>
      </c>
      <c r="B33" s="19">
        <v>868363485</v>
      </c>
      <c r="C33">
        <v>196</v>
      </c>
      <c r="D33">
        <v>2304</v>
      </c>
      <c r="E33" s="1">
        <v>7.8399999999999997E-2</v>
      </c>
      <c r="F33" s="1">
        <v>0.92159999999999997</v>
      </c>
      <c r="G33">
        <v>11</v>
      </c>
      <c r="H33">
        <v>15</v>
      </c>
      <c r="I33">
        <v>51</v>
      </c>
      <c r="J33" s="20">
        <v>0.26020399999999999</v>
      </c>
      <c r="K33">
        <v>10</v>
      </c>
      <c r="L33">
        <v>12.4</v>
      </c>
      <c r="M33">
        <v>40</v>
      </c>
      <c r="N33">
        <v>2</v>
      </c>
      <c r="O33">
        <v>124</v>
      </c>
      <c r="P33" s="1">
        <v>0.63265300000000002</v>
      </c>
    </row>
    <row r="34" spans="1:16" x14ac:dyDescent="0.25">
      <c r="A34" t="s">
        <v>16</v>
      </c>
      <c r="B34" s="19">
        <v>1976272082</v>
      </c>
      <c r="C34">
        <v>269</v>
      </c>
      <c r="D34">
        <v>2231</v>
      </c>
      <c r="E34" s="1">
        <v>0.1076</v>
      </c>
      <c r="F34" s="1">
        <v>0.89239999999999997</v>
      </c>
      <c r="G34">
        <v>10</v>
      </c>
      <c r="H34">
        <v>13</v>
      </c>
      <c r="I34">
        <v>63</v>
      </c>
      <c r="J34" s="20">
        <v>0.23420099999999999</v>
      </c>
      <c r="K34">
        <v>10</v>
      </c>
      <c r="L34">
        <v>18.100000000000001</v>
      </c>
      <c r="M34">
        <v>51</v>
      </c>
      <c r="N34">
        <v>2</v>
      </c>
      <c r="O34">
        <v>181</v>
      </c>
      <c r="P34" s="1">
        <v>0.67286199999999996</v>
      </c>
    </row>
    <row r="35" spans="1:16" x14ac:dyDescent="0.25">
      <c r="A35" t="s">
        <v>16</v>
      </c>
      <c r="B35" s="19">
        <v>2072692218</v>
      </c>
      <c r="C35">
        <v>284</v>
      </c>
      <c r="D35">
        <v>2216</v>
      </c>
      <c r="E35" s="1">
        <v>0.11360000000000001</v>
      </c>
      <c r="F35" s="1">
        <v>0.88639999999999997</v>
      </c>
      <c r="G35">
        <v>11</v>
      </c>
      <c r="H35">
        <v>15</v>
      </c>
      <c r="I35">
        <v>70</v>
      </c>
      <c r="J35" s="20">
        <v>0.246479</v>
      </c>
      <c r="K35">
        <v>10</v>
      </c>
      <c r="L35">
        <v>19.600000000000001</v>
      </c>
      <c r="M35">
        <v>56</v>
      </c>
      <c r="N35">
        <v>4</v>
      </c>
      <c r="O35">
        <v>196</v>
      </c>
      <c r="P35" s="1">
        <v>0.690141</v>
      </c>
    </row>
    <row r="36" spans="1:16" x14ac:dyDescent="0.25">
      <c r="A36" t="s">
        <v>16</v>
      </c>
      <c r="B36" s="19">
        <v>1205625098</v>
      </c>
      <c r="C36">
        <v>321</v>
      </c>
      <c r="D36">
        <v>2179</v>
      </c>
      <c r="E36" s="1">
        <v>0.12839999999999999</v>
      </c>
      <c r="F36" s="1">
        <v>0.87160000000000004</v>
      </c>
      <c r="G36">
        <v>16</v>
      </c>
      <c r="H36">
        <v>12</v>
      </c>
      <c r="I36">
        <v>84</v>
      </c>
      <c r="J36" s="20">
        <v>0.26168200000000003</v>
      </c>
      <c r="K36">
        <v>10</v>
      </c>
      <c r="L36">
        <v>24</v>
      </c>
      <c r="M36">
        <v>72</v>
      </c>
      <c r="N36">
        <v>3</v>
      </c>
      <c r="O36">
        <v>240</v>
      </c>
      <c r="P36" s="1">
        <v>0.747664</v>
      </c>
    </row>
    <row r="37" spans="1:16" x14ac:dyDescent="0.25">
      <c r="A37" t="s">
        <v>16</v>
      </c>
      <c r="B37" s="19">
        <v>883355511</v>
      </c>
      <c r="C37">
        <v>170</v>
      </c>
      <c r="D37">
        <v>2330</v>
      </c>
      <c r="E37" s="1">
        <v>6.8000000000000005E-2</v>
      </c>
      <c r="F37" s="1">
        <v>0.93200000000000005</v>
      </c>
      <c r="G37">
        <v>10</v>
      </c>
      <c r="H37">
        <v>10</v>
      </c>
      <c r="I37">
        <v>60</v>
      </c>
      <c r="J37" s="20">
        <v>0.352941</v>
      </c>
      <c r="K37">
        <v>7</v>
      </c>
      <c r="L37">
        <v>15.857143000000001</v>
      </c>
      <c r="M37">
        <v>48</v>
      </c>
      <c r="N37">
        <v>5</v>
      </c>
      <c r="O37">
        <v>111</v>
      </c>
      <c r="P37" s="1">
        <v>0.65294099999999999</v>
      </c>
    </row>
    <row r="38" spans="1:16" x14ac:dyDescent="0.25">
      <c r="A38" t="s">
        <v>16</v>
      </c>
      <c r="B38" s="19">
        <v>1628430953</v>
      </c>
      <c r="C38">
        <v>205</v>
      </c>
      <c r="D38">
        <v>2295</v>
      </c>
      <c r="E38" s="1">
        <v>8.2000000000000003E-2</v>
      </c>
      <c r="F38" s="1">
        <v>0.91800000000000004</v>
      </c>
      <c r="G38">
        <v>16</v>
      </c>
      <c r="H38">
        <v>8</v>
      </c>
      <c r="I38">
        <v>111</v>
      </c>
      <c r="J38" s="20">
        <v>0.54146300000000003</v>
      </c>
      <c r="K38">
        <v>6</v>
      </c>
      <c r="L38">
        <v>25</v>
      </c>
      <c r="M38">
        <v>96</v>
      </c>
      <c r="N38">
        <v>4</v>
      </c>
      <c r="O38">
        <v>150</v>
      </c>
      <c r="P38" s="1">
        <v>0.731707</v>
      </c>
    </row>
    <row r="39" spans="1:16" x14ac:dyDescent="0.25">
      <c r="A39" t="s">
        <v>16</v>
      </c>
      <c r="B39" s="19">
        <v>1022789921</v>
      </c>
      <c r="C39">
        <v>348</v>
      </c>
      <c r="D39">
        <v>2152</v>
      </c>
      <c r="E39" s="1">
        <v>0.13919999999999999</v>
      </c>
      <c r="F39" s="1">
        <v>0.86080000000000001</v>
      </c>
      <c r="G39">
        <v>19</v>
      </c>
      <c r="H39">
        <v>9</v>
      </c>
      <c r="I39">
        <v>110</v>
      </c>
      <c r="J39" s="20">
        <v>0.31609199999999998</v>
      </c>
      <c r="K39">
        <v>10</v>
      </c>
      <c r="L39">
        <v>26.3</v>
      </c>
      <c r="M39">
        <v>93</v>
      </c>
      <c r="N39">
        <v>4</v>
      </c>
      <c r="O39">
        <v>263</v>
      </c>
      <c r="P39" s="1">
        <v>0.75574699999999995</v>
      </c>
    </row>
    <row r="40" spans="1:16" x14ac:dyDescent="0.25">
      <c r="A40" t="s">
        <v>16</v>
      </c>
      <c r="B40" s="19">
        <v>721488510</v>
      </c>
      <c r="C40">
        <v>228</v>
      </c>
      <c r="D40">
        <v>2272</v>
      </c>
      <c r="E40" s="1">
        <v>9.1200000000000003E-2</v>
      </c>
      <c r="F40" s="1">
        <v>0.90880000000000005</v>
      </c>
      <c r="G40">
        <v>11</v>
      </c>
      <c r="H40">
        <v>11</v>
      </c>
      <c r="I40">
        <v>63</v>
      </c>
      <c r="J40" s="20">
        <v>0.27631600000000001</v>
      </c>
      <c r="K40">
        <v>9</v>
      </c>
      <c r="L40">
        <v>17.444444000000001</v>
      </c>
      <c r="M40">
        <v>51</v>
      </c>
      <c r="N40">
        <v>2</v>
      </c>
      <c r="O40">
        <v>157</v>
      </c>
      <c r="P40" s="1">
        <v>0.68859599999999999</v>
      </c>
    </row>
    <row r="41" spans="1:16" x14ac:dyDescent="0.25">
      <c r="A41" t="s">
        <v>16</v>
      </c>
      <c r="B41" s="19">
        <v>1754283599</v>
      </c>
      <c r="C41">
        <v>182</v>
      </c>
      <c r="D41">
        <v>2318</v>
      </c>
      <c r="E41" s="1">
        <v>7.2800000000000004E-2</v>
      </c>
      <c r="F41" s="1">
        <v>0.92720000000000002</v>
      </c>
      <c r="G41">
        <v>9</v>
      </c>
      <c r="H41">
        <v>11</v>
      </c>
      <c r="I41">
        <v>43</v>
      </c>
      <c r="J41" s="20">
        <v>0.236264</v>
      </c>
      <c r="K41">
        <v>9</v>
      </c>
      <c r="L41">
        <v>13.222222</v>
      </c>
      <c r="M41">
        <v>35</v>
      </c>
      <c r="N41">
        <v>4</v>
      </c>
      <c r="O41">
        <v>119</v>
      </c>
      <c r="P41" s="1">
        <v>0.65384600000000004</v>
      </c>
    </row>
    <row r="42" spans="1:16" x14ac:dyDescent="0.25">
      <c r="A42" t="s">
        <v>16</v>
      </c>
      <c r="B42" s="19">
        <v>199568426</v>
      </c>
      <c r="C42">
        <v>233</v>
      </c>
      <c r="D42">
        <v>2267</v>
      </c>
      <c r="E42" s="1">
        <v>9.3200000000000005E-2</v>
      </c>
      <c r="F42" s="1">
        <v>0.90680000000000005</v>
      </c>
      <c r="G42">
        <v>12</v>
      </c>
      <c r="H42">
        <v>10</v>
      </c>
      <c r="I42">
        <v>52</v>
      </c>
      <c r="J42" s="20">
        <v>0.22317600000000001</v>
      </c>
      <c r="K42">
        <v>10</v>
      </c>
      <c r="L42">
        <v>16</v>
      </c>
      <c r="M42">
        <v>41</v>
      </c>
      <c r="N42">
        <v>2</v>
      </c>
      <c r="O42">
        <v>160</v>
      </c>
      <c r="P42" s="1">
        <v>0.68669500000000006</v>
      </c>
    </row>
    <row r="43" spans="1:16" x14ac:dyDescent="0.25">
      <c r="A43" t="s">
        <v>16</v>
      </c>
      <c r="B43" s="19">
        <v>967540800</v>
      </c>
      <c r="C43">
        <v>410</v>
      </c>
      <c r="D43">
        <v>2090</v>
      </c>
      <c r="E43" s="1">
        <v>0.16400000000000001</v>
      </c>
      <c r="F43" s="1">
        <v>0.83599999999999997</v>
      </c>
      <c r="G43">
        <v>15</v>
      </c>
      <c r="H43">
        <v>11</v>
      </c>
      <c r="I43">
        <v>71</v>
      </c>
      <c r="J43" s="20">
        <v>0.17317099999999999</v>
      </c>
      <c r="K43">
        <v>12</v>
      </c>
      <c r="L43">
        <v>25.666667</v>
      </c>
      <c r="M43">
        <v>57</v>
      </c>
      <c r="N43">
        <v>4</v>
      </c>
      <c r="O43">
        <v>308</v>
      </c>
      <c r="P43" s="1">
        <v>0.75122</v>
      </c>
    </row>
    <row r="44" spans="1:16" x14ac:dyDescent="0.25">
      <c r="A44" t="s">
        <v>16</v>
      </c>
      <c r="B44" s="19">
        <v>1142227704</v>
      </c>
      <c r="C44">
        <v>235</v>
      </c>
      <c r="D44">
        <v>2265</v>
      </c>
      <c r="E44" s="1">
        <v>9.4E-2</v>
      </c>
      <c r="F44" s="1">
        <v>0.90600000000000003</v>
      </c>
      <c r="G44">
        <v>12</v>
      </c>
      <c r="H44">
        <v>11</v>
      </c>
      <c r="I44">
        <v>48</v>
      </c>
      <c r="J44" s="20">
        <v>0.20425499999999999</v>
      </c>
      <c r="K44">
        <v>11</v>
      </c>
      <c r="L44">
        <v>14.181818</v>
      </c>
      <c r="M44">
        <v>39</v>
      </c>
      <c r="N44">
        <v>2</v>
      </c>
      <c r="O44">
        <v>156</v>
      </c>
      <c r="P44" s="1">
        <v>0.66383000000000003</v>
      </c>
    </row>
    <row r="45" spans="1:16" x14ac:dyDescent="0.25">
      <c r="A45" t="s">
        <v>16</v>
      </c>
      <c r="B45" s="19">
        <v>216379697</v>
      </c>
      <c r="C45">
        <v>254</v>
      </c>
      <c r="D45">
        <v>2246</v>
      </c>
      <c r="E45" s="1">
        <v>0.1016</v>
      </c>
      <c r="F45" s="1">
        <v>0.89839999999999998</v>
      </c>
      <c r="G45">
        <v>14</v>
      </c>
      <c r="H45">
        <v>11</v>
      </c>
      <c r="I45">
        <v>61</v>
      </c>
      <c r="J45" s="20">
        <v>0.24015700000000001</v>
      </c>
      <c r="K45">
        <v>11</v>
      </c>
      <c r="L45">
        <v>14.818182</v>
      </c>
      <c r="M45">
        <v>50</v>
      </c>
      <c r="N45">
        <v>4</v>
      </c>
      <c r="O45">
        <v>163</v>
      </c>
      <c r="P45" s="1">
        <v>0.64173199999999997</v>
      </c>
    </row>
    <row r="46" spans="1:16" x14ac:dyDescent="0.25">
      <c r="A46" t="s">
        <v>16</v>
      </c>
      <c r="B46" s="19">
        <v>838571913</v>
      </c>
      <c r="C46">
        <v>261</v>
      </c>
      <c r="D46">
        <v>2239</v>
      </c>
      <c r="E46" s="1">
        <v>0.10440000000000001</v>
      </c>
      <c r="F46" s="1">
        <v>0.89559999999999995</v>
      </c>
      <c r="G46">
        <v>10</v>
      </c>
      <c r="H46">
        <v>13</v>
      </c>
      <c r="I46">
        <v>50</v>
      </c>
      <c r="J46" s="20">
        <v>0.19157099999999999</v>
      </c>
      <c r="K46">
        <v>11</v>
      </c>
      <c r="L46">
        <v>16</v>
      </c>
      <c r="M46">
        <v>39</v>
      </c>
      <c r="N46">
        <v>4</v>
      </c>
      <c r="O46">
        <v>176</v>
      </c>
      <c r="P46" s="1">
        <v>0.67432999999999998</v>
      </c>
    </row>
    <row r="47" spans="1:16" x14ac:dyDescent="0.25">
      <c r="A47" t="s">
        <v>16</v>
      </c>
      <c r="B47" s="19">
        <v>493930728</v>
      </c>
      <c r="C47">
        <v>280</v>
      </c>
      <c r="D47">
        <v>2220</v>
      </c>
      <c r="E47" s="1">
        <v>0.112</v>
      </c>
      <c r="F47" s="1">
        <v>0.88800000000000001</v>
      </c>
      <c r="G47">
        <v>17</v>
      </c>
      <c r="H47">
        <v>12</v>
      </c>
      <c r="I47">
        <v>86</v>
      </c>
      <c r="J47" s="20">
        <v>0.307143</v>
      </c>
      <c r="K47">
        <v>9</v>
      </c>
      <c r="L47">
        <v>22.222221999999999</v>
      </c>
      <c r="M47">
        <v>73</v>
      </c>
      <c r="N47">
        <v>4</v>
      </c>
      <c r="O47">
        <v>200</v>
      </c>
      <c r="P47" s="1">
        <v>0.71428599999999998</v>
      </c>
    </row>
    <row r="48" spans="1:16" x14ac:dyDescent="0.25">
      <c r="A48" t="s">
        <v>16</v>
      </c>
      <c r="B48" s="19">
        <v>1237307291</v>
      </c>
      <c r="C48">
        <v>162</v>
      </c>
      <c r="D48">
        <v>2338</v>
      </c>
      <c r="E48" s="1">
        <v>6.4799999999999996E-2</v>
      </c>
      <c r="F48" s="1">
        <v>0.93520000000000003</v>
      </c>
      <c r="G48">
        <v>15</v>
      </c>
      <c r="H48">
        <v>9</v>
      </c>
      <c r="I48">
        <v>57</v>
      </c>
      <c r="J48" s="20">
        <v>0.351852</v>
      </c>
      <c r="K48">
        <v>5</v>
      </c>
      <c r="L48">
        <v>21.4</v>
      </c>
      <c r="M48">
        <v>36</v>
      </c>
      <c r="N48">
        <v>4</v>
      </c>
      <c r="O48">
        <v>107</v>
      </c>
      <c r="P48" s="1">
        <v>0.66049400000000003</v>
      </c>
    </row>
    <row r="49" spans="1:16" x14ac:dyDescent="0.25">
      <c r="A49" t="s">
        <v>16</v>
      </c>
      <c r="B49" s="19">
        <v>1754238503</v>
      </c>
      <c r="C49">
        <v>232</v>
      </c>
      <c r="D49">
        <v>2268</v>
      </c>
      <c r="E49" s="1">
        <v>9.2799999999999994E-2</v>
      </c>
      <c r="F49" s="1">
        <v>0.90720000000000001</v>
      </c>
      <c r="G49">
        <v>14</v>
      </c>
      <c r="H49">
        <v>13</v>
      </c>
      <c r="I49">
        <v>79</v>
      </c>
      <c r="J49" s="20">
        <v>0.34051700000000001</v>
      </c>
      <c r="K49">
        <v>9</v>
      </c>
      <c r="L49">
        <v>16</v>
      </c>
      <c r="M49">
        <v>59</v>
      </c>
      <c r="N49">
        <v>2</v>
      </c>
      <c r="O49">
        <v>144</v>
      </c>
      <c r="P49" s="1">
        <v>0.62068999999999996</v>
      </c>
    </row>
    <row r="50" spans="1:16" x14ac:dyDescent="0.25">
      <c r="A50" t="s">
        <v>16</v>
      </c>
      <c r="B50" s="19">
        <v>1159664618</v>
      </c>
      <c r="C50">
        <v>268</v>
      </c>
      <c r="D50">
        <v>2232</v>
      </c>
      <c r="E50" s="1">
        <v>0.1072</v>
      </c>
      <c r="F50" s="1">
        <v>0.89280000000000004</v>
      </c>
      <c r="G50">
        <v>15</v>
      </c>
      <c r="H50">
        <v>12</v>
      </c>
      <c r="I50">
        <v>61</v>
      </c>
      <c r="J50" s="20">
        <v>0.22761200000000001</v>
      </c>
      <c r="K50">
        <v>11</v>
      </c>
      <c r="L50">
        <v>16.272727</v>
      </c>
      <c r="M50">
        <v>40</v>
      </c>
      <c r="N50">
        <v>4</v>
      </c>
      <c r="O50">
        <v>179</v>
      </c>
      <c r="P50" s="1">
        <v>0.66791</v>
      </c>
    </row>
    <row r="51" spans="1:16" x14ac:dyDescent="0.25">
      <c r="A51" t="s">
        <v>16</v>
      </c>
      <c r="B51" s="19">
        <v>91248196</v>
      </c>
      <c r="C51">
        <v>248</v>
      </c>
      <c r="D51">
        <v>2252</v>
      </c>
      <c r="E51" s="1">
        <v>9.9199999999999997E-2</v>
      </c>
      <c r="F51" s="1">
        <v>0.90080000000000005</v>
      </c>
      <c r="G51">
        <v>13</v>
      </c>
      <c r="H51">
        <v>14</v>
      </c>
      <c r="I51">
        <v>73</v>
      </c>
      <c r="J51" s="20">
        <v>0.29435499999999998</v>
      </c>
      <c r="K51">
        <v>8</v>
      </c>
      <c r="L51">
        <v>20.5</v>
      </c>
      <c r="M51">
        <v>58</v>
      </c>
      <c r="N51">
        <v>3</v>
      </c>
      <c r="O51">
        <v>164</v>
      </c>
      <c r="P51" s="1">
        <v>0.66129000000000004</v>
      </c>
    </row>
    <row r="52" spans="1:16" x14ac:dyDescent="0.25">
      <c r="A52" t="s">
        <v>26</v>
      </c>
      <c r="B52"/>
      <c r="C52">
        <f>SUBTOTAL(101,CA8_wall70_it5_neigh5[floors])</f>
        <v>258.45999999999998</v>
      </c>
      <c r="D52">
        <f>SUBTOTAL(101,CA8_wall70_it5_neigh5[walls])</f>
        <v>2241.54</v>
      </c>
      <c r="E52" s="2">
        <f>SUBTOTAL(101,CA8_wall70_it5_neigh5[floor_percent])</f>
        <v>0.10338399999999998</v>
      </c>
      <c r="F52" s="2">
        <f>SUBTOTAL(101,CA8_wall70_it5_neigh5[wall_percent])</f>
        <v>0.89661599999999997</v>
      </c>
      <c r="G52">
        <f>SUBTOTAL(101,CA8_wall70_it5_neigh5[longest_shortest_path])</f>
        <v>12.84</v>
      </c>
      <c r="H52">
        <f>SUBTOTAL(101,CA8_wall70_it5_neigh5[component_count])</f>
        <v>12.34</v>
      </c>
      <c r="I52">
        <f>SUBTOTAL(101,CA8_wall70_it5_neigh5[max_component_size])</f>
        <v>69.959999999999994</v>
      </c>
      <c r="J52">
        <f>SUBTOTAL(101,CA8_wall70_it5_neigh5[connectivity_ratio])</f>
        <v>0.27166804</v>
      </c>
      <c r="K52">
        <f>SUBTOTAL(101,CA8_wall70_it5_neigh5[room_count])</f>
        <v>9.9</v>
      </c>
      <c r="L52">
        <f>SUBTOTAL(101,CA8_wall70_it5_neigh5[avg_room_size])</f>
        <v>17.896422959999999</v>
      </c>
      <c r="M52">
        <f>SUBTOTAL(101,CA8_wall70_it5_neigh5[max_room_size])</f>
        <v>55.52</v>
      </c>
      <c r="N52">
        <f>SUBTOTAL(101,CA8_wall70_it5_neigh5[min_room_size])</f>
        <v>3.28</v>
      </c>
      <c r="O52">
        <f>SUBTOTAL(101,CA8_wall70_it5_neigh5[room_tiles])</f>
        <v>175.7</v>
      </c>
      <c r="P52" s="2">
        <f>SUBTOTAL(101,CA8_wall70_it5_neigh5[room_ratio])</f>
        <v>0.66975586000000009</v>
      </c>
    </row>
    <row r="53" spans="1:16" x14ac:dyDescent="0.25">
      <c r="A53" s="22" t="s">
        <v>42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4B63-CE73-493F-A9CC-5440D8CDEBF8}">
  <dimension ref="A1:P53"/>
  <sheetViews>
    <sheetView topLeftCell="A22" workbookViewId="0">
      <selection activeCell="A53" sqref="A53:F53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1729187570</v>
      </c>
      <c r="C2">
        <v>292</v>
      </c>
      <c r="D2">
        <v>2208</v>
      </c>
      <c r="E2" s="1">
        <v>0.1168</v>
      </c>
      <c r="F2" s="1">
        <v>0.88319999999999999</v>
      </c>
      <c r="G2">
        <v>21</v>
      </c>
      <c r="H2">
        <v>13</v>
      </c>
      <c r="I2">
        <v>94</v>
      </c>
      <c r="J2" s="20">
        <v>0.32191799999999998</v>
      </c>
      <c r="K2">
        <v>12</v>
      </c>
      <c r="L2">
        <v>16.333333</v>
      </c>
      <c r="M2">
        <v>40</v>
      </c>
      <c r="N2">
        <v>1</v>
      </c>
      <c r="O2">
        <v>196</v>
      </c>
      <c r="P2" s="1">
        <v>0.67123299999999997</v>
      </c>
    </row>
    <row r="3" spans="1:16" x14ac:dyDescent="0.25">
      <c r="A3" t="s">
        <v>16</v>
      </c>
      <c r="B3" s="19">
        <v>1699473516</v>
      </c>
      <c r="C3">
        <v>122</v>
      </c>
      <c r="D3">
        <v>2378</v>
      </c>
      <c r="E3" s="1">
        <v>4.8800000000000003E-2</v>
      </c>
      <c r="F3" s="1">
        <v>0.95120000000000005</v>
      </c>
      <c r="G3">
        <v>7</v>
      </c>
      <c r="H3">
        <v>12</v>
      </c>
      <c r="I3">
        <v>26</v>
      </c>
      <c r="J3" s="20">
        <v>0.213115</v>
      </c>
      <c r="K3">
        <v>7</v>
      </c>
      <c r="L3">
        <v>9.7142859999999995</v>
      </c>
      <c r="M3">
        <v>19</v>
      </c>
      <c r="N3">
        <v>1</v>
      </c>
      <c r="O3">
        <v>68</v>
      </c>
      <c r="P3" s="1">
        <v>0.55737700000000001</v>
      </c>
    </row>
    <row r="4" spans="1:16" x14ac:dyDescent="0.25">
      <c r="A4" t="s">
        <v>16</v>
      </c>
      <c r="B4" s="19">
        <v>1069466258</v>
      </c>
      <c r="C4">
        <v>352</v>
      </c>
      <c r="D4">
        <v>2148</v>
      </c>
      <c r="E4" s="1">
        <v>0.14080000000000001</v>
      </c>
      <c r="F4" s="1">
        <v>0.85919999999999996</v>
      </c>
      <c r="G4">
        <v>16</v>
      </c>
      <c r="H4">
        <v>17</v>
      </c>
      <c r="I4">
        <v>136</v>
      </c>
      <c r="J4" s="20">
        <v>0.38636399999999999</v>
      </c>
      <c r="K4">
        <v>12</v>
      </c>
      <c r="L4">
        <v>18.916667</v>
      </c>
      <c r="M4">
        <v>97</v>
      </c>
      <c r="N4">
        <v>1</v>
      </c>
      <c r="O4">
        <v>227</v>
      </c>
      <c r="P4" s="1">
        <v>0.64488599999999996</v>
      </c>
    </row>
    <row r="5" spans="1:16" x14ac:dyDescent="0.25">
      <c r="A5" t="s">
        <v>16</v>
      </c>
      <c r="B5" s="19">
        <v>2128964405</v>
      </c>
      <c r="C5">
        <v>279</v>
      </c>
      <c r="D5">
        <v>2221</v>
      </c>
      <c r="E5" s="1">
        <v>0.1116</v>
      </c>
      <c r="F5" s="1">
        <v>0.88839999999999997</v>
      </c>
      <c r="G5">
        <v>9</v>
      </c>
      <c r="H5">
        <v>17</v>
      </c>
      <c r="I5">
        <v>47</v>
      </c>
      <c r="J5" s="20">
        <v>0.168459</v>
      </c>
      <c r="K5">
        <v>12</v>
      </c>
      <c r="L5">
        <v>14.833333</v>
      </c>
      <c r="M5">
        <v>36</v>
      </c>
      <c r="N5">
        <v>1</v>
      </c>
      <c r="O5">
        <v>178</v>
      </c>
      <c r="P5" s="1">
        <v>0.63799300000000003</v>
      </c>
    </row>
    <row r="6" spans="1:16" x14ac:dyDescent="0.25">
      <c r="A6" t="s">
        <v>16</v>
      </c>
      <c r="B6" s="19">
        <v>1747418258</v>
      </c>
      <c r="C6">
        <v>245</v>
      </c>
      <c r="D6">
        <v>2255</v>
      </c>
      <c r="E6" s="1">
        <v>9.8000000000000004E-2</v>
      </c>
      <c r="F6" s="1">
        <v>0.90200000000000002</v>
      </c>
      <c r="G6">
        <v>11</v>
      </c>
      <c r="H6">
        <v>17</v>
      </c>
      <c r="I6">
        <v>48</v>
      </c>
      <c r="J6" s="20">
        <v>0.19591800000000001</v>
      </c>
      <c r="K6">
        <v>12</v>
      </c>
      <c r="L6">
        <v>12.333333</v>
      </c>
      <c r="M6">
        <v>37</v>
      </c>
      <c r="N6">
        <v>2</v>
      </c>
      <c r="O6">
        <v>148</v>
      </c>
      <c r="P6" s="1">
        <v>0.60408200000000001</v>
      </c>
    </row>
    <row r="7" spans="1:16" x14ac:dyDescent="0.25">
      <c r="A7" t="s">
        <v>16</v>
      </c>
      <c r="B7" s="19">
        <v>2035775257</v>
      </c>
      <c r="C7">
        <v>180</v>
      </c>
      <c r="D7">
        <v>2320</v>
      </c>
      <c r="E7" s="1">
        <v>7.1999999999999995E-2</v>
      </c>
      <c r="F7" s="1">
        <v>0.92800000000000005</v>
      </c>
      <c r="G7">
        <v>10</v>
      </c>
      <c r="H7">
        <v>12</v>
      </c>
      <c r="I7">
        <v>62</v>
      </c>
      <c r="J7" s="20">
        <v>0.34444399999999997</v>
      </c>
      <c r="K7">
        <v>8</v>
      </c>
      <c r="L7">
        <v>13.875</v>
      </c>
      <c r="M7">
        <v>49</v>
      </c>
      <c r="N7">
        <v>2</v>
      </c>
      <c r="O7">
        <v>111</v>
      </c>
      <c r="P7" s="1">
        <v>0.61666699999999997</v>
      </c>
    </row>
    <row r="8" spans="1:16" x14ac:dyDescent="0.25">
      <c r="A8" t="s">
        <v>16</v>
      </c>
      <c r="B8" s="19">
        <v>733283903</v>
      </c>
      <c r="C8">
        <v>378</v>
      </c>
      <c r="D8">
        <v>2122</v>
      </c>
      <c r="E8" s="1">
        <v>0.1512</v>
      </c>
      <c r="F8" s="1">
        <v>0.8488</v>
      </c>
      <c r="G8">
        <v>19</v>
      </c>
      <c r="H8">
        <v>15</v>
      </c>
      <c r="I8">
        <v>125</v>
      </c>
      <c r="J8" s="20">
        <v>0.33068799999999998</v>
      </c>
      <c r="K8">
        <v>13</v>
      </c>
      <c r="L8">
        <v>19.923076999999999</v>
      </c>
      <c r="M8">
        <v>105</v>
      </c>
      <c r="N8">
        <v>4</v>
      </c>
      <c r="O8">
        <v>259</v>
      </c>
      <c r="P8" s="1">
        <v>0.68518500000000004</v>
      </c>
    </row>
    <row r="9" spans="1:16" x14ac:dyDescent="0.25">
      <c r="A9" t="s">
        <v>16</v>
      </c>
      <c r="B9" s="19">
        <v>1389046012</v>
      </c>
      <c r="C9">
        <v>371</v>
      </c>
      <c r="D9">
        <v>2129</v>
      </c>
      <c r="E9" s="1">
        <v>0.1484</v>
      </c>
      <c r="F9" s="1">
        <v>0.85160000000000002</v>
      </c>
      <c r="G9">
        <v>17</v>
      </c>
      <c r="H9">
        <v>15</v>
      </c>
      <c r="I9">
        <v>96</v>
      </c>
      <c r="J9" s="20">
        <v>0.25875999999999999</v>
      </c>
      <c r="K9">
        <v>13</v>
      </c>
      <c r="L9">
        <v>20.076923000000001</v>
      </c>
      <c r="M9">
        <v>77</v>
      </c>
      <c r="N9">
        <v>1</v>
      </c>
      <c r="O9">
        <v>261</v>
      </c>
      <c r="P9" s="1">
        <v>0.70350400000000002</v>
      </c>
    </row>
    <row r="10" spans="1:16" x14ac:dyDescent="0.25">
      <c r="A10" t="s">
        <v>16</v>
      </c>
      <c r="B10" s="19">
        <v>1715264631</v>
      </c>
      <c r="C10">
        <v>313</v>
      </c>
      <c r="D10">
        <v>2187</v>
      </c>
      <c r="E10" s="1">
        <v>0.12520000000000001</v>
      </c>
      <c r="F10" s="1">
        <v>0.87480000000000002</v>
      </c>
      <c r="G10">
        <v>14</v>
      </c>
      <c r="H10">
        <v>14</v>
      </c>
      <c r="I10">
        <v>101</v>
      </c>
      <c r="J10" s="20">
        <v>0.32268400000000003</v>
      </c>
      <c r="K10">
        <v>12</v>
      </c>
      <c r="L10">
        <v>17.416667</v>
      </c>
      <c r="M10">
        <v>52</v>
      </c>
      <c r="N10">
        <v>5</v>
      </c>
      <c r="O10">
        <v>209</v>
      </c>
      <c r="P10" s="1">
        <v>0.66773199999999999</v>
      </c>
    </row>
    <row r="11" spans="1:16" x14ac:dyDescent="0.25">
      <c r="A11" t="s">
        <v>16</v>
      </c>
      <c r="B11" s="19">
        <v>1368869141</v>
      </c>
      <c r="C11">
        <v>304</v>
      </c>
      <c r="D11">
        <v>2196</v>
      </c>
      <c r="E11" s="1">
        <v>0.1216</v>
      </c>
      <c r="F11" s="1">
        <v>0.87839999999999996</v>
      </c>
      <c r="G11">
        <v>16</v>
      </c>
      <c r="H11">
        <v>10</v>
      </c>
      <c r="I11">
        <v>133</v>
      </c>
      <c r="J11" s="20">
        <v>0.4375</v>
      </c>
      <c r="K11">
        <v>9</v>
      </c>
      <c r="L11">
        <v>24.888888999999999</v>
      </c>
      <c r="M11">
        <v>110</v>
      </c>
      <c r="N11">
        <v>1</v>
      </c>
      <c r="O11">
        <v>224</v>
      </c>
      <c r="P11" s="1">
        <v>0.736842</v>
      </c>
    </row>
    <row r="12" spans="1:16" x14ac:dyDescent="0.25">
      <c r="A12" t="s">
        <v>16</v>
      </c>
      <c r="B12" s="19">
        <v>446349506</v>
      </c>
      <c r="C12">
        <v>282</v>
      </c>
      <c r="D12">
        <v>2218</v>
      </c>
      <c r="E12" s="1">
        <v>0.1128</v>
      </c>
      <c r="F12" s="1">
        <v>0.88719999999999999</v>
      </c>
      <c r="G12">
        <v>10</v>
      </c>
      <c r="H12">
        <v>15</v>
      </c>
      <c r="I12">
        <v>48</v>
      </c>
      <c r="J12" s="20">
        <v>0.170213</v>
      </c>
      <c r="K12">
        <v>14</v>
      </c>
      <c r="L12">
        <v>12.285714</v>
      </c>
      <c r="M12">
        <v>36</v>
      </c>
      <c r="N12">
        <v>1</v>
      </c>
      <c r="O12">
        <v>172</v>
      </c>
      <c r="P12" s="1">
        <v>0.60992900000000005</v>
      </c>
    </row>
    <row r="13" spans="1:16" x14ac:dyDescent="0.25">
      <c r="A13" t="s">
        <v>16</v>
      </c>
      <c r="B13" s="19">
        <v>1108292249</v>
      </c>
      <c r="C13">
        <v>321</v>
      </c>
      <c r="D13">
        <v>2179</v>
      </c>
      <c r="E13" s="1">
        <v>0.12839999999999999</v>
      </c>
      <c r="F13" s="1">
        <v>0.87160000000000004</v>
      </c>
      <c r="G13">
        <v>12</v>
      </c>
      <c r="H13">
        <v>10</v>
      </c>
      <c r="I13">
        <v>65</v>
      </c>
      <c r="J13" s="20">
        <v>0.20249200000000001</v>
      </c>
      <c r="K13">
        <v>11</v>
      </c>
      <c r="L13">
        <v>20.545455</v>
      </c>
      <c r="M13">
        <v>52</v>
      </c>
      <c r="N13">
        <v>4</v>
      </c>
      <c r="O13">
        <v>226</v>
      </c>
      <c r="P13" s="1">
        <v>0.70404999999999995</v>
      </c>
    </row>
    <row r="14" spans="1:16" x14ac:dyDescent="0.25">
      <c r="A14" t="s">
        <v>16</v>
      </c>
      <c r="B14" s="19">
        <v>1052579782</v>
      </c>
      <c r="C14">
        <v>232</v>
      </c>
      <c r="D14">
        <v>2268</v>
      </c>
      <c r="E14" s="1">
        <v>9.2799999999999994E-2</v>
      </c>
      <c r="F14" s="1">
        <v>0.90720000000000001</v>
      </c>
      <c r="G14">
        <v>9</v>
      </c>
      <c r="H14">
        <v>18</v>
      </c>
      <c r="I14">
        <v>39</v>
      </c>
      <c r="J14" s="20">
        <v>0.168103</v>
      </c>
      <c r="K14">
        <v>13</v>
      </c>
      <c r="L14">
        <v>10.230769</v>
      </c>
      <c r="M14">
        <v>29</v>
      </c>
      <c r="N14">
        <v>1</v>
      </c>
      <c r="O14">
        <v>133</v>
      </c>
      <c r="P14" s="1">
        <v>0.57327600000000001</v>
      </c>
    </row>
    <row r="15" spans="1:16" x14ac:dyDescent="0.25">
      <c r="A15" t="s">
        <v>16</v>
      </c>
      <c r="B15" s="19">
        <v>278157268</v>
      </c>
      <c r="C15">
        <v>402</v>
      </c>
      <c r="D15">
        <v>2098</v>
      </c>
      <c r="E15" s="1">
        <v>0.1608</v>
      </c>
      <c r="F15" s="1">
        <v>0.83919999999999995</v>
      </c>
      <c r="G15">
        <v>14</v>
      </c>
      <c r="H15">
        <v>19</v>
      </c>
      <c r="I15">
        <v>83</v>
      </c>
      <c r="J15" s="20">
        <v>0.20646800000000001</v>
      </c>
      <c r="K15">
        <v>14</v>
      </c>
      <c r="L15">
        <v>19.142856999999999</v>
      </c>
      <c r="M15">
        <v>63</v>
      </c>
      <c r="N15">
        <v>1</v>
      </c>
      <c r="O15">
        <v>268</v>
      </c>
      <c r="P15" s="1">
        <v>0.66666700000000001</v>
      </c>
    </row>
    <row r="16" spans="1:16" x14ac:dyDescent="0.25">
      <c r="A16" t="s">
        <v>16</v>
      </c>
      <c r="B16" s="19">
        <v>1502480904</v>
      </c>
      <c r="C16">
        <v>250</v>
      </c>
      <c r="D16">
        <v>2250</v>
      </c>
      <c r="E16" s="1">
        <v>0.1</v>
      </c>
      <c r="F16" s="1">
        <v>0.9</v>
      </c>
      <c r="G16">
        <v>14</v>
      </c>
      <c r="H16">
        <v>19</v>
      </c>
      <c r="I16">
        <v>71</v>
      </c>
      <c r="J16" s="20">
        <v>0.28399999999999997</v>
      </c>
      <c r="K16">
        <v>10</v>
      </c>
      <c r="L16">
        <v>15.3</v>
      </c>
      <c r="M16">
        <v>58</v>
      </c>
      <c r="N16">
        <v>1</v>
      </c>
      <c r="O16">
        <v>153</v>
      </c>
      <c r="P16" s="1">
        <v>0.61199999999999999</v>
      </c>
    </row>
    <row r="17" spans="1:16" x14ac:dyDescent="0.25">
      <c r="A17" t="s">
        <v>16</v>
      </c>
      <c r="B17" s="19">
        <v>1316398027</v>
      </c>
      <c r="C17">
        <v>438</v>
      </c>
      <c r="D17">
        <v>2062</v>
      </c>
      <c r="E17" s="1">
        <v>0.17519999999999999</v>
      </c>
      <c r="F17" s="1">
        <v>0.82479999999999998</v>
      </c>
      <c r="G17">
        <v>20</v>
      </c>
      <c r="H17">
        <v>21</v>
      </c>
      <c r="I17">
        <v>123</v>
      </c>
      <c r="J17" s="20">
        <v>0.28082200000000002</v>
      </c>
      <c r="K17">
        <v>14</v>
      </c>
      <c r="L17">
        <v>21.571428999999998</v>
      </c>
      <c r="M17">
        <v>102</v>
      </c>
      <c r="N17">
        <v>2</v>
      </c>
      <c r="O17">
        <v>302</v>
      </c>
      <c r="P17" s="1">
        <v>0.68949800000000006</v>
      </c>
    </row>
    <row r="18" spans="1:16" x14ac:dyDescent="0.25">
      <c r="A18" t="s">
        <v>16</v>
      </c>
      <c r="B18" s="19">
        <v>275516532</v>
      </c>
      <c r="C18">
        <v>284</v>
      </c>
      <c r="D18">
        <v>2216</v>
      </c>
      <c r="E18" s="1">
        <v>0.11360000000000001</v>
      </c>
      <c r="F18" s="1">
        <v>0.88639999999999997</v>
      </c>
      <c r="G18">
        <v>16</v>
      </c>
      <c r="H18">
        <v>15</v>
      </c>
      <c r="I18">
        <v>87</v>
      </c>
      <c r="J18" s="20">
        <v>0.306338</v>
      </c>
      <c r="K18">
        <v>13</v>
      </c>
      <c r="L18">
        <v>13.769231</v>
      </c>
      <c r="M18">
        <v>69</v>
      </c>
      <c r="N18">
        <v>2</v>
      </c>
      <c r="O18">
        <v>179</v>
      </c>
      <c r="P18" s="1">
        <v>0.63028200000000001</v>
      </c>
    </row>
    <row r="19" spans="1:16" x14ac:dyDescent="0.25">
      <c r="A19" t="s">
        <v>16</v>
      </c>
      <c r="B19" s="19">
        <v>546019238</v>
      </c>
      <c r="C19">
        <v>384</v>
      </c>
      <c r="D19">
        <v>2116</v>
      </c>
      <c r="E19" s="1">
        <v>0.15359999999999999</v>
      </c>
      <c r="F19" s="1">
        <v>0.84640000000000004</v>
      </c>
      <c r="G19">
        <v>12</v>
      </c>
      <c r="H19">
        <v>20</v>
      </c>
      <c r="I19">
        <v>64</v>
      </c>
      <c r="J19" s="20">
        <v>0.16666700000000001</v>
      </c>
      <c r="K19">
        <v>14</v>
      </c>
      <c r="L19">
        <v>18.357143000000001</v>
      </c>
      <c r="M19">
        <v>53</v>
      </c>
      <c r="N19">
        <v>1</v>
      </c>
      <c r="O19">
        <v>257</v>
      </c>
      <c r="P19" s="1">
        <v>0.66927099999999995</v>
      </c>
    </row>
    <row r="20" spans="1:16" x14ac:dyDescent="0.25">
      <c r="A20" t="s">
        <v>16</v>
      </c>
      <c r="B20" s="19">
        <v>1197328630</v>
      </c>
      <c r="C20">
        <v>280</v>
      </c>
      <c r="D20">
        <v>2220</v>
      </c>
      <c r="E20" s="1">
        <v>0.112</v>
      </c>
      <c r="F20" s="1">
        <v>0.88800000000000001</v>
      </c>
      <c r="G20">
        <v>11</v>
      </c>
      <c r="H20">
        <v>20</v>
      </c>
      <c r="I20">
        <v>41</v>
      </c>
      <c r="J20" s="20">
        <v>0.146429</v>
      </c>
      <c r="K20">
        <v>13</v>
      </c>
      <c r="L20">
        <v>13.307691999999999</v>
      </c>
      <c r="M20">
        <v>31</v>
      </c>
      <c r="N20">
        <v>1</v>
      </c>
      <c r="O20">
        <v>173</v>
      </c>
      <c r="P20" s="1">
        <v>0.61785699999999999</v>
      </c>
    </row>
    <row r="21" spans="1:16" x14ac:dyDescent="0.25">
      <c r="A21" t="s">
        <v>16</v>
      </c>
      <c r="B21" s="19">
        <v>1307670167</v>
      </c>
      <c r="C21">
        <v>368</v>
      </c>
      <c r="D21">
        <v>2132</v>
      </c>
      <c r="E21" s="1">
        <v>0.1472</v>
      </c>
      <c r="F21" s="1">
        <v>0.8528</v>
      </c>
      <c r="G21">
        <v>17</v>
      </c>
      <c r="H21">
        <v>15</v>
      </c>
      <c r="I21">
        <v>101</v>
      </c>
      <c r="J21" s="20">
        <v>0.27445700000000001</v>
      </c>
      <c r="K21">
        <v>9</v>
      </c>
      <c r="L21">
        <v>27.888888999999999</v>
      </c>
      <c r="M21">
        <v>68</v>
      </c>
      <c r="N21">
        <v>3</v>
      </c>
      <c r="O21">
        <v>251</v>
      </c>
      <c r="P21" s="1">
        <v>0.68206500000000003</v>
      </c>
    </row>
    <row r="22" spans="1:16" x14ac:dyDescent="0.25">
      <c r="A22" t="s">
        <v>16</v>
      </c>
      <c r="B22" s="19">
        <v>1117485863</v>
      </c>
      <c r="C22">
        <v>225</v>
      </c>
      <c r="D22">
        <v>2275</v>
      </c>
      <c r="E22" s="1">
        <v>0.09</v>
      </c>
      <c r="F22" s="1">
        <v>0.91</v>
      </c>
      <c r="G22">
        <v>8</v>
      </c>
      <c r="H22">
        <v>22</v>
      </c>
      <c r="I22">
        <v>27</v>
      </c>
      <c r="J22" s="20">
        <v>0.12</v>
      </c>
      <c r="K22">
        <v>15</v>
      </c>
      <c r="L22">
        <v>7.0666669999999998</v>
      </c>
      <c r="M22">
        <v>19</v>
      </c>
      <c r="N22">
        <v>1</v>
      </c>
      <c r="O22">
        <v>106</v>
      </c>
      <c r="P22" s="1">
        <v>0.471111</v>
      </c>
    </row>
    <row r="23" spans="1:16" x14ac:dyDescent="0.25">
      <c r="A23" t="s">
        <v>16</v>
      </c>
      <c r="B23" s="19">
        <v>842813039</v>
      </c>
      <c r="C23">
        <v>217</v>
      </c>
      <c r="D23">
        <v>2283</v>
      </c>
      <c r="E23" s="1">
        <v>8.6800000000000002E-2</v>
      </c>
      <c r="F23" s="1">
        <v>0.91320000000000001</v>
      </c>
      <c r="G23">
        <v>12</v>
      </c>
      <c r="H23">
        <v>13</v>
      </c>
      <c r="I23">
        <v>48</v>
      </c>
      <c r="J23" s="20">
        <v>0.22119800000000001</v>
      </c>
      <c r="K23">
        <v>9</v>
      </c>
      <c r="L23">
        <v>15.444444000000001</v>
      </c>
      <c r="M23">
        <v>37</v>
      </c>
      <c r="N23">
        <v>4</v>
      </c>
      <c r="O23">
        <v>139</v>
      </c>
      <c r="P23" s="1">
        <v>0.64055300000000004</v>
      </c>
    </row>
    <row r="24" spans="1:16" x14ac:dyDescent="0.25">
      <c r="A24" t="s">
        <v>16</v>
      </c>
      <c r="B24" s="19">
        <v>1099666717</v>
      </c>
      <c r="C24">
        <v>217</v>
      </c>
      <c r="D24">
        <v>2283</v>
      </c>
      <c r="E24" s="1">
        <v>8.6800000000000002E-2</v>
      </c>
      <c r="F24" s="1">
        <v>0.91320000000000001</v>
      </c>
      <c r="G24">
        <v>11</v>
      </c>
      <c r="H24">
        <v>12</v>
      </c>
      <c r="I24">
        <v>49</v>
      </c>
      <c r="J24" s="20">
        <v>0.22580600000000001</v>
      </c>
      <c r="K24">
        <v>8</v>
      </c>
      <c r="L24">
        <v>17</v>
      </c>
      <c r="M24">
        <v>39</v>
      </c>
      <c r="N24">
        <v>2</v>
      </c>
      <c r="O24">
        <v>136</v>
      </c>
      <c r="P24" s="1">
        <v>0.62672799999999995</v>
      </c>
    </row>
    <row r="25" spans="1:16" x14ac:dyDescent="0.25">
      <c r="A25" t="s">
        <v>16</v>
      </c>
      <c r="B25" s="19">
        <v>1350597358</v>
      </c>
      <c r="C25">
        <v>201</v>
      </c>
      <c r="D25">
        <v>2299</v>
      </c>
      <c r="E25" s="1">
        <v>8.0399999999999999E-2</v>
      </c>
      <c r="F25" s="1">
        <v>0.91959999999999997</v>
      </c>
      <c r="G25">
        <v>9</v>
      </c>
      <c r="H25">
        <v>15</v>
      </c>
      <c r="I25">
        <v>35</v>
      </c>
      <c r="J25" s="20">
        <v>0.17412900000000001</v>
      </c>
      <c r="K25">
        <v>12</v>
      </c>
      <c r="L25">
        <v>8.9166670000000003</v>
      </c>
      <c r="M25">
        <v>24</v>
      </c>
      <c r="N25">
        <v>2</v>
      </c>
      <c r="O25">
        <v>107</v>
      </c>
      <c r="P25" s="1">
        <v>0.53233799999999998</v>
      </c>
    </row>
    <row r="26" spans="1:16" x14ac:dyDescent="0.25">
      <c r="A26" t="s">
        <v>16</v>
      </c>
      <c r="B26" s="19">
        <v>593804830</v>
      </c>
      <c r="C26">
        <v>222</v>
      </c>
      <c r="D26">
        <v>2278</v>
      </c>
      <c r="E26" s="1">
        <v>8.8800000000000004E-2</v>
      </c>
      <c r="F26" s="1">
        <v>0.91120000000000001</v>
      </c>
      <c r="G26">
        <v>16</v>
      </c>
      <c r="H26">
        <v>16</v>
      </c>
      <c r="I26">
        <v>105</v>
      </c>
      <c r="J26" s="20">
        <v>0.47297299999999998</v>
      </c>
      <c r="K26">
        <v>9</v>
      </c>
      <c r="L26">
        <v>15.111110999999999</v>
      </c>
      <c r="M26">
        <v>82</v>
      </c>
      <c r="N26">
        <v>1</v>
      </c>
      <c r="O26">
        <v>136</v>
      </c>
      <c r="P26" s="1">
        <v>0.61261299999999996</v>
      </c>
    </row>
    <row r="27" spans="1:16" x14ac:dyDescent="0.25">
      <c r="A27" t="s">
        <v>16</v>
      </c>
      <c r="B27" s="19">
        <v>343662175</v>
      </c>
      <c r="C27">
        <v>336</v>
      </c>
      <c r="D27">
        <v>2164</v>
      </c>
      <c r="E27" s="1">
        <v>0.13439999999999999</v>
      </c>
      <c r="F27" s="1">
        <v>0.86560000000000004</v>
      </c>
      <c r="G27">
        <v>14</v>
      </c>
      <c r="H27">
        <v>16</v>
      </c>
      <c r="I27">
        <v>112</v>
      </c>
      <c r="J27" s="20">
        <v>0.33333299999999999</v>
      </c>
      <c r="K27">
        <v>10</v>
      </c>
      <c r="L27">
        <v>24</v>
      </c>
      <c r="M27">
        <v>95</v>
      </c>
      <c r="N27">
        <v>1</v>
      </c>
      <c r="O27">
        <v>240</v>
      </c>
      <c r="P27" s="1">
        <v>0.71428599999999998</v>
      </c>
    </row>
    <row r="28" spans="1:16" x14ac:dyDescent="0.25">
      <c r="A28" t="s">
        <v>16</v>
      </c>
      <c r="B28" s="19">
        <v>1255341694</v>
      </c>
      <c r="C28">
        <v>201</v>
      </c>
      <c r="D28">
        <v>2299</v>
      </c>
      <c r="E28" s="1">
        <v>8.0399999999999999E-2</v>
      </c>
      <c r="F28" s="1">
        <v>0.91959999999999997</v>
      </c>
      <c r="G28">
        <v>8</v>
      </c>
      <c r="H28">
        <v>18</v>
      </c>
      <c r="I28">
        <v>31</v>
      </c>
      <c r="J28" s="20">
        <v>0.154229</v>
      </c>
      <c r="K28">
        <v>14</v>
      </c>
      <c r="L28">
        <v>6.7142860000000004</v>
      </c>
      <c r="M28">
        <v>20</v>
      </c>
      <c r="N28">
        <v>1</v>
      </c>
      <c r="O28">
        <v>94</v>
      </c>
      <c r="P28" s="1">
        <v>0.46766200000000002</v>
      </c>
    </row>
    <row r="29" spans="1:16" x14ac:dyDescent="0.25">
      <c r="A29" t="s">
        <v>16</v>
      </c>
      <c r="B29" s="19">
        <v>865795820</v>
      </c>
      <c r="C29">
        <v>408</v>
      </c>
      <c r="D29">
        <v>2092</v>
      </c>
      <c r="E29" s="1">
        <v>0.16320000000000001</v>
      </c>
      <c r="F29" s="1">
        <v>0.83679999999999999</v>
      </c>
      <c r="G29">
        <v>16</v>
      </c>
      <c r="H29">
        <v>20</v>
      </c>
      <c r="I29">
        <v>79</v>
      </c>
      <c r="J29" s="20">
        <v>0.19362699999999999</v>
      </c>
      <c r="K29">
        <v>17</v>
      </c>
      <c r="L29">
        <v>15.235294</v>
      </c>
      <c r="M29">
        <v>64</v>
      </c>
      <c r="N29">
        <v>1</v>
      </c>
      <c r="O29">
        <v>259</v>
      </c>
      <c r="P29" s="1">
        <v>0.63480400000000003</v>
      </c>
    </row>
    <row r="30" spans="1:16" x14ac:dyDescent="0.25">
      <c r="A30" t="s">
        <v>16</v>
      </c>
      <c r="B30" s="19">
        <v>1418738769</v>
      </c>
      <c r="C30">
        <v>232</v>
      </c>
      <c r="D30">
        <v>2268</v>
      </c>
      <c r="E30" s="1">
        <v>9.2799999999999994E-2</v>
      </c>
      <c r="F30" s="1">
        <v>0.90720000000000001</v>
      </c>
      <c r="G30">
        <v>9</v>
      </c>
      <c r="H30">
        <v>18</v>
      </c>
      <c r="I30">
        <v>35</v>
      </c>
      <c r="J30" s="20">
        <v>0.150862</v>
      </c>
      <c r="K30">
        <v>12</v>
      </c>
      <c r="L30">
        <v>10.25</v>
      </c>
      <c r="M30">
        <v>26</v>
      </c>
      <c r="N30">
        <v>1</v>
      </c>
      <c r="O30">
        <v>123</v>
      </c>
      <c r="P30" s="1">
        <v>0.53017199999999998</v>
      </c>
    </row>
    <row r="31" spans="1:16" x14ac:dyDescent="0.25">
      <c r="A31" t="s">
        <v>16</v>
      </c>
      <c r="B31" s="19">
        <v>1170338712</v>
      </c>
      <c r="C31">
        <v>207</v>
      </c>
      <c r="D31">
        <v>2293</v>
      </c>
      <c r="E31" s="1">
        <v>8.2799999999999999E-2</v>
      </c>
      <c r="F31" s="1">
        <v>0.91720000000000002</v>
      </c>
      <c r="G31">
        <v>12</v>
      </c>
      <c r="H31">
        <v>10</v>
      </c>
      <c r="I31">
        <v>55</v>
      </c>
      <c r="J31" s="20">
        <v>0.26569999999999999</v>
      </c>
      <c r="K31">
        <v>8</v>
      </c>
      <c r="L31">
        <v>17.625</v>
      </c>
      <c r="M31">
        <v>46</v>
      </c>
      <c r="N31">
        <v>2</v>
      </c>
      <c r="O31">
        <v>141</v>
      </c>
      <c r="P31" s="1">
        <v>0.68115899999999996</v>
      </c>
    </row>
    <row r="32" spans="1:16" x14ac:dyDescent="0.25">
      <c r="A32" t="s">
        <v>16</v>
      </c>
      <c r="B32" s="19">
        <v>1047635856</v>
      </c>
      <c r="C32">
        <v>350</v>
      </c>
      <c r="D32">
        <v>2150</v>
      </c>
      <c r="E32" s="1">
        <v>0.14000000000000001</v>
      </c>
      <c r="F32" s="1">
        <v>0.86</v>
      </c>
      <c r="G32">
        <v>12</v>
      </c>
      <c r="H32">
        <v>15</v>
      </c>
      <c r="I32">
        <v>95</v>
      </c>
      <c r="J32" s="20">
        <v>0.27142899999999998</v>
      </c>
      <c r="K32">
        <v>15</v>
      </c>
      <c r="L32">
        <v>15.8</v>
      </c>
      <c r="M32">
        <v>80</v>
      </c>
      <c r="N32">
        <v>2</v>
      </c>
      <c r="O32">
        <v>237</v>
      </c>
      <c r="P32" s="1">
        <v>0.67714300000000005</v>
      </c>
    </row>
    <row r="33" spans="1:16" x14ac:dyDescent="0.25">
      <c r="A33" t="s">
        <v>16</v>
      </c>
      <c r="B33" s="19">
        <v>804654870</v>
      </c>
      <c r="C33">
        <v>231</v>
      </c>
      <c r="D33">
        <v>2269</v>
      </c>
      <c r="E33" s="1">
        <v>9.2399999999999996E-2</v>
      </c>
      <c r="F33" s="1">
        <v>0.90759999999999996</v>
      </c>
      <c r="G33">
        <v>10</v>
      </c>
      <c r="H33">
        <v>15</v>
      </c>
      <c r="I33">
        <v>44</v>
      </c>
      <c r="J33" s="20">
        <v>0.19047600000000001</v>
      </c>
      <c r="K33">
        <v>11</v>
      </c>
      <c r="L33">
        <v>12.909091</v>
      </c>
      <c r="M33">
        <v>34</v>
      </c>
      <c r="N33">
        <v>4</v>
      </c>
      <c r="O33">
        <v>142</v>
      </c>
      <c r="P33" s="1">
        <v>0.61471900000000002</v>
      </c>
    </row>
    <row r="34" spans="1:16" x14ac:dyDescent="0.25">
      <c r="A34" t="s">
        <v>16</v>
      </c>
      <c r="B34" s="19">
        <v>74890244</v>
      </c>
      <c r="C34">
        <v>271</v>
      </c>
      <c r="D34">
        <v>2229</v>
      </c>
      <c r="E34" s="1">
        <v>0.1084</v>
      </c>
      <c r="F34" s="1">
        <v>0.89159999999999995</v>
      </c>
      <c r="G34">
        <v>10</v>
      </c>
      <c r="H34">
        <v>23</v>
      </c>
      <c r="I34">
        <v>39</v>
      </c>
      <c r="J34" s="20">
        <v>0.14391100000000001</v>
      </c>
      <c r="K34">
        <v>13</v>
      </c>
      <c r="L34">
        <v>11.769231</v>
      </c>
      <c r="M34">
        <v>28</v>
      </c>
      <c r="N34">
        <v>1</v>
      </c>
      <c r="O34">
        <v>153</v>
      </c>
      <c r="P34" s="1">
        <v>0.56457599999999997</v>
      </c>
    </row>
    <row r="35" spans="1:16" x14ac:dyDescent="0.25">
      <c r="A35" t="s">
        <v>16</v>
      </c>
      <c r="B35" s="19">
        <v>1898656805</v>
      </c>
      <c r="C35">
        <v>223</v>
      </c>
      <c r="D35">
        <v>2277</v>
      </c>
      <c r="E35" s="1">
        <v>8.9200000000000002E-2</v>
      </c>
      <c r="F35" s="1">
        <v>0.91080000000000005</v>
      </c>
      <c r="G35">
        <v>11</v>
      </c>
      <c r="H35">
        <v>17</v>
      </c>
      <c r="I35">
        <v>35</v>
      </c>
      <c r="J35" s="20">
        <v>0.15695100000000001</v>
      </c>
      <c r="K35">
        <v>11</v>
      </c>
      <c r="L35">
        <v>11.545455</v>
      </c>
      <c r="M35">
        <v>25</v>
      </c>
      <c r="N35">
        <v>3</v>
      </c>
      <c r="O35">
        <v>127</v>
      </c>
      <c r="P35" s="1">
        <v>0.56950699999999999</v>
      </c>
    </row>
    <row r="36" spans="1:16" x14ac:dyDescent="0.25">
      <c r="A36" t="s">
        <v>16</v>
      </c>
      <c r="B36" s="19">
        <v>631583176</v>
      </c>
      <c r="C36">
        <v>230</v>
      </c>
      <c r="D36">
        <v>2270</v>
      </c>
      <c r="E36" s="1">
        <v>9.1999999999999998E-2</v>
      </c>
      <c r="F36" s="1">
        <v>0.90800000000000003</v>
      </c>
      <c r="G36">
        <v>11</v>
      </c>
      <c r="H36">
        <v>11</v>
      </c>
      <c r="I36">
        <v>51</v>
      </c>
      <c r="J36" s="20">
        <v>0.22173899999999999</v>
      </c>
      <c r="K36">
        <v>10</v>
      </c>
      <c r="L36">
        <v>14.7</v>
      </c>
      <c r="M36">
        <v>39</v>
      </c>
      <c r="N36">
        <v>1</v>
      </c>
      <c r="O36">
        <v>147</v>
      </c>
      <c r="P36" s="1">
        <v>0.63912999999999998</v>
      </c>
    </row>
    <row r="37" spans="1:16" x14ac:dyDescent="0.25">
      <c r="A37" t="s">
        <v>16</v>
      </c>
      <c r="B37" s="19">
        <v>1459425011</v>
      </c>
      <c r="C37">
        <v>196</v>
      </c>
      <c r="D37">
        <v>2304</v>
      </c>
      <c r="E37" s="1">
        <v>7.8399999999999997E-2</v>
      </c>
      <c r="F37" s="1">
        <v>0.92159999999999997</v>
      </c>
      <c r="G37">
        <v>11</v>
      </c>
      <c r="H37">
        <v>15</v>
      </c>
      <c r="I37">
        <v>42</v>
      </c>
      <c r="J37" s="20">
        <v>0.214286</v>
      </c>
      <c r="K37">
        <v>12</v>
      </c>
      <c r="L37">
        <v>8.5833329999999997</v>
      </c>
      <c r="M37">
        <v>30</v>
      </c>
      <c r="N37">
        <v>3</v>
      </c>
      <c r="O37">
        <v>103</v>
      </c>
      <c r="P37" s="1">
        <v>0.52551000000000003</v>
      </c>
    </row>
    <row r="38" spans="1:16" x14ac:dyDescent="0.25">
      <c r="A38" t="s">
        <v>16</v>
      </c>
      <c r="B38" s="19">
        <v>1419014336</v>
      </c>
      <c r="C38">
        <v>228</v>
      </c>
      <c r="D38">
        <v>2272</v>
      </c>
      <c r="E38" s="1">
        <v>9.1200000000000003E-2</v>
      </c>
      <c r="F38" s="1">
        <v>0.90880000000000005</v>
      </c>
      <c r="G38">
        <v>10</v>
      </c>
      <c r="H38">
        <v>18</v>
      </c>
      <c r="I38">
        <v>61</v>
      </c>
      <c r="J38" s="20">
        <v>0.267544</v>
      </c>
      <c r="K38">
        <v>9</v>
      </c>
      <c r="L38">
        <v>15.111110999999999</v>
      </c>
      <c r="M38">
        <v>49</v>
      </c>
      <c r="N38">
        <v>4</v>
      </c>
      <c r="O38">
        <v>136</v>
      </c>
      <c r="P38" s="1">
        <v>0.59649099999999999</v>
      </c>
    </row>
    <row r="39" spans="1:16" x14ac:dyDescent="0.25">
      <c r="A39" t="s">
        <v>16</v>
      </c>
      <c r="B39" s="19">
        <v>663646929</v>
      </c>
      <c r="C39">
        <v>298</v>
      </c>
      <c r="D39">
        <v>2202</v>
      </c>
      <c r="E39" s="1">
        <v>0.1192</v>
      </c>
      <c r="F39" s="1">
        <v>0.88080000000000003</v>
      </c>
      <c r="G39">
        <v>10</v>
      </c>
      <c r="H39">
        <v>17</v>
      </c>
      <c r="I39">
        <v>42</v>
      </c>
      <c r="J39" s="20">
        <v>0.14094000000000001</v>
      </c>
      <c r="K39">
        <v>12</v>
      </c>
      <c r="L39">
        <v>16.166667</v>
      </c>
      <c r="M39">
        <v>29</v>
      </c>
      <c r="N39">
        <v>2</v>
      </c>
      <c r="O39">
        <v>194</v>
      </c>
      <c r="P39" s="1">
        <v>0.651007</v>
      </c>
    </row>
    <row r="40" spans="1:16" x14ac:dyDescent="0.25">
      <c r="A40" t="s">
        <v>16</v>
      </c>
      <c r="B40" s="19">
        <v>1837568161</v>
      </c>
      <c r="C40">
        <v>292</v>
      </c>
      <c r="D40">
        <v>2208</v>
      </c>
      <c r="E40" s="1">
        <v>0.1168</v>
      </c>
      <c r="F40" s="1">
        <v>0.88319999999999999</v>
      </c>
      <c r="G40">
        <v>15</v>
      </c>
      <c r="H40">
        <v>17</v>
      </c>
      <c r="I40">
        <v>69</v>
      </c>
      <c r="J40" s="20">
        <v>0.23630100000000001</v>
      </c>
      <c r="K40">
        <v>10</v>
      </c>
      <c r="L40">
        <v>19</v>
      </c>
      <c r="M40">
        <v>51</v>
      </c>
      <c r="N40">
        <v>1</v>
      </c>
      <c r="O40">
        <v>190</v>
      </c>
      <c r="P40" s="1">
        <v>0.65068499999999996</v>
      </c>
    </row>
    <row r="41" spans="1:16" x14ac:dyDescent="0.25">
      <c r="A41" t="s">
        <v>16</v>
      </c>
      <c r="B41" s="19">
        <v>1637544084</v>
      </c>
      <c r="C41">
        <v>340</v>
      </c>
      <c r="D41">
        <v>2160</v>
      </c>
      <c r="E41" s="1">
        <v>0.13600000000000001</v>
      </c>
      <c r="F41" s="1">
        <v>0.86399999999999999</v>
      </c>
      <c r="G41">
        <v>13</v>
      </c>
      <c r="H41">
        <v>18</v>
      </c>
      <c r="I41">
        <v>60</v>
      </c>
      <c r="J41" s="20">
        <v>0.17647099999999999</v>
      </c>
      <c r="K41">
        <v>17</v>
      </c>
      <c r="L41">
        <v>12.705882000000001</v>
      </c>
      <c r="M41">
        <v>39</v>
      </c>
      <c r="N41">
        <v>4</v>
      </c>
      <c r="O41">
        <v>216</v>
      </c>
      <c r="P41" s="1">
        <v>0.63529400000000003</v>
      </c>
    </row>
    <row r="42" spans="1:16" x14ac:dyDescent="0.25">
      <c r="A42" t="s">
        <v>16</v>
      </c>
      <c r="B42" s="19">
        <v>1718651642</v>
      </c>
      <c r="C42">
        <v>282</v>
      </c>
      <c r="D42">
        <v>2218</v>
      </c>
      <c r="E42" s="1">
        <v>0.1128</v>
      </c>
      <c r="F42" s="1">
        <v>0.88719999999999999</v>
      </c>
      <c r="G42">
        <v>10</v>
      </c>
      <c r="H42">
        <v>18</v>
      </c>
      <c r="I42">
        <v>52</v>
      </c>
      <c r="J42" s="20">
        <v>0.18439700000000001</v>
      </c>
      <c r="K42">
        <v>13</v>
      </c>
      <c r="L42">
        <v>12.923076999999999</v>
      </c>
      <c r="M42">
        <v>41</v>
      </c>
      <c r="N42">
        <v>2</v>
      </c>
      <c r="O42">
        <v>168</v>
      </c>
      <c r="P42" s="1">
        <v>0.59574499999999997</v>
      </c>
    </row>
    <row r="43" spans="1:16" x14ac:dyDescent="0.25">
      <c r="A43" t="s">
        <v>16</v>
      </c>
      <c r="B43" s="19">
        <v>1106538613</v>
      </c>
      <c r="C43">
        <v>330</v>
      </c>
      <c r="D43">
        <v>2170</v>
      </c>
      <c r="E43" s="1">
        <v>0.13200000000000001</v>
      </c>
      <c r="F43" s="1">
        <v>0.86799999999999999</v>
      </c>
      <c r="G43">
        <v>15</v>
      </c>
      <c r="H43">
        <v>19</v>
      </c>
      <c r="I43">
        <v>68</v>
      </c>
      <c r="J43" s="20">
        <v>0.20606099999999999</v>
      </c>
      <c r="K43">
        <v>10</v>
      </c>
      <c r="L43">
        <v>21.3</v>
      </c>
      <c r="M43">
        <v>54</v>
      </c>
      <c r="N43">
        <v>2</v>
      </c>
      <c r="O43">
        <v>213</v>
      </c>
      <c r="P43" s="1">
        <v>0.645455</v>
      </c>
    </row>
    <row r="44" spans="1:16" x14ac:dyDescent="0.25">
      <c r="A44" t="s">
        <v>16</v>
      </c>
      <c r="B44" s="19">
        <v>1497890539</v>
      </c>
      <c r="C44">
        <v>304</v>
      </c>
      <c r="D44">
        <v>2196</v>
      </c>
      <c r="E44" s="1">
        <v>0.1216</v>
      </c>
      <c r="F44" s="1">
        <v>0.87839999999999996</v>
      </c>
      <c r="G44">
        <v>12</v>
      </c>
      <c r="H44">
        <v>19</v>
      </c>
      <c r="I44">
        <v>63</v>
      </c>
      <c r="J44" s="20">
        <v>0.207237</v>
      </c>
      <c r="K44">
        <v>13</v>
      </c>
      <c r="L44">
        <v>14.384615</v>
      </c>
      <c r="M44">
        <v>48</v>
      </c>
      <c r="N44">
        <v>1</v>
      </c>
      <c r="O44">
        <v>187</v>
      </c>
      <c r="P44" s="1">
        <v>0.61513200000000001</v>
      </c>
    </row>
    <row r="45" spans="1:16" x14ac:dyDescent="0.25">
      <c r="A45" t="s">
        <v>16</v>
      </c>
      <c r="B45" s="19">
        <v>247452028</v>
      </c>
      <c r="C45">
        <v>283</v>
      </c>
      <c r="D45">
        <v>2217</v>
      </c>
      <c r="E45" s="1">
        <v>0.1132</v>
      </c>
      <c r="F45" s="1">
        <v>0.88680000000000003</v>
      </c>
      <c r="G45">
        <v>12</v>
      </c>
      <c r="H45">
        <v>11</v>
      </c>
      <c r="I45">
        <v>66</v>
      </c>
      <c r="J45" s="20">
        <v>0.23321600000000001</v>
      </c>
      <c r="K45">
        <v>7</v>
      </c>
      <c r="L45">
        <v>28.428571000000002</v>
      </c>
      <c r="M45">
        <v>49</v>
      </c>
      <c r="N45">
        <v>4</v>
      </c>
      <c r="O45">
        <v>199</v>
      </c>
      <c r="P45" s="1">
        <v>0.70318000000000003</v>
      </c>
    </row>
    <row r="46" spans="1:16" x14ac:dyDescent="0.25">
      <c r="A46" t="s">
        <v>16</v>
      </c>
      <c r="B46" s="19">
        <v>968962343</v>
      </c>
      <c r="C46">
        <v>361</v>
      </c>
      <c r="D46">
        <v>2139</v>
      </c>
      <c r="E46" s="1">
        <v>0.1444</v>
      </c>
      <c r="F46" s="1">
        <v>0.85560000000000003</v>
      </c>
      <c r="G46">
        <v>19</v>
      </c>
      <c r="H46">
        <v>15</v>
      </c>
      <c r="I46">
        <v>79</v>
      </c>
      <c r="J46" s="20">
        <v>0.218837</v>
      </c>
      <c r="K46">
        <v>12</v>
      </c>
      <c r="L46">
        <v>21.416667</v>
      </c>
      <c r="M46">
        <v>58</v>
      </c>
      <c r="N46">
        <v>3</v>
      </c>
      <c r="O46">
        <v>257</v>
      </c>
      <c r="P46" s="1">
        <v>0.71191099999999996</v>
      </c>
    </row>
    <row r="47" spans="1:16" x14ac:dyDescent="0.25">
      <c r="A47" t="s">
        <v>16</v>
      </c>
      <c r="B47" s="19">
        <v>25436166</v>
      </c>
      <c r="C47">
        <v>256</v>
      </c>
      <c r="D47">
        <v>2244</v>
      </c>
      <c r="E47" s="1">
        <v>0.1024</v>
      </c>
      <c r="F47" s="1">
        <v>0.89759999999999995</v>
      </c>
      <c r="G47">
        <v>15</v>
      </c>
      <c r="H47">
        <v>14</v>
      </c>
      <c r="I47">
        <v>68</v>
      </c>
      <c r="J47" s="20">
        <v>0.265625</v>
      </c>
      <c r="K47">
        <v>9</v>
      </c>
      <c r="L47">
        <v>17.888888999999999</v>
      </c>
      <c r="M47">
        <v>51</v>
      </c>
      <c r="N47">
        <v>3</v>
      </c>
      <c r="O47">
        <v>161</v>
      </c>
      <c r="P47" s="1">
        <v>0.62890599999999997</v>
      </c>
    </row>
    <row r="48" spans="1:16" x14ac:dyDescent="0.25">
      <c r="A48" t="s">
        <v>16</v>
      </c>
      <c r="B48" s="19">
        <v>676420434</v>
      </c>
      <c r="C48">
        <v>290</v>
      </c>
      <c r="D48">
        <v>2210</v>
      </c>
      <c r="E48" s="1">
        <v>0.11600000000000001</v>
      </c>
      <c r="F48" s="1">
        <v>0.88400000000000001</v>
      </c>
      <c r="G48">
        <v>16</v>
      </c>
      <c r="H48">
        <v>16</v>
      </c>
      <c r="I48">
        <v>72</v>
      </c>
      <c r="J48" s="20">
        <v>0.248276</v>
      </c>
      <c r="K48">
        <v>12</v>
      </c>
      <c r="L48">
        <v>15</v>
      </c>
      <c r="M48">
        <v>56</v>
      </c>
      <c r="N48">
        <v>1</v>
      </c>
      <c r="O48">
        <v>180</v>
      </c>
      <c r="P48" s="1">
        <v>0.62068999999999996</v>
      </c>
    </row>
    <row r="49" spans="1:16" x14ac:dyDescent="0.25">
      <c r="A49" t="s">
        <v>16</v>
      </c>
      <c r="B49" s="19">
        <v>1760679887</v>
      </c>
      <c r="C49">
        <v>328</v>
      </c>
      <c r="D49">
        <v>2172</v>
      </c>
      <c r="E49" s="1">
        <v>0.13120000000000001</v>
      </c>
      <c r="F49" s="1">
        <v>0.86880000000000002</v>
      </c>
      <c r="G49">
        <v>13</v>
      </c>
      <c r="H49">
        <v>17</v>
      </c>
      <c r="I49">
        <v>69</v>
      </c>
      <c r="J49" s="20">
        <v>0.210366</v>
      </c>
      <c r="K49">
        <v>15</v>
      </c>
      <c r="L49">
        <v>13.666667</v>
      </c>
      <c r="M49">
        <v>49</v>
      </c>
      <c r="N49">
        <v>3</v>
      </c>
      <c r="O49">
        <v>205</v>
      </c>
      <c r="P49" s="1">
        <v>0.625</v>
      </c>
    </row>
    <row r="50" spans="1:16" x14ac:dyDescent="0.25">
      <c r="A50" t="s">
        <v>16</v>
      </c>
      <c r="B50" s="19">
        <v>1215916894</v>
      </c>
      <c r="C50">
        <v>242</v>
      </c>
      <c r="D50">
        <v>2258</v>
      </c>
      <c r="E50" s="1">
        <v>9.6799999999999997E-2</v>
      </c>
      <c r="F50" s="1">
        <v>0.9032</v>
      </c>
      <c r="G50">
        <v>10</v>
      </c>
      <c r="H50">
        <v>16</v>
      </c>
      <c r="I50">
        <v>55</v>
      </c>
      <c r="J50" s="20">
        <v>0.227273</v>
      </c>
      <c r="K50">
        <v>9</v>
      </c>
      <c r="L50">
        <v>16.222221999999999</v>
      </c>
      <c r="M50">
        <v>41</v>
      </c>
      <c r="N50">
        <v>2</v>
      </c>
      <c r="O50">
        <v>146</v>
      </c>
      <c r="P50" s="1">
        <v>0.60330600000000001</v>
      </c>
    </row>
    <row r="51" spans="1:16" x14ac:dyDescent="0.25">
      <c r="A51" t="s">
        <v>16</v>
      </c>
      <c r="B51" s="19">
        <v>207984292</v>
      </c>
      <c r="C51">
        <v>198</v>
      </c>
      <c r="D51">
        <v>2302</v>
      </c>
      <c r="E51" s="1">
        <v>7.9200000000000007E-2</v>
      </c>
      <c r="F51" s="1">
        <v>0.92079999999999995</v>
      </c>
      <c r="G51">
        <v>8</v>
      </c>
      <c r="H51">
        <v>9</v>
      </c>
      <c r="I51">
        <v>44</v>
      </c>
      <c r="J51" s="20">
        <v>0.222222</v>
      </c>
      <c r="K51">
        <v>9</v>
      </c>
      <c r="L51">
        <v>14.555555999999999</v>
      </c>
      <c r="M51">
        <v>35</v>
      </c>
      <c r="N51">
        <v>2</v>
      </c>
      <c r="O51">
        <v>131</v>
      </c>
      <c r="P51" s="1">
        <v>0.66161599999999998</v>
      </c>
    </row>
    <row r="52" spans="1:16" x14ac:dyDescent="0.25">
      <c r="A52" t="s">
        <v>26</v>
      </c>
      <c r="B52"/>
      <c r="C52">
        <f>SUBTOTAL(101,CA8_wall70_it4_neigh5[floors])</f>
        <v>281.52</v>
      </c>
      <c r="D52">
        <f>SUBTOTAL(101,CA8_wall70_it4_neigh5[walls])</f>
        <v>2218.48</v>
      </c>
      <c r="E52" s="2">
        <f>SUBTOTAL(101,CA8_wall70_it4_neigh5[floor_percent])</f>
        <v>0.11260800000000001</v>
      </c>
      <c r="F52" s="2">
        <f>SUBTOTAL(101,CA8_wall70_it4_neigh5[wall_percent])</f>
        <v>0.88739200000000007</v>
      </c>
      <c r="G52">
        <f>SUBTOTAL(101,CA8_wall70_it4_neigh5[longest_shortest_path])</f>
        <v>12.66</v>
      </c>
      <c r="H52">
        <f>SUBTOTAL(101,CA8_wall70_it4_neigh5[component_count])</f>
        <v>15.88</v>
      </c>
      <c r="I52">
        <f>SUBTOTAL(101,CA8_wall70_it4_neigh5[max_component_size])</f>
        <v>66.8</v>
      </c>
      <c r="J52">
        <f>SUBTOTAL(101,CA8_wall70_it4_neigh5[connectivity_ratio])</f>
        <v>0.23482508000000002</v>
      </c>
      <c r="K52">
        <f>SUBTOTAL(101,CA8_wall70_it4_neigh5[room_count])</f>
        <v>11.56</v>
      </c>
      <c r="L52">
        <f>SUBTOTAL(101,CA8_wall70_it4_neigh5[avg_room_size])</f>
        <v>15.843023800000001</v>
      </c>
      <c r="M52">
        <f>SUBTOTAL(101,CA8_wall70_it4_neigh5[max_room_size])</f>
        <v>50.42</v>
      </c>
      <c r="N52">
        <f>SUBTOTAL(101,CA8_wall70_it4_neigh5[min_room_size])</f>
        <v>2</v>
      </c>
      <c r="O52">
        <f>SUBTOTAL(101,CA8_wall70_it4_neigh5[room_tiles])</f>
        <v>179.36</v>
      </c>
      <c r="P52" s="2">
        <f>SUBTOTAL(101,CA8_wall70_it4_neigh5[room_ratio])</f>
        <v>0.62853650000000005</v>
      </c>
    </row>
    <row r="53" spans="1:16" x14ac:dyDescent="0.25">
      <c r="A53" s="22" t="s">
        <v>43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C84F-A499-472E-9F3D-3879F830A746}">
  <dimension ref="A1:P53"/>
  <sheetViews>
    <sheetView topLeftCell="A34" workbookViewId="0">
      <selection activeCell="L55" sqref="L55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2115226598</v>
      </c>
      <c r="C2">
        <v>303</v>
      </c>
      <c r="D2">
        <v>2197</v>
      </c>
      <c r="E2" s="1">
        <v>0.1212</v>
      </c>
      <c r="F2" s="1">
        <v>0.87880000000000003</v>
      </c>
      <c r="G2">
        <v>14</v>
      </c>
      <c r="H2">
        <v>22</v>
      </c>
      <c r="I2">
        <v>61</v>
      </c>
      <c r="J2" s="20">
        <v>0.20132</v>
      </c>
      <c r="K2">
        <v>13</v>
      </c>
      <c r="L2">
        <v>12.846154</v>
      </c>
      <c r="M2">
        <v>34</v>
      </c>
      <c r="N2">
        <v>3</v>
      </c>
      <c r="O2">
        <v>167</v>
      </c>
      <c r="P2" s="1">
        <v>0.55115499999999995</v>
      </c>
    </row>
    <row r="3" spans="1:16" x14ac:dyDescent="0.25">
      <c r="A3" t="s">
        <v>16</v>
      </c>
      <c r="B3" s="19">
        <v>1491372564</v>
      </c>
      <c r="C3">
        <v>314</v>
      </c>
      <c r="D3">
        <v>2186</v>
      </c>
      <c r="E3" s="1">
        <v>0.12559999999999999</v>
      </c>
      <c r="F3" s="1">
        <v>0.87439999999999996</v>
      </c>
      <c r="G3">
        <v>14</v>
      </c>
      <c r="H3">
        <v>25</v>
      </c>
      <c r="I3">
        <v>56</v>
      </c>
      <c r="J3" s="20">
        <v>0.178344</v>
      </c>
      <c r="K3">
        <v>15</v>
      </c>
      <c r="L3">
        <v>11.133333</v>
      </c>
      <c r="M3">
        <v>38</v>
      </c>
      <c r="N3">
        <v>1</v>
      </c>
      <c r="O3">
        <v>167</v>
      </c>
      <c r="P3" s="1">
        <v>0.53184699999999996</v>
      </c>
    </row>
    <row r="4" spans="1:16" x14ac:dyDescent="0.25">
      <c r="A4" t="s">
        <v>16</v>
      </c>
      <c r="B4" s="19">
        <v>1550232739</v>
      </c>
      <c r="C4">
        <v>299</v>
      </c>
      <c r="D4">
        <v>2201</v>
      </c>
      <c r="E4" s="1">
        <v>0.1196</v>
      </c>
      <c r="F4" s="1">
        <v>0.88039999999999996</v>
      </c>
      <c r="G4">
        <v>21</v>
      </c>
      <c r="H4">
        <v>24</v>
      </c>
      <c r="I4">
        <v>96</v>
      </c>
      <c r="J4" s="20">
        <v>0.32107000000000002</v>
      </c>
      <c r="K4">
        <v>11</v>
      </c>
      <c r="L4">
        <v>15.272727</v>
      </c>
      <c r="M4">
        <v>52</v>
      </c>
      <c r="N4">
        <v>1</v>
      </c>
      <c r="O4">
        <v>168</v>
      </c>
      <c r="P4" s="1">
        <v>0.56187299999999996</v>
      </c>
    </row>
    <row r="5" spans="1:16" x14ac:dyDescent="0.25">
      <c r="A5" t="s">
        <v>16</v>
      </c>
      <c r="B5" s="19">
        <v>1785893478</v>
      </c>
      <c r="C5">
        <v>328</v>
      </c>
      <c r="D5">
        <v>2172</v>
      </c>
      <c r="E5" s="1">
        <v>0.13120000000000001</v>
      </c>
      <c r="F5" s="1">
        <v>0.86880000000000002</v>
      </c>
      <c r="G5">
        <v>9</v>
      </c>
      <c r="H5">
        <v>27</v>
      </c>
      <c r="I5">
        <v>52</v>
      </c>
      <c r="J5" s="20">
        <v>0.15853700000000001</v>
      </c>
      <c r="K5">
        <v>15</v>
      </c>
      <c r="L5">
        <v>12.333333</v>
      </c>
      <c r="M5">
        <v>42</v>
      </c>
      <c r="N5">
        <v>1</v>
      </c>
      <c r="O5">
        <v>185</v>
      </c>
      <c r="P5" s="1">
        <v>0.56402399999999997</v>
      </c>
    </row>
    <row r="6" spans="1:16" x14ac:dyDescent="0.25">
      <c r="A6" t="s">
        <v>16</v>
      </c>
      <c r="B6" s="19">
        <v>1041776999</v>
      </c>
      <c r="C6">
        <v>291</v>
      </c>
      <c r="D6">
        <v>2209</v>
      </c>
      <c r="E6" s="1">
        <v>0.1164</v>
      </c>
      <c r="F6" s="1">
        <v>0.88360000000000005</v>
      </c>
      <c r="G6">
        <v>15</v>
      </c>
      <c r="H6">
        <v>21</v>
      </c>
      <c r="I6">
        <v>76</v>
      </c>
      <c r="J6" s="20">
        <v>0.26116800000000001</v>
      </c>
      <c r="K6">
        <v>13</v>
      </c>
      <c r="L6">
        <v>12.615385</v>
      </c>
      <c r="M6">
        <v>61</v>
      </c>
      <c r="N6">
        <v>2</v>
      </c>
      <c r="O6">
        <v>164</v>
      </c>
      <c r="P6" s="1">
        <v>0.56357400000000002</v>
      </c>
    </row>
    <row r="7" spans="1:16" x14ac:dyDescent="0.25">
      <c r="A7" t="s">
        <v>16</v>
      </c>
      <c r="B7" s="19">
        <v>1872188931</v>
      </c>
      <c r="C7">
        <v>376</v>
      </c>
      <c r="D7">
        <v>2124</v>
      </c>
      <c r="E7" s="1">
        <v>0.15040000000000001</v>
      </c>
      <c r="F7" s="1">
        <v>0.84960000000000002</v>
      </c>
      <c r="G7">
        <v>11</v>
      </c>
      <c r="H7">
        <v>26</v>
      </c>
      <c r="I7">
        <v>64</v>
      </c>
      <c r="J7" s="20">
        <v>0.170213</v>
      </c>
      <c r="K7">
        <v>12</v>
      </c>
      <c r="L7">
        <v>19.5</v>
      </c>
      <c r="M7">
        <v>52</v>
      </c>
      <c r="N7">
        <v>1</v>
      </c>
      <c r="O7">
        <v>234</v>
      </c>
      <c r="P7" s="1">
        <v>0.62234</v>
      </c>
    </row>
    <row r="8" spans="1:16" x14ac:dyDescent="0.25">
      <c r="A8" t="s">
        <v>16</v>
      </c>
      <c r="B8" s="19">
        <v>34335979</v>
      </c>
      <c r="C8">
        <v>339</v>
      </c>
      <c r="D8">
        <v>2161</v>
      </c>
      <c r="E8" s="1">
        <v>0.1356</v>
      </c>
      <c r="F8" s="1">
        <v>0.86439999999999995</v>
      </c>
      <c r="G8">
        <v>15</v>
      </c>
      <c r="H8">
        <v>21</v>
      </c>
      <c r="I8">
        <v>46</v>
      </c>
      <c r="J8" s="20">
        <v>0.13569300000000001</v>
      </c>
      <c r="K8">
        <v>16</v>
      </c>
      <c r="L8">
        <v>11.1875</v>
      </c>
      <c r="M8">
        <v>32</v>
      </c>
      <c r="N8">
        <v>2</v>
      </c>
      <c r="O8">
        <v>179</v>
      </c>
      <c r="P8" s="1">
        <v>0.52802400000000005</v>
      </c>
    </row>
    <row r="9" spans="1:16" x14ac:dyDescent="0.25">
      <c r="A9" t="s">
        <v>16</v>
      </c>
      <c r="B9" s="19">
        <v>1733293295</v>
      </c>
      <c r="C9">
        <v>310</v>
      </c>
      <c r="D9">
        <v>2190</v>
      </c>
      <c r="E9" s="1">
        <v>0.124</v>
      </c>
      <c r="F9" s="1">
        <v>0.876</v>
      </c>
      <c r="G9">
        <v>14</v>
      </c>
      <c r="H9">
        <v>21</v>
      </c>
      <c r="I9">
        <v>85</v>
      </c>
      <c r="J9" s="20">
        <v>0.27419399999999999</v>
      </c>
      <c r="K9">
        <v>13</v>
      </c>
      <c r="L9">
        <v>13.615385</v>
      </c>
      <c r="M9">
        <v>37</v>
      </c>
      <c r="N9">
        <v>2</v>
      </c>
      <c r="O9">
        <v>177</v>
      </c>
      <c r="P9" s="1">
        <v>0.57096800000000003</v>
      </c>
    </row>
    <row r="10" spans="1:16" x14ac:dyDescent="0.25">
      <c r="A10" t="s">
        <v>16</v>
      </c>
      <c r="B10" s="19">
        <v>1329179921</v>
      </c>
      <c r="C10">
        <v>325</v>
      </c>
      <c r="D10">
        <v>2175</v>
      </c>
      <c r="E10" s="1">
        <v>0.13</v>
      </c>
      <c r="F10" s="1">
        <v>0.87</v>
      </c>
      <c r="G10">
        <v>17</v>
      </c>
      <c r="H10">
        <v>21</v>
      </c>
      <c r="I10">
        <v>55</v>
      </c>
      <c r="J10" s="20">
        <v>0.16923099999999999</v>
      </c>
      <c r="K10">
        <v>21</v>
      </c>
      <c r="L10">
        <v>8.1428569999999993</v>
      </c>
      <c r="M10">
        <v>19</v>
      </c>
      <c r="N10">
        <v>1</v>
      </c>
      <c r="O10">
        <v>171</v>
      </c>
      <c r="P10" s="1">
        <v>0.52615400000000001</v>
      </c>
    </row>
    <row r="11" spans="1:16" x14ac:dyDescent="0.25">
      <c r="A11" t="s">
        <v>16</v>
      </c>
      <c r="B11" s="19">
        <v>1915366951</v>
      </c>
      <c r="C11">
        <v>357</v>
      </c>
      <c r="D11">
        <v>2143</v>
      </c>
      <c r="E11" s="1">
        <v>0.14280000000000001</v>
      </c>
      <c r="F11" s="1">
        <v>0.85719999999999996</v>
      </c>
      <c r="G11">
        <v>13</v>
      </c>
      <c r="H11">
        <v>24</v>
      </c>
      <c r="I11">
        <v>73</v>
      </c>
      <c r="J11" s="20">
        <v>0.204482</v>
      </c>
      <c r="K11">
        <v>14</v>
      </c>
      <c r="L11">
        <v>14.642856999999999</v>
      </c>
      <c r="M11">
        <v>57</v>
      </c>
      <c r="N11">
        <v>1</v>
      </c>
      <c r="O11">
        <v>205</v>
      </c>
      <c r="P11" s="1">
        <v>0.57423000000000002</v>
      </c>
    </row>
    <row r="12" spans="1:16" x14ac:dyDescent="0.25">
      <c r="A12" t="s">
        <v>16</v>
      </c>
      <c r="B12" s="19">
        <v>315721909</v>
      </c>
      <c r="C12">
        <v>301</v>
      </c>
      <c r="D12">
        <v>2199</v>
      </c>
      <c r="E12" s="1">
        <v>0.12039999999999999</v>
      </c>
      <c r="F12" s="1">
        <v>0.87960000000000005</v>
      </c>
      <c r="G12">
        <v>16</v>
      </c>
      <c r="H12">
        <v>26</v>
      </c>
      <c r="I12">
        <v>59</v>
      </c>
      <c r="J12" s="20">
        <v>0.19601299999999999</v>
      </c>
      <c r="K12">
        <v>14</v>
      </c>
      <c r="L12">
        <v>11.214286</v>
      </c>
      <c r="M12">
        <v>30</v>
      </c>
      <c r="N12">
        <v>1</v>
      </c>
      <c r="O12">
        <v>157</v>
      </c>
      <c r="P12" s="1">
        <v>0.52159500000000003</v>
      </c>
    </row>
    <row r="13" spans="1:16" x14ac:dyDescent="0.25">
      <c r="A13" t="s">
        <v>16</v>
      </c>
      <c r="B13" s="19">
        <v>1518185684</v>
      </c>
      <c r="C13">
        <v>388</v>
      </c>
      <c r="D13">
        <v>2112</v>
      </c>
      <c r="E13" s="1">
        <v>0.1552</v>
      </c>
      <c r="F13" s="1">
        <v>0.8448</v>
      </c>
      <c r="G13">
        <v>17</v>
      </c>
      <c r="H13">
        <v>25</v>
      </c>
      <c r="I13">
        <v>56</v>
      </c>
      <c r="J13" s="20">
        <v>0.14433000000000001</v>
      </c>
      <c r="K13">
        <v>18</v>
      </c>
      <c r="L13">
        <v>12.611110999999999</v>
      </c>
      <c r="M13">
        <v>33</v>
      </c>
      <c r="N13">
        <v>1</v>
      </c>
      <c r="O13">
        <v>227</v>
      </c>
      <c r="P13" s="1">
        <v>0.58505200000000002</v>
      </c>
    </row>
    <row r="14" spans="1:16" x14ac:dyDescent="0.25">
      <c r="A14" t="s">
        <v>16</v>
      </c>
      <c r="B14" s="19">
        <v>255932050</v>
      </c>
      <c r="C14">
        <v>240</v>
      </c>
      <c r="D14">
        <v>2260</v>
      </c>
      <c r="E14" s="1">
        <v>9.6000000000000002E-2</v>
      </c>
      <c r="F14" s="1">
        <v>0.90400000000000003</v>
      </c>
      <c r="G14">
        <v>9</v>
      </c>
      <c r="H14">
        <v>28</v>
      </c>
      <c r="I14">
        <v>56</v>
      </c>
      <c r="J14" s="20">
        <v>0.23333300000000001</v>
      </c>
      <c r="K14">
        <v>13</v>
      </c>
      <c r="L14">
        <v>9.2307690000000004</v>
      </c>
      <c r="M14">
        <v>45</v>
      </c>
      <c r="N14">
        <v>1</v>
      </c>
      <c r="O14">
        <v>120</v>
      </c>
      <c r="P14" s="1">
        <v>0.5</v>
      </c>
    </row>
    <row r="15" spans="1:16" x14ac:dyDescent="0.25">
      <c r="A15" t="s">
        <v>16</v>
      </c>
      <c r="B15" s="19">
        <v>658374492</v>
      </c>
      <c r="C15">
        <v>245</v>
      </c>
      <c r="D15">
        <v>2255</v>
      </c>
      <c r="E15" s="1">
        <v>9.8000000000000004E-2</v>
      </c>
      <c r="F15" s="1">
        <v>0.90200000000000002</v>
      </c>
      <c r="G15">
        <v>17</v>
      </c>
      <c r="H15">
        <v>24</v>
      </c>
      <c r="I15">
        <v>55</v>
      </c>
      <c r="J15" s="20">
        <v>0.22449</v>
      </c>
      <c r="K15">
        <v>11</v>
      </c>
      <c r="L15">
        <v>11.636364</v>
      </c>
      <c r="M15">
        <v>37</v>
      </c>
      <c r="N15">
        <v>2</v>
      </c>
      <c r="O15">
        <v>128</v>
      </c>
      <c r="P15" s="1">
        <v>0.52244900000000005</v>
      </c>
    </row>
    <row r="16" spans="1:16" x14ac:dyDescent="0.25">
      <c r="A16" t="s">
        <v>16</v>
      </c>
      <c r="B16" s="19">
        <v>332434901</v>
      </c>
      <c r="C16">
        <v>342</v>
      </c>
      <c r="D16">
        <v>2158</v>
      </c>
      <c r="E16" s="1">
        <v>0.1368</v>
      </c>
      <c r="F16" s="1">
        <v>0.86319999999999997</v>
      </c>
      <c r="G16">
        <v>19</v>
      </c>
      <c r="H16">
        <v>30</v>
      </c>
      <c r="I16">
        <v>100</v>
      </c>
      <c r="J16" s="20">
        <v>0.29239799999999999</v>
      </c>
      <c r="K16">
        <v>13</v>
      </c>
      <c r="L16">
        <v>14.076923000000001</v>
      </c>
      <c r="M16">
        <v>46</v>
      </c>
      <c r="N16">
        <v>1</v>
      </c>
      <c r="O16">
        <v>183</v>
      </c>
      <c r="P16" s="1">
        <v>0.53508800000000001</v>
      </c>
    </row>
    <row r="17" spans="1:16" x14ac:dyDescent="0.25">
      <c r="A17" t="s">
        <v>16</v>
      </c>
      <c r="B17" s="19">
        <v>1610549618</v>
      </c>
      <c r="C17">
        <v>284</v>
      </c>
      <c r="D17">
        <v>2216</v>
      </c>
      <c r="E17" s="1">
        <v>0.11360000000000001</v>
      </c>
      <c r="F17" s="1">
        <v>0.88639999999999997</v>
      </c>
      <c r="G17">
        <v>13</v>
      </c>
      <c r="H17">
        <v>25</v>
      </c>
      <c r="I17">
        <v>63</v>
      </c>
      <c r="J17" s="20">
        <v>0.221831</v>
      </c>
      <c r="K17">
        <v>12</v>
      </c>
      <c r="L17">
        <v>13.25</v>
      </c>
      <c r="M17">
        <v>49</v>
      </c>
      <c r="N17">
        <v>2</v>
      </c>
      <c r="O17">
        <v>159</v>
      </c>
      <c r="P17" s="1">
        <v>0.559859</v>
      </c>
    </row>
    <row r="18" spans="1:16" x14ac:dyDescent="0.25">
      <c r="A18" t="s">
        <v>16</v>
      </c>
      <c r="B18" s="19">
        <v>1991665407</v>
      </c>
      <c r="C18">
        <v>253</v>
      </c>
      <c r="D18">
        <v>2247</v>
      </c>
      <c r="E18" s="1">
        <v>0.1012</v>
      </c>
      <c r="F18" s="1">
        <v>0.89880000000000004</v>
      </c>
      <c r="G18">
        <v>11</v>
      </c>
      <c r="H18">
        <v>24</v>
      </c>
      <c r="I18">
        <v>41</v>
      </c>
      <c r="J18" s="20">
        <v>0.162055</v>
      </c>
      <c r="K18">
        <v>15</v>
      </c>
      <c r="L18">
        <v>7.8666669999999996</v>
      </c>
      <c r="M18">
        <v>27</v>
      </c>
      <c r="N18">
        <v>1</v>
      </c>
      <c r="O18">
        <v>118</v>
      </c>
      <c r="P18" s="1">
        <v>0.46640300000000001</v>
      </c>
    </row>
    <row r="19" spans="1:16" x14ac:dyDescent="0.25">
      <c r="A19" t="s">
        <v>16</v>
      </c>
      <c r="B19" s="19">
        <v>1514078980</v>
      </c>
      <c r="C19">
        <v>423</v>
      </c>
      <c r="D19">
        <v>2077</v>
      </c>
      <c r="E19" s="1">
        <v>0.16919999999999999</v>
      </c>
      <c r="F19" s="1">
        <v>0.83079999999999998</v>
      </c>
      <c r="G19">
        <v>15</v>
      </c>
      <c r="H19">
        <v>24</v>
      </c>
      <c r="I19">
        <v>81</v>
      </c>
      <c r="J19" s="20">
        <v>0.19148899999999999</v>
      </c>
      <c r="K19">
        <v>14</v>
      </c>
      <c r="L19">
        <v>19.357143000000001</v>
      </c>
      <c r="M19">
        <v>53</v>
      </c>
      <c r="N19">
        <v>1</v>
      </c>
      <c r="O19">
        <v>271</v>
      </c>
      <c r="P19" s="1">
        <v>0.64066199999999995</v>
      </c>
    </row>
    <row r="20" spans="1:16" x14ac:dyDescent="0.25">
      <c r="A20" t="s">
        <v>16</v>
      </c>
      <c r="B20" s="19">
        <v>423040675</v>
      </c>
      <c r="C20">
        <v>357</v>
      </c>
      <c r="D20">
        <v>2143</v>
      </c>
      <c r="E20" s="1">
        <v>0.14280000000000001</v>
      </c>
      <c r="F20" s="1">
        <v>0.85719999999999996</v>
      </c>
      <c r="G20">
        <v>13</v>
      </c>
      <c r="H20">
        <v>27</v>
      </c>
      <c r="I20">
        <v>50</v>
      </c>
      <c r="J20" s="20">
        <v>0.14005600000000001</v>
      </c>
      <c r="K20">
        <v>15</v>
      </c>
      <c r="L20">
        <v>13.533333000000001</v>
      </c>
      <c r="M20">
        <v>34</v>
      </c>
      <c r="N20">
        <v>1</v>
      </c>
      <c r="O20">
        <v>203</v>
      </c>
      <c r="P20" s="1">
        <v>0.56862699999999999</v>
      </c>
    </row>
    <row r="21" spans="1:16" x14ac:dyDescent="0.25">
      <c r="A21" t="s">
        <v>16</v>
      </c>
      <c r="B21" s="19">
        <v>785872060</v>
      </c>
      <c r="C21">
        <v>304</v>
      </c>
      <c r="D21">
        <v>2196</v>
      </c>
      <c r="E21" s="1">
        <v>0.1216</v>
      </c>
      <c r="F21" s="1">
        <v>0.87839999999999996</v>
      </c>
      <c r="G21">
        <v>12</v>
      </c>
      <c r="H21">
        <v>30</v>
      </c>
      <c r="I21">
        <v>46</v>
      </c>
      <c r="J21" s="20">
        <v>0.15131600000000001</v>
      </c>
      <c r="K21">
        <v>17</v>
      </c>
      <c r="L21">
        <v>9</v>
      </c>
      <c r="M21">
        <v>35</v>
      </c>
      <c r="N21">
        <v>1</v>
      </c>
      <c r="O21">
        <v>153</v>
      </c>
      <c r="P21" s="1">
        <v>0.50328899999999999</v>
      </c>
    </row>
    <row r="22" spans="1:16" x14ac:dyDescent="0.25">
      <c r="A22" t="s">
        <v>16</v>
      </c>
      <c r="B22" s="19">
        <v>134190293</v>
      </c>
      <c r="C22">
        <v>420</v>
      </c>
      <c r="D22">
        <v>2080</v>
      </c>
      <c r="E22" s="1">
        <v>0.16800000000000001</v>
      </c>
      <c r="F22" s="1">
        <v>0.83199999999999996</v>
      </c>
      <c r="G22">
        <v>15</v>
      </c>
      <c r="H22">
        <v>31</v>
      </c>
      <c r="I22">
        <v>82</v>
      </c>
      <c r="J22" s="20">
        <v>0.19523799999999999</v>
      </c>
      <c r="K22">
        <v>17</v>
      </c>
      <c r="L22">
        <v>14.588234999999999</v>
      </c>
      <c r="M22">
        <v>38</v>
      </c>
      <c r="N22">
        <v>1</v>
      </c>
      <c r="O22">
        <v>248</v>
      </c>
      <c r="P22" s="1">
        <v>0.590476</v>
      </c>
    </row>
    <row r="23" spans="1:16" x14ac:dyDescent="0.25">
      <c r="A23" t="s">
        <v>16</v>
      </c>
      <c r="B23" s="19">
        <v>537069413</v>
      </c>
      <c r="C23">
        <v>417</v>
      </c>
      <c r="D23">
        <v>2083</v>
      </c>
      <c r="E23" s="1">
        <v>0.1668</v>
      </c>
      <c r="F23" s="1">
        <v>0.83320000000000005</v>
      </c>
      <c r="G23">
        <v>16</v>
      </c>
      <c r="H23">
        <v>23</v>
      </c>
      <c r="I23">
        <v>66</v>
      </c>
      <c r="J23" s="20">
        <v>0.158273</v>
      </c>
      <c r="K23">
        <v>18</v>
      </c>
      <c r="L23">
        <v>13.833333</v>
      </c>
      <c r="M23">
        <v>48</v>
      </c>
      <c r="N23">
        <v>2</v>
      </c>
      <c r="O23">
        <v>249</v>
      </c>
      <c r="P23" s="1">
        <v>0.59712200000000004</v>
      </c>
    </row>
    <row r="24" spans="1:16" x14ac:dyDescent="0.25">
      <c r="A24" t="s">
        <v>16</v>
      </c>
      <c r="B24" s="19">
        <v>174889256</v>
      </c>
      <c r="C24">
        <v>300</v>
      </c>
      <c r="D24">
        <v>2200</v>
      </c>
      <c r="E24" s="1">
        <v>0.12</v>
      </c>
      <c r="F24" s="1">
        <v>0.88</v>
      </c>
      <c r="G24">
        <v>17</v>
      </c>
      <c r="H24">
        <v>24</v>
      </c>
      <c r="I24">
        <v>79</v>
      </c>
      <c r="J24" s="20">
        <v>0.26333299999999998</v>
      </c>
      <c r="K24">
        <v>9</v>
      </c>
      <c r="L24">
        <v>20.111111000000001</v>
      </c>
      <c r="M24">
        <v>66</v>
      </c>
      <c r="N24">
        <v>1</v>
      </c>
      <c r="O24">
        <v>181</v>
      </c>
      <c r="P24" s="1">
        <v>0.60333300000000001</v>
      </c>
    </row>
    <row r="25" spans="1:16" x14ac:dyDescent="0.25">
      <c r="A25" t="s">
        <v>16</v>
      </c>
      <c r="B25" s="19">
        <v>393308505</v>
      </c>
      <c r="C25">
        <v>221</v>
      </c>
      <c r="D25">
        <v>2279</v>
      </c>
      <c r="E25" s="1">
        <v>8.8400000000000006E-2</v>
      </c>
      <c r="F25" s="1">
        <v>0.91159999999999997</v>
      </c>
      <c r="G25">
        <v>13</v>
      </c>
      <c r="H25">
        <v>25</v>
      </c>
      <c r="I25">
        <v>55</v>
      </c>
      <c r="J25" s="20">
        <v>0.24886900000000001</v>
      </c>
      <c r="K25">
        <v>13</v>
      </c>
      <c r="L25">
        <v>7.6153849999999998</v>
      </c>
      <c r="M25">
        <v>28</v>
      </c>
      <c r="N25">
        <v>2</v>
      </c>
      <c r="O25">
        <v>99</v>
      </c>
      <c r="P25" s="1">
        <v>0.44796399999999997</v>
      </c>
    </row>
    <row r="26" spans="1:16" x14ac:dyDescent="0.25">
      <c r="A26" t="s">
        <v>16</v>
      </c>
      <c r="B26" s="19">
        <v>1509209136</v>
      </c>
      <c r="C26">
        <v>319</v>
      </c>
      <c r="D26">
        <v>2181</v>
      </c>
      <c r="E26" s="1">
        <v>0.12759999999999999</v>
      </c>
      <c r="F26" s="1">
        <v>0.87239999999999995</v>
      </c>
      <c r="G26">
        <v>13</v>
      </c>
      <c r="H26">
        <v>25</v>
      </c>
      <c r="I26">
        <v>97</v>
      </c>
      <c r="J26" s="20">
        <v>0.30407499999999998</v>
      </c>
      <c r="K26">
        <v>12</v>
      </c>
      <c r="L26">
        <v>15.583333</v>
      </c>
      <c r="M26">
        <v>79</v>
      </c>
      <c r="N26">
        <v>1</v>
      </c>
      <c r="O26">
        <v>187</v>
      </c>
      <c r="P26" s="1">
        <v>0.58620700000000003</v>
      </c>
    </row>
    <row r="27" spans="1:16" x14ac:dyDescent="0.25">
      <c r="A27" t="s">
        <v>16</v>
      </c>
      <c r="B27" s="19">
        <v>443537807</v>
      </c>
      <c r="C27">
        <v>304</v>
      </c>
      <c r="D27">
        <v>2196</v>
      </c>
      <c r="E27" s="1">
        <v>0.1216</v>
      </c>
      <c r="F27" s="1">
        <v>0.87839999999999996</v>
      </c>
      <c r="G27">
        <v>12</v>
      </c>
      <c r="H27">
        <v>20</v>
      </c>
      <c r="I27">
        <v>55</v>
      </c>
      <c r="J27" s="20">
        <v>0.180921</v>
      </c>
      <c r="K27">
        <v>13</v>
      </c>
      <c r="L27">
        <v>13.692308000000001</v>
      </c>
      <c r="M27">
        <v>40</v>
      </c>
      <c r="N27">
        <v>1</v>
      </c>
      <c r="O27">
        <v>178</v>
      </c>
      <c r="P27" s="1">
        <v>0.58552599999999999</v>
      </c>
    </row>
    <row r="28" spans="1:16" x14ac:dyDescent="0.25">
      <c r="A28" t="s">
        <v>16</v>
      </c>
      <c r="B28" s="19">
        <v>1294050844</v>
      </c>
      <c r="C28">
        <v>374</v>
      </c>
      <c r="D28">
        <v>2126</v>
      </c>
      <c r="E28" s="1">
        <v>0.14960000000000001</v>
      </c>
      <c r="F28" s="1">
        <v>0.85040000000000004</v>
      </c>
      <c r="G28">
        <v>18</v>
      </c>
      <c r="H28">
        <v>27</v>
      </c>
      <c r="I28">
        <v>101</v>
      </c>
      <c r="J28" s="20">
        <v>0.27005299999999999</v>
      </c>
      <c r="K28">
        <v>15</v>
      </c>
      <c r="L28">
        <v>14.866667</v>
      </c>
      <c r="M28">
        <v>71</v>
      </c>
      <c r="N28">
        <v>2</v>
      </c>
      <c r="O28">
        <v>223</v>
      </c>
      <c r="P28" s="1">
        <v>0.59625700000000004</v>
      </c>
    </row>
    <row r="29" spans="1:16" x14ac:dyDescent="0.25">
      <c r="A29" t="s">
        <v>16</v>
      </c>
      <c r="B29" s="19">
        <v>735231736</v>
      </c>
      <c r="C29">
        <v>337</v>
      </c>
      <c r="D29">
        <v>2163</v>
      </c>
      <c r="E29" s="1">
        <v>0.1348</v>
      </c>
      <c r="F29" s="1">
        <v>0.86519999999999997</v>
      </c>
      <c r="G29">
        <v>20</v>
      </c>
      <c r="H29">
        <v>26</v>
      </c>
      <c r="I29">
        <v>105</v>
      </c>
      <c r="J29" s="20">
        <v>0.31157299999999999</v>
      </c>
      <c r="K29">
        <v>14</v>
      </c>
      <c r="L29">
        <v>13.5</v>
      </c>
      <c r="M29">
        <v>80</v>
      </c>
      <c r="N29">
        <v>1</v>
      </c>
      <c r="O29">
        <v>189</v>
      </c>
      <c r="P29" s="1">
        <v>0.56083099999999997</v>
      </c>
    </row>
    <row r="30" spans="1:16" x14ac:dyDescent="0.25">
      <c r="A30" t="s">
        <v>16</v>
      </c>
      <c r="B30" s="19">
        <v>883823593</v>
      </c>
      <c r="C30">
        <v>348</v>
      </c>
      <c r="D30">
        <v>2152</v>
      </c>
      <c r="E30" s="1">
        <v>0.13919999999999999</v>
      </c>
      <c r="F30" s="1">
        <v>0.86080000000000001</v>
      </c>
      <c r="G30">
        <v>14</v>
      </c>
      <c r="H30">
        <v>25</v>
      </c>
      <c r="I30">
        <v>98</v>
      </c>
      <c r="J30" s="20">
        <v>0.281609</v>
      </c>
      <c r="K30">
        <v>14</v>
      </c>
      <c r="L30">
        <v>14.642856999999999</v>
      </c>
      <c r="M30">
        <v>81</v>
      </c>
      <c r="N30">
        <v>2</v>
      </c>
      <c r="O30">
        <v>205</v>
      </c>
      <c r="P30" s="1">
        <v>0.58908000000000005</v>
      </c>
    </row>
    <row r="31" spans="1:16" x14ac:dyDescent="0.25">
      <c r="A31" t="s">
        <v>16</v>
      </c>
      <c r="B31" s="19">
        <v>1336053729</v>
      </c>
      <c r="C31">
        <v>340</v>
      </c>
      <c r="D31">
        <v>2160</v>
      </c>
      <c r="E31" s="1">
        <v>0.13600000000000001</v>
      </c>
      <c r="F31" s="1">
        <v>0.86399999999999999</v>
      </c>
      <c r="G31">
        <v>11</v>
      </c>
      <c r="H31">
        <v>28</v>
      </c>
      <c r="I31">
        <v>47</v>
      </c>
      <c r="J31" s="20">
        <v>0.138235</v>
      </c>
      <c r="K31">
        <v>13</v>
      </c>
      <c r="L31">
        <v>14.923076999999999</v>
      </c>
      <c r="M31">
        <v>35</v>
      </c>
      <c r="N31">
        <v>2</v>
      </c>
      <c r="O31">
        <v>194</v>
      </c>
      <c r="P31" s="1">
        <v>0.57058799999999998</v>
      </c>
    </row>
    <row r="32" spans="1:16" x14ac:dyDescent="0.25">
      <c r="A32" t="s">
        <v>16</v>
      </c>
      <c r="B32" s="19">
        <v>1587779422</v>
      </c>
      <c r="C32">
        <v>269</v>
      </c>
      <c r="D32">
        <v>2231</v>
      </c>
      <c r="E32" s="1">
        <v>0.1076</v>
      </c>
      <c r="F32" s="1">
        <v>0.89239999999999997</v>
      </c>
      <c r="G32">
        <v>9</v>
      </c>
      <c r="H32">
        <v>31</v>
      </c>
      <c r="I32">
        <v>30</v>
      </c>
      <c r="J32" s="20">
        <v>0.111524</v>
      </c>
      <c r="K32">
        <v>17</v>
      </c>
      <c r="L32">
        <v>6.8235289999999997</v>
      </c>
      <c r="M32">
        <v>19</v>
      </c>
      <c r="N32">
        <v>2</v>
      </c>
      <c r="O32">
        <v>116</v>
      </c>
      <c r="P32" s="1">
        <v>0.43122700000000003</v>
      </c>
    </row>
    <row r="33" spans="1:16" x14ac:dyDescent="0.25">
      <c r="A33" t="s">
        <v>16</v>
      </c>
      <c r="B33" s="19">
        <v>427861855</v>
      </c>
      <c r="C33">
        <v>355</v>
      </c>
      <c r="D33">
        <v>2145</v>
      </c>
      <c r="E33" s="1">
        <v>0.14199999999999999</v>
      </c>
      <c r="F33" s="1">
        <v>0.85799999999999998</v>
      </c>
      <c r="G33">
        <v>13</v>
      </c>
      <c r="H33">
        <v>24</v>
      </c>
      <c r="I33">
        <v>46</v>
      </c>
      <c r="J33" s="20">
        <v>0.129577</v>
      </c>
      <c r="K33">
        <v>16</v>
      </c>
      <c r="L33">
        <v>13.1875</v>
      </c>
      <c r="M33">
        <v>33</v>
      </c>
      <c r="N33">
        <v>3</v>
      </c>
      <c r="O33">
        <v>211</v>
      </c>
      <c r="P33" s="1">
        <v>0.59436599999999995</v>
      </c>
    </row>
    <row r="34" spans="1:16" x14ac:dyDescent="0.25">
      <c r="A34" t="s">
        <v>16</v>
      </c>
      <c r="B34" s="19">
        <v>146389967</v>
      </c>
      <c r="C34">
        <v>324</v>
      </c>
      <c r="D34">
        <v>2176</v>
      </c>
      <c r="E34" s="1">
        <v>0.12959999999999999</v>
      </c>
      <c r="F34" s="1">
        <v>0.87039999999999995</v>
      </c>
      <c r="G34">
        <v>13</v>
      </c>
      <c r="H34">
        <v>32</v>
      </c>
      <c r="I34">
        <v>36</v>
      </c>
      <c r="J34" s="20">
        <v>0.111111</v>
      </c>
      <c r="K34">
        <v>19</v>
      </c>
      <c r="L34">
        <v>8.5789469999999994</v>
      </c>
      <c r="M34">
        <v>23</v>
      </c>
      <c r="N34">
        <v>1</v>
      </c>
      <c r="O34">
        <v>163</v>
      </c>
      <c r="P34" s="1">
        <v>0.50308600000000003</v>
      </c>
    </row>
    <row r="35" spans="1:16" x14ac:dyDescent="0.25">
      <c r="A35" t="s">
        <v>16</v>
      </c>
      <c r="B35" s="19">
        <v>884323717</v>
      </c>
      <c r="C35">
        <v>283</v>
      </c>
      <c r="D35">
        <v>2217</v>
      </c>
      <c r="E35" s="1">
        <v>0.1132</v>
      </c>
      <c r="F35" s="1">
        <v>0.88680000000000003</v>
      </c>
      <c r="G35">
        <v>12</v>
      </c>
      <c r="H35">
        <v>21</v>
      </c>
      <c r="I35">
        <v>61</v>
      </c>
      <c r="J35" s="20">
        <v>0.21554799999999999</v>
      </c>
      <c r="K35">
        <v>10</v>
      </c>
      <c r="L35">
        <v>17</v>
      </c>
      <c r="M35">
        <v>44</v>
      </c>
      <c r="N35">
        <v>2</v>
      </c>
      <c r="O35">
        <v>170</v>
      </c>
      <c r="P35" s="1">
        <v>0.60070699999999999</v>
      </c>
    </row>
    <row r="36" spans="1:16" x14ac:dyDescent="0.25">
      <c r="A36" t="s">
        <v>16</v>
      </c>
      <c r="B36" s="19">
        <v>1023525548</v>
      </c>
      <c r="C36">
        <v>312</v>
      </c>
      <c r="D36">
        <v>2188</v>
      </c>
      <c r="E36" s="1">
        <v>0.12479999999999999</v>
      </c>
      <c r="F36" s="1">
        <v>0.87519999999999998</v>
      </c>
      <c r="G36">
        <v>13</v>
      </c>
      <c r="H36">
        <v>27</v>
      </c>
      <c r="I36">
        <v>58</v>
      </c>
      <c r="J36" s="20">
        <v>0.18589700000000001</v>
      </c>
      <c r="K36">
        <v>14</v>
      </c>
      <c r="L36">
        <v>11.857143000000001</v>
      </c>
      <c r="M36">
        <v>43</v>
      </c>
      <c r="N36">
        <v>2</v>
      </c>
      <c r="O36">
        <v>166</v>
      </c>
      <c r="P36" s="1">
        <v>0.53205100000000005</v>
      </c>
    </row>
    <row r="37" spans="1:16" x14ac:dyDescent="0.25">
      <c r="A37" t="s">
        <v>16</v>
      </c>
      <c r="B37" s="19">
        <v>1699995841</v>
      </c>
      <c r="C37">
        <v>287</v>
      </c>
      <c r="D37">
        <v>2213</v>
      </c>
      <c r="E37" s="1">
        <v>0.1148</v>
      </c>
      <c r="F37" s="1">
        <v>0.88519999999999999</v>
      </c>
      <c r="G37">
        <v>12</v>
      </c>
      <c r="H37">
        <v>23</v>
      </c>
      <c r="I37">
        <v>62</v>
      </c>
      <c r="J37" s="20">
        <v>0.216028</v>
      </c>
      <c r="K37">
        <v>13</v>
      </c>
      <c r="L37">
        <v>12.538462000000001</v>
      </c>
      <c r="M37">
        <v>50</v>
      </c>
      <c r="N37">
        <v>1</v>
      </c>
      <c r="O37">
        <v>163</v>
      </c>
      <c r="P37" s="1">
        <v>0.567944</v>
      </c>
    </row>
    <row r="38" spans="1:16" x14ac:dyDescent="0.25">
      <c r="A38" t="s">
        <v>16</v>
      </c>
      <c r="B38" s="19">
        <v>414885188</v>
      </c>
      <c r="C38">
        <v>210</v>
      </c>
      <c r="D38">
        <v>2290</v>
      </c>
      <c r="E38" s="1">
        <v>8.4000000000000005E-2</v>
      </c>
      <c r="F38" s="1">
        <v>0.91600000000000004</v>
      </c>
      <c r="G38">
        <v>9</v>
      </c>
      <c r="H38">
        <v>25</v>
      </c>
      <c r="I38">
        <v>31</v>
      </c>
      <c r="J38" s="20">
        <v>0.147619</v>
      </c>
      <c r="K38">
        <v>10</v>
      </c>
      <c r="L38">
        <v>9.8000000000000007</v>
      </c>
      <c r="M38">
        <v>21</v>
      </c>
      <c r="N38">
        <v>1</v>
      </c>
      <c r="O38">
        <v>98</v>
      </c>
      <c r="P38" s="1">
        <v>0.466667</v>
      </c>
    </row>
    <row r="39" spans="1:16" x14ac:dyDescent="0.25">
      <c r="A39" t="s">
        <v>16</v>
      </c>
      <c r="B39" s="19">
        <v>586898581</v>
      </c>
      <c r="C39">
        <v>272</v>
      </c>
      <c r="D39">
        <v>2228</v>
      </c>
      <c r="E39" s="1">
        <v>0.10879999999999999</v>
      </c>
      <c r="F39" s="1">
        <v>0.89119999999999999</v>
      </c>
      <c r="G39">
        <v>10</v>
      </c>
      <c r="H39">
        <v>23</v>
      </c>
      <c r="I39">
        <v>45</v>
      </c>
      <c r="J39" s="20">
        <v>0.165441</v>
      </c>
      <c r="K39">
        <v>15</v>
      </c>
      <c r="L39">
        <v>9.8666669999999996</v>
      </c>
      <c r="M39">
        <v>35</v>
      </c>
      <c r="N39">
        <v>2</v>
      </c>
      <c r="O39">
        <v>148</v>
      </c>
      <c r="P39" s="1">
        <v>0.54411799999999999</v>
      </c>
    </row>
    <row r="40" spans="1:16" x14ac:dyDescent="0.25">
      <c r="A40" t="s">
        <v>16</v>
      </c>
      <c r="B40" s="19">
        <v>718246282</v>
      </c>
      <c r="C40">
        <v>336</v>
      </c>
      <c r="D40">
        <v>2164</v>
      </c>
      <c r="E40" s="1">
        <v>0.13439999999999999</v>
      </c>
      <c r="F40" s="1">
        <v>0.86560000000000004</v>
      </c>
      <c r="G40">
        <v>13</v>
      </c>
      <c r="H40">
        <v>19</v>
      </c>
      <c r="I40">
        <v>92</v>
      </c>
      <c r="J40" s="20">
        <v>0.27381</v>
      </c>
      <c r="K40">
        <v>13</v>
      </c>
      <c r="L40">
        <v>16.615385</v>
      </c>
      <c r="M40">
        <v>76</v>
      </c>
      <c r="N40">
        <v>1</v>
      </c>
      <c r="O40">
        <v>216</v>
      </c>
      <c r="P40" s="1">
        <v>0.64285700000000001</v>
      </c>
    </row>
    <row r="41" spans="1:16" x14ac:dyDescent="0.25">
      <c r="A41" t="s">
        <v>16</v>
      </c>
      <c r="B41" s="19">
        <v>1285393318</v>
      </c>
      <c r="C41">
        <v>324</v>
      </c>
      <c r="D41">
        <v>2176</v>
      </c>
      <c r="E41" s="1">
        <v>0.12959999999999999</v>
      </c>
      <c r="F41" s="1">
        <v>0.87039999999999995</v>
      </c>
      <c r="G41">
        <v>14</v>
      </c>
      <c r="H41">
        <v>25</v>
      </c>
      <c r="I41">
        <v>71</v>
      </c>
      <c r="J41" s="20">
        <v>0.219136</v>
      </c>
      <c r="K41">
        <v>14</v>
      </c>
      <c r="L41">
        <v>13.357143000000001</v>
      </c>
      <c r="M41">
        <v>41</v>
      </c>
      <c r="N41">
        <v>2</v>
      </c>
      <c r="O41">
        <v>187</v>
      </c>
      <c r="P41" s="1">
        <v>0.57716000000000001</v>
      </c>
    </row>
    <row r="42" spans="1:16" x14ac:dyDescent="0.25">
      <c r="A42" t="s">
        <v>16</v>
      </c>
      <c r="B42" s="19">
        <v>1900536366</v>
      </c>
      <c r="C42">
        <v>361</v>
      </c>
      <c r="D42">
        <v>2139</v>
      </c>
      <c r="E42" s="1">
        <v>0.1444</v>
      </c>
      <c r="F42" s="1">
        <v>0.85560000000000003</v>
      </c>
      <c r="G42">
        <v>17</v>
      </c>
      <c r="H42">
        <v>32</v>
      </c>
      <c r="I42">
        <v>122</v>
      </c>
      <c r="J42" s="20">
        <v>0.33794999999999997</v>
      </c>
      <c r="K42">
        <v>13</v>
      </c>
      <c r="L42">
        <v>15.923076999999999</v>
      </c>
      <c r="M42">
        <v>82</v>
      </c>
      <c r="N42">
        <v>1</v>
      </c>
      <c r="O42">
        <v>207</v>
      </c>
      <c r="P42" s="1">
        <v>0.573407</v>
      </c>
    </row>
    <row r="43" spans="1:16" x14ac:dyDescent="0.25">
      <c r="A43" t="s">
        <v>16</v>
      </c>
      <c r="B43" s="19">
        <v>471954607</v>
      </c>
      <c r="C43">
        <v>338</v>
      </c>
      <c r="D43">
        <v>2162</v>
      </c>
      <c r="E43" s="1">
        <v>0.13519999999999999</v>
      </c>
      <c r="F43" s="1">
        <v>0.86480000000000001</v>
      </c>
      <c r="G43">
        <v>14</v>
      </c>
      <c r="H43">
        <v>26</v>
      </c>
      <c r="I43">
        <v>51</v>
      </c>
      <c r="J43" s="20">
        <v>0.15088799999999999</v>
      </c>
      <c r="K43">
        <v>18</v>
      </c>
      <c r="L43">
        <v>9.7777779999999996</v>
      </c>
      <c r="M43">
        <v>35</v>
      </c>
      <c r="N43">
        <v>1</v>
      </c>
      <c r="O43">
        <v>176</v>
      </c>
      <c r="P43" s="1">
        <v>0.52071000000000001</v>
      </c>
    </row>
    <row r="44" spans="1:16" x14ac:dyDescent="0.25">
      <c r="A44" t="s">
        <v>16</v>
      </c>
      <c r="B44" s="19">
        <v>1790619273</v>
      </c>
      <c r="C44">
        <v>333</v>
      </c>
      <c r="D44">
        <v>2167</v>
      </c>
      <c r="E44" s="1">
        <v>0.13320000000000001</v>
      </c>
      <c r="F44" s="1">
        <v>0.86680000000000001</v>
      </c>
      <c r="G44">
        <v>11</v>
      </c>
      <c r="H44">
        <v>25</v>
      </c>
      <c r="I44">
        <v>35</v>
      </c>
      <c r="J44" s="20">
        <v>0.105105</v>
      </c>
      <c r="K44">
        <v>18</v>
      </c>
      <c r="L44">
        <v>10.166667</v>
      </c>
      <c r="M44">
        <v>26</v>
      </c>
      <c r="N44">
        <v>1</v>
      </c>
      <c r="O44">
        <v>183</v>
      </c>
      <c r="P44" s="1">
        <v>0.54954999999999998</v>
      </c>
    </row>
    <row r="45" spans="1:16" x14ac:dyDescent="0.25">
      <c r="A45" t="s">
        <v>16</v>
      </c>
      <c r="B45" s="19">
        <v>1572471273</v>
      </c>
      <c r="C45">
        <v>313</v>
      </c>
      <c r="D45">
        <v>2187</v>
      </c>
      <c r="E45" s="1">
        <v>0.12520000000000001</v>
      </c>
      <c r="F45" s="1">
        <v>0.87480000000000002</v>
      </c>
      <c r="G45">
        <v>14</v>
      </c>
      <c r="H45">
        <v>24</v>
      </c>
      <c r="I45">
        <v>49</v>
      </c>
      <c r="J45" s="20">
        <v>0.15654999999999999</v>
      </c>
      <c r="K45">
        <v>17</v>
      </c>
      <c r="L45">
        <v>9.2352939999999997</v>
      </c>
      <c r="M45">
        <v>34</v>
      </c>
      <c r="N45">
        <v>1</v>
      </c>
      <c r="O45">
        <v>157</v>
      </c>
      <c r="P45" s="1">
        <v>0.50159699999999996</v>
      </c>
    </row>
    <row r="46" spans="1:16" x14ac:dyDescent="0.25">
      <c r="A46" t="s">
        <v>16</v>
      </c>
      <c r="B46" s="19">
        <v>1118198804</v>
      </c>
      <c r="C46">
        <v>291</v>
      </c>
      <c r="D46">
        <v>2209</v>
      </c>
      <c r="E46" s="1">
        <v>0.1164</v>
      </c>
      <c r="F46" s="1">
        <v>0.88360000000000005</v>
      </c>
      <c r="G46">
        <v>10</v>
      </c>
      <c r="H46">
        <v>25</v>
      </c>
      <c r="I46">
        <v>35</v>
      </c>
      <c r="J46" s="20">
        <v>0.12027500000000001</v>
      </c>
      <c r="K46">
        <v>14</v>
      </c>
      <c r="L46">
        <v>11.214286</v>
      </c>
      <c r="M46">
        <v>23</v>
      </c>
      <c r="N46">
        <v>1</v>
      </c>
      <c r="O46">
        <v>157</v>
      </c>
      <c r="P46" s="1">
        <v>0.53951899999999997</v>
      </c>
    </row>
    <row r="47" spans="1:16" x14ac:dyDescent="0.25">
      <c r="A47" t="s">
        <v>16</v>
      </c>
      <c r="B47" s="19">
        <v>2100528730</v>
      </c>
      <c r="C47">
        <v>264</v>
      </c>
      <c r="D47">
        <v>2236</v>
      </c>
      <c r="E47" s="1">
        <v>0.1056</v>
      </c>
      <c r="F47" s="1">
        <v>0.89439999999999997</v>
      </c>
      <c r="G47">
        <v>12</v>
      </c>
      <c r="H47">
        <v>20</v>
      </c>
      <c r="I47">
        <v>30</v>
      </c>
      <c r="J47" s="20">
        <v>0.113636</v>
      </c>
      <c r="K47">
        <v>16</v>
      </c>
      <c r="L47">
        <v>8.125</v>
      </c>
      <c r="M47">
        <v>16</v>
      </c>
      <c r="N47">
        <v>3</v>
      </c>
      <c r="O47">
        <v>130</v>
      </c>
      <c r="P47" s="1">
        <v>0.49242399999999997</v>
      </c>
    </row>
    <row r="48" spans="1:16" x14ac:dyDescent="0.25">
      <c r="A48" t="s">
        <v>16</v>
      </c>
      <c r="B48" s="19">
        <v>1692230385</v>
      </c>
      <c r="C48">
        <v>242</v>
      </c>
      <c r="D48">
        <v>2258</v>
      </c>
      <c r="E48" s="1">
        <v>9.6799999999999997E-2</v>
      </c>
      <c r="F48" s="1">
        <v>0.9032</v>
      </c>
      <c r="G48">
        <v>14</v>
      </c>
      <c r="H48">
        <v>20</v>
      </c>
      <c r="I48">
        <v>60</v>
      </c>
      <c r="J48" s="20">
        <v>0.24793399999999999</v>
      </c>
      <c r="K48">
        <v>14</v>
      </c>
      <c r="L48">
        <v>9.1428569999999993</v>
      </c>
      <c r="M48">
        <v>27</v>
      </c>
      <c r="N48">
        <v>2</v>
      </c>
      <c r="O48">
        <v>128</v>
      </c>
      <c r="P48" s="1">
        <v>0.52892600000000001</v>
      </c>
    </row>
    <row r="49" spans="1:16" x14ac:dyDescent="0.25">
      <c r="A49" t="s">
        <v>16</v>
      </c>
      <c r="B49" s="19">
        <v>2087441889</v>
      </c>
      <c r="C49">
        <v>356</v>
      </c>
      <c r="D49">
        <v>2144</v>
      </c>
      <c r="E49" s="1">
        <v>0.1424</v>
      </c>
      <c r="F49" s="1">
        <v>0.85760000000000003</v>
      </c>
      <c r="G49">
        <v>18</v>
      </c>
      <c r="H49">
        <v>21</v>
      </c>
      <c r="I49">
        <v>82</v>
      </c>
      <c r="J49" s="20">
        <v>0.23033699999999999</v>
      </c>
      <c r="K49">
        <v>17</v>
      </c>
      <c r="L49">
        <v>12.117647</v>
      </c>
      <c r="M49">
        <v>55</v>
      </c>
      <c r="N49">
        <v>1</v>
      </c>
      <c r="O49">
        <v>206</v>
      </c>
      <c r="P49" s="1">
        <v>0.57865200000000006</v>
      </c>
    </row>
    <row r="50" spans="1:16" x14ac:dyDescent="0.25">
      <c r="A50" t="s">
        <v>16</v>
      </c>
      <c r="B50" s="19">
        <v>1325783310</v>
      </c>
      <c r="C50">
        <v>434</v>
      </c>
      <c r="D50">
        <v>2066</v>
      </c>
      <c r="E50" s="1">
        <v>0.1736</v>
      </c>
      <c r="F50" s="1">
        <v>0.82640000000000002</v>
      </c>
      <c r="G50">
        <v>19</v>
      </c>
      <c r="H50">
        <v>25</v>
      </c>
      <c r="I50">
        <v>90</v>
      </c>
      <c r="J50" s="20">
        <v>0.207373</v>
      </c>
      <c r="K50">
        <v>12</v>
      </c>
      <c r="L50">
        <v>23.083333</v>
      </c>
      <c r="M50">
        <v>70</v>
      </c>
      <c r="N50">
        <v>1</v>
      </c>
      <c r="O50">
        <v>277</v>
      </c>
      <c r="P50" s="1">
        <v>0.63824899999999996</v>
      </c>
    </row>
    <row r="51" spans="1:16" x14ac:dyDescent="0.25">
      <c r="A51" t="s">
        <v>16</v>
      </c>
      <c r="B51" s="19">
        <v>1999966202</v>
      </c>
      <c r="C51">
        <v>328</v>
      </c>
      <c r="D51">
        <v>2172</v>
      </c>
      <c r="E51" s="1">
        <v>0.13120000000000001</v>
      </c>
      <c r="F51" s="1">
        <v>0.86880000000000002</v>
      </c>
      <c r="G51">
        <v>19</v>
      </c>
      <c r="H51">
        <v>32</v>
      </c>
      <c r="I51">
        <v>126</v>
      </c>
      <c r="J51" s="20">
        <v>0.38414599999999999</v>
      </c>
      <c r="K51">
        <v>15</v>
      </c>
      <c r="L51">
        <v>12.266667</v>
      </c>
      <c r="M51">
        <v>103</v>
      </c>
      <c r="N51">
        <v>1</v>
      </c>
      <c r="O51">
        <v>184</v>
      </c>
      <c r="P51" s="1">
        <v>0.56097600000000003</v>
      </c>
    </row>
    <row r="52" spans="1:16" x14ac:dyDescent="0.25">
      <c r="A52" t="s">
        <v>26</v>
      </c>
      <c r="B52"/>
      <c r="C52">
        <f>SUBTOTAL(101,CA8_wall70_it3_neigh5[floors])</f>
        <v>319.82</v>
      </c>
      <c r="D52">
        <f>SUBTOTAL(101,CA8_wall70_it3_neigh5[walls])</f>
        <v>2180.1799999999998</v>
      </c>
      <c r="E52" s="2">
        <f>SUBTOTAL(101,CA8_wall70_it3_neigh5[floor_percent])</f>
        <v>0.12792799999999999</v>
      </c>
      <c r="F52" s="2">
        <f>SUBTOTAL(101,CA8_wall70_it3_neigh5[wall_percent])</f>
        <v>0.87207199999999985</v>
      </c>
      <c r="G52">
        <f>SUBTOTAL(101,CA8_wall70_it3_neigh5[longest_shortest_path])</f>
        <v>14</v>
      </c>
      <c r="H52">
        <f>SUBTOTAL(101,CA8_wall70_it3_neigh5[component_count])</f>
        <v>24.98</v>
      </c>
      <c r="I52">
        <f>SUBTOTAL(101,CA8_wall70_it3_neigh5[max_component_size])</f>
        <v>65.36</v>
      </c>
      <c r="J52">
        <f>SUBTOTAL(101,CA8_wall70_it3_neigh5[connectivity_ratio])</f>
        <v>0.20427253999999997</v>
      </c>
      <c r="K52">
        <f>SUBTOTAL(101,CA8_wall70_it3_neigh5[room_count])</f>
        <v>14.36</v>
      </c>
      <c r="L52">
        <f>SUBTOTAL(101,CA8_wall70_it3_neigh5[avg_room_size])</f>
        <v>12.7419963</v>
      </c>
      <c r="M52">
        <f>SUBTOTAL(101,CA8_wall70_it3_neigh5[max_room_size])</f>
        <v>44.7</v>
      </c>
      <c r="N52">
        <f>SUBTOTAL(101,CA8_wall70_it3_neigh5[min_room_size])</f>
        <v>1.44</v>
      </c>
      <c r="O52">
        <f>SUBTOTAL(101,CA8_wall70_it3_neigh5[room_tiles])</f>
        <v>178.64</v>
      </c>
      <c r="P52" s="2">
        <f>SUBTOTAL(101,CA8_wall70_it3_neigh5[room_ratio])</f>
        <v>0.55337579999999997</v>
      </c>
    </row>
    <row r="53" spans="1:16" x14ac:dyDescent="0.25">
      <c r="A53" s="22" t="s">
        <v>44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6B0A-2162-45CD-8948-B520DDF8581F}">
  <dimension ref="A1:P53"/>
  <sheetViews>
    <sheetView topLeftCell="A19" workbookViewId="0">
      <selection activeCell="H54" sqref="H54"/>
    </sheetView>
  </sheetViews>
  <sheetFormatPr defaultRowHeight="15" x14ac:dyDescent="0.25"/>
  <cols>
    <col min="1" max="1" width="20.140625" bestFit="1" customWidth="1"/>
    <col min="2" max="2" width="11" style="19" bestFit="1" customWidth="1"/>
    <col min="3" max="3" width="8.5703125" bestFit="1" customWidth="1"/>
    <col min="4" max="4" width="7.85546875" bestFit="1" customWidth="1"/>
    <col min="5" max="5" width="15.5703125" style="1" bestFit="1" customWidth="1"/>
    <col min="6" max="6" width="14.7109375" style="1" bestFit="1" customWidth="1"/>
    <col min="7" max="7" width="23.7109375" bestFit="1" customWidth="1"/>
    <col min="8" max="8" width="19.85546875" bestFit="1" customWidth="1"/>
    <col min="9" max="9" width="22.85546875" bestFit="1" customWidth="1"/>
    <col min="10" max="10" width="19.7109375" style="20" bestFit="1" customWidth="1"/>
    <col min="11" max="11" width="14" bestFit="1" customWidth="1"/>
    <col min="12" max="12" width="16.42578125" bestFit="1" customWidth="1"/>
    <col min="13" max="13" width="17.140625" bestFit="1" customWidth="1"/>
    <col min="14" max="14" width="16.85546875" bestFit="1" customWidth="1"/>
    <col min="15" max="15" width="12.85546875" bestFit="1" customWidth="1"/>
    <col min="16" max="16" width="13" style="1" bestFit="1" customWidth="1"/>
  </cols>
  <sheetData>
    <row r="1" spans="1:16" x14ac:dyDescent="0.25">
      <c r="A1" t="s">
        <v>0</v>
      </c>
      <c r="B1" s="19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0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 t="s">
        <v>16</v>
      </c>
      <c r="B2" s="19">
        <v>1434175512</v>
      </c>
      <c r="C2">
        <v>539</v>
      </c>
      <c r="D2">
        <v>1961</v>
      </c>
      <c r="E2" s="1">
        <v>0.21560000000000001</v>
      </c>
      <c r="F2" s="1">
        <v>0.78439999999999999</v>
      </c>
      <c r="G2">
        <v>23</v>
      </c>
      <c r="H2">
        <v>99</v>
      </c>
      <c r="I2">
        <v>70</v>
      </c>
      <c r="J2" s="20">
        <v>0.12987000000000001</v>
      </c>
      <c r="K2">
        <v>28</v>
      </c>
      <c r="L2">
        <v>4.2142860000000004</v>
      </c>
      <c r="M2">
        <v>20</v>
      </c>
      <c r="N2">
        <v>1</v>
      </c>
      <c r="O2">
        <v>118</v>
      </c>
      <c r="P2" s="1">
        <v>0.21892400000000001</v>
      </c>
    </row>
    <row r="3" spans="1:16" x14ac:dyDescent="0.25">
      <c r="A3" t="s">
        <v>16</v>
      </c>
      <c r="B3" s="19">
        <v>2119797047</v>
      </c>
      <c r="C3">
        <v>449</v>
      </c>
      <c r="D3">
        <v>2051</v>
      </c>
      <c r="E3" s="1">
        <v>0.17960000000000001</v>
      </c>
      <c r="F3" s="1">
        <v>0.82040000000000002</v>
      </c>
      <c r="G3">
        <v>16</v>
      </c>
      <c r="H3">
        <v>95</v>
      </c>
      <c r="I3">
        <v>47</v>
      </c>
      <c r="J3" s="20">
        <v>0.10467700000000001</v>
      </c>
      <c r="K3">
        <v>21</v>
      </c>
      <c r="L3">
        <v>4.5714290000000002</v>
      </c>
      <c r="M3">
        <v>10</v>
      </c>
      <c r="N3">
        <v>1</v>
      </c>
      <c r="O3">
        <v>96</v>
      </c>
      <c r="P3" s="1">
        <v>0.213808</v>
      </c>
    </row>
    <row r="4" spans="1:16" x14ac:dyDescent="0.25">
      <c r="A4" t="s">
        <v>16</v>
      </c>
      <c r="B4" s="19">
        <v>2086565613</v>
      </c>
      <c r="C4">
        <v>517</v>
      </c>
      <c r="D4">
        <v>1983</v>
      </c>
      <c r="E4" s="1">
        <v>0.20680000000000001</v>
      </c>
      <c r="F4" s="1">
        <v>0.79320000000000002</v>
      </c>
      <c r="G4">
        <v>16</v>
      </c>
      <c r="H4">
        <v>83</v>
      </c>
      <c r="I4">
        <v>49</v>
      </c>
      <c r="J4" s="20">
        <v>9.4778000000000001E-2</v>
      </c>
      <c r="K4">
        <v>22</v>
      </c>
      <c r="L4">
        <v>6.8181820000000002</v>
      </c>
      <c r="M4">
        <v>19</v>
      </c>
      <c r="N4">
        <v>1</v>
      </c>
      <c r="O4">
        <v>150</v>
      </c>
      <c r="P4" s="1">
        <v>0.29013499999999998</v>
      </c>
    </row>
    <row r="5" spans="1:16" x14ac:dyDescent="0.25">
      <c r="A5" t="s">
        <v>16</v>
      </c>
      <c r="B5" s="19">
        <v>1233088080</v>
      </c>
      <c r="C5">
        <v>538</v>
      </c>
      <c r="D5">
        <v>1962</v>
      </c>
      <c r="E5" s="1">
        <v>0.2152</v>
      </c>
      <c r="F5" s="1">
        <v>0.78480000000000005</v>
      </c>
      <c r="G5">
        <v>21</v>
      </c>
      <c r="H5">
        <v>85</v>
      </c>
      <c r="I5">
        <v>92</v>
      </c>
      <c r="J5" s="20">
        <v>0.17100399999999999</v>
      </c>
      <c r="K5">
        <v>22</v>
      </c>
      <c r="L5">
        <v>7.1363640000000004</v>
      </c>
      <c r="M5">
        <v>49</v>
      </c>
      <c r="N5">
        <v>1</v>
      </c>
      <c r="O5">
        <v>157</v>
      </c>
      <c r="P5" s="1">
        <v>0.29182200000000003</v>
      </c>
    </row>
    <row r="6" spans="1:16" x14ac:dyDescent="0.25">
      <c r="A6" t="s">
        <v>16</v>
      </c>
      <c r="B6" s="19">
        <v>1957143238</v>
      </c>
      <c r="C6">
        <v>545</v>
      </c>
      <c r="D6">
        <v>1955</v>
      </c>
      <c r="E6" s="1">
        <v>0.218</v>
      </c>
      <c r="F6" s="1">
        <v>0.78200000000000003</v>
      </c>
      <c r="G6">
        <v>38</v>
      </c>
      <c r="H6">
        <v>99</v>
      </c>
      <c r="I6">
        <v>117</v>
      </c>
      <c r="J6" s="20">
        <v>0.21467900000000001</v>
      </c>
      <c r="K6">
        <v>21</v>
      </c>
      <c r="L6">
        <v>6.6190480000000003</v>
      </c>
      <c r="M6">
        <v>21</v>
      </c>
      <c r="N6">
        <v>1</v>
      </c>
      <c r="O6">
        <v>139</v>
      </c>
      <c r="P6" s="1">
        <v>0.25504599999999999</v>
      </c>
    </row>
    <row r="7" spans="1:16" x14ac:dyDescent="0.25">
      <c r="A7" t="s">
        <v>16</v>
      </c>
      <c r="B7" s="19">
        <v>1197822822</v>
      </c>
      <c r="C7">
        <v>435</v>
      </c>
      <c r="D7">
        <v>2065</v>
      </c>
      <c r="E7" s="1">
        <v>0.17399999999999999</v>
      </c>
      <c r="F7" s="1">
        <v>0.82599999999999996</v>
      </c>
      <c r="G7">
        <v>9</v>
      </c>
      <c r="H7">
        <v>82</v>
      </c>
      <c r="I7">
        <v>32</v>
      </c>
      <c r="J7" s="20">
        <v>7.3563000000000003E-2</v>
      </c>
      <c r="K7">
        <v>18</v>
      </c>
      <c r="L7">
        <v>5.5555560000000002</v>
      </c>
      <c r="M7">
        <v>17</v>
      </c>
      <c r="N7">
        <v>1</v>
      </c>
      <c r="O7">
        <v>100</v>
      </c>
      <c r="P7" s="1">
        <v>0.22988500000000001</v>
      </c>
    </row>
    <row r="8" spans="1:16" x14ac:dyDescent="0.25">
      <c r="A8" t="s">
        <v>16</v>
      </c>
      <c r="B8" s="19">
        <v>2063972924</v>
      </c>
      <c r="C8">
        <v>566</v>
      </c>
      <c r="D8">
        <v>1934</v>
      </c>
      <c r="E8" s="1">
        <v>0.22639999999999999</v>
      </c>
      <c r="F8" s="1">
        <v>0.77359999999999995</v>
      </c>
      <c r="G8">
        <v>20</v>
      </c>
      <c r="H8">
        <v>74</v>
      </c>
      <c r="I8">
        <v>103</v>
      </c>
      <c r="J8" s="20">
        <v>0.181979</v>
      </c>
      <c r="K8">
        <v>22</v>
      </c>
      <c r="L8">
        <v>8.8636359999999996</v>
      </c>
      <c r="M8">
        <v>33</v>
      </c>
      <c r="N8">
        <v>1</v>
      </c>
      <c r="O8">
        <v>195</v>
      </c>
      <c r="P8" s="1">
        <v>0.34452300000000002</v>
      </c>
    </row>
    <row r="9" spans="1:16" x14ac:dyDescent="0.25">
      <c r="A9" t="s">
        <v>16</v>
      </c>
      <c r="B9" s="19">
        <v>270520278</v>
      </c>
      <c r="C9">
        <v>556</v>
      </c>
      <c r="D9">
        <v>1944</v>
      </c>
      <c r="E9" s="1">
        <v>0.22239999999999999</v>
      </c>
      <c r="F9" s="1">
        <v>0.77759999999999996</v>
      </c>
      <c r="G9">
        <v>14</v>
      </c>
      <c r="H9">
        <v>98</v>
      </c>
      <c r="I9">
        <v>42</v>
      </c>
      <c r="J9" s="20">
        <v>7.5539999999999996E-2</v>
      </c>
      <c r="K9">
        <v>24</v>
      </c>
      <c r="L9">
        <v>4.5416670000000003</v>
      </c>
      <c r="M9">
        <v>22</v>
      </c>
      <c r="N9">
        <v>1</v>
      </c>
      <c r="O9">
        <v>109</v>
      </c>
      <c r="P9" s="1">
        <v>0.196043</v>
      </c>
    </row>
    <row r="10" spans="1:16" x14ac:dyDescent="0.25">
      <c r="A10" t="s">
        <v>16</v>
      </c>
      <c r="B10" s="19">
        <v>1812672734</v>
      </c>
      <c r="C10">
        <v>433</v>
      </c>
      <c r="D10">
        <v>2067</v>
      </c>
      <c r="E10" s="1">
        <v>0.17319999999999999</v>
      </c>
      <c r="F10" s="1">
        <v>0.82679999999999998</v>
      </c>
      <c r="G10">
        <v>16</v>
      </c>
      <c r="H10">
        <v>94</v>
      </c>
      <c r="I10">
        <v>33</v>
      </c>
      <c r="J10" s="20">
        <v>7.6212000000000002E-2</v>
      </c>
      <c r="K10">
        <v>20</v>
      </c>
      <c r="L10">
        <v>4.05</v>
      </c>
      <c r="M10">
        <v>18</v>
      </c>
      <c r="N10">
        <v>1</v>
      </c>
      <c r="O10">
        <v>81</v>
      </c>
      <c r="P10" s="1">
        <v>0.18706700000000001</v>
      </c>
    </row>
    <row r="11" spans="1:16" x14ac:dyDescent="0.25">
      <c r="A11" t="s">
        <v>16</v>
      </c>
      <c r="B11" s="19">
        <v>1296793625</v>
      </c>
      <c r="C11">
        <v>481</v>
      </c>
      <c r="D11">
        <v>2019</v>
      </c>
      <c r="E11" s="1">
        <v>0.19239999999999999</v>
      </c>
      <c r="F11" s="1">
        <v>0.80759999999999998</v>
      </c>
      <c r="G11">
        <v>19</v>
      </c>
      <c r="H11">
        <v>93</v>
      </c>
      <c r="I11">
        <v>70</v>
      </c>
      <c r="J11" s="20">
        <v>0.14552999999999999</v>
      </c>
      <c r="K11">
        <v>19</v>
      </c>
      <c r="L11">
        <v>5.7894740000000002</v>
      </c>
      <c r="M11">
        <v>14</v>
      </c>
      <c r="N11">
        <v>1</v>
      </c>
      <c r="O11">
        <v>110</v>
      </c>
      <c r="P11" s="1">
        <v>0.22869</v>
      </c>
    </row>
    <row r="12" spans="1:16" x14ac:dyDescent="0.25">
      <c r="A12" t="s">
        <v>16</v>
      </c>
      <c r="B12" s="19">
        <v>17788871</v>
      </c>
      <c r="C12">
        <v>454</v>
      </c>
      <c r="D12">
        <v>2046</v>
      </c>
      <c r="E12" s="1">
        <v>0.18160000000000001</v>
      </c>
      <c r="F12" s="1">
        <v>0.81840000000000002</v>
      </c>
      <c r="G12">
        <v>23</v>
      </c>
      <c r="H12">
        <v>89</v>
      </c>
      <c r="I12">
        <v>60</v>
      </c>
      <c r="J12" s="20">
        <v>0.132159</v>
      </c>
      <c r="K12">
        <v>21</v>
      </c>
      <c r="L12">
        <v>4.2380950000000004</v>
      </c>
      <c r="M12">
        <v>14</v>
      </c>
      <c r="N12">
        <v>1</v>
      </c>
      <c r="O12">
        <v>89</v>
      </c>
      <c r="P12" s="1">
        <v>0.19603499999999999</v>
      </c>
    </row>
    <row r="13" spans="1:16" x14ac:dyDescent="0.25">
      <c r="A13" t="s">
        <v>16</v>
      </c>
      <c r="B13" s="19">
        <v>278826117</v>
      </c>
      <c r="C13">
        <v>475</v>
      </c>
      <c r="D13">
        <v>2025</v>
      </c>
      <c r="E13" s="1">
        <v>0.19</v>
      </c>
      <c r="F13" s="1">
        <v>0.81</v>
      </c>
      <c r="G13">
        <v>10</v>
      </c>
      <c r="H13">
        <v>98</v>
      </c>
      <c r="I13">
        <v>36</v>
      </c>
      <c r="J13" s="20">
        <v>7.5788999999999995E-2</v>
      </c>
      <c r="K13">
        <v>18</v>
      </c>
      <c r="L13">
        <v>4.7777779999999996</v>
      </c>
      <c r="M13">
        <v>16</v>
      </c>
      <c r="N13">
        <v>1</v>
      </c>
      <c r="O13">
        <v>86</v>
      </c>
      <c r="P13" s="1">
        <v>0.18105299999999999</v>
      </c>
    </row>
    <row r="14" spans="1:16" x14ac:dyDescent="0.25">
      <c r="A14" t="s">
        <v>16</v>
      </c>
      <c r="B14" s="19">
        <v>1602575235</v>
      </c>
      <c r="C14">
        <v>491</v>
      </c>
      <c r="D14">
        <v>2009</v>
      </c>
      <c r="E14" s="1">
        <v>0.19639999999999999</v>
      </c>
      <c r="F14" s="1">
        <v>0.80359999999999998</v>
      </c>
      <c r="G14">
        <v>14</v>
      </c>
      <c r="H14">
        <v>93</v>
      </c>
      <c r="I14">
        <v>47</v>
      </c>
      <c r="J14" s="20">
        <v>9.5723000000000003E-2</v>
      </c>
      <c r="K14">
        <v>22</v>
      </c>
      <c r="L14">
        <v>5.2272730000000003</v>
      </c>
      <c r="M14">
        <v>26</v>
      </c>
      <c r="N14">
        <v>1</v>
      </c>
      <c r="O14">
        <v>115</v>
      </c>
      <c r="P14" s="1">
        <v>0.23421600000000001</v>
      </c>
    </row>
    <row r="15" spans="1:16" x14ac:dyDescent="0.25">
      <c r="A15" t="s">
        <v>16</v>
      </c>
      <c r="B15" s="19">
        <v>1719281572</v>
      </c>
      <c r="C15">
        <v>502</v>
      </c>
      <c r="D15">
        <v>1998</v>
      </c>
      <c r="E15" s="1">
        <v>0.20080000000000001</v>
      </c>
      <c r="F15" s="1">
        <v>0.79920000000000002</v>
      </c>
      <c r="G15">
        <v>21</v>
      </c>
      <c r="H15">
        <v>81</v>
      </c>
      <c r="I15">
        <v>56</v>
      </c>
      <c r="J15" s="20">
        <v>0.111554</v>
      </c>
      <c r="K15">
        <v>22</v>
      </c>
      <c r="L15">
        <v>6.8636359999999996</v>
      </c>
      <c r="M15">
        <v>15</v>
      </c>
      <c r="N15">
        <v>1</v>
      </c>
      <c r="O15">
        <v>151</v>
      </c>
      <c r="P15" s="1">
        <v>0.30079699999999998</v>
      </c>
    </row>
    <row r="16" spans="1:16" x14ac:dyDescent="0.25">
      <c r="A16" t="s">
        <v>16</v>
      </c>
      <c r="B16" s="19">
        <v>2017828278</v>
      </c>
      <c r="C16">
        <v>474</v>
      </c>
      <c r="D16">
        <v>2026</v>
      </c>
      <c r="E16" s="1">
        <v>0.18959999999999999</v>
      </c>
      <c r="F16" s="1">
        <v>0.81040000000000001</v>
      </c>
      <c r="G16">
        <v>15</v>
      </c>
      <c r="H16">
        <v>91</v>
      </c>
      <c r="I16">
        <v>69</v>
      </c>
      <c r="J16" s="20">
        <v>0.14557</v>
      </c>
      <c r="K16">
        <v>17</v>
      </c>
      <c r="L16">
        <v>5.7058819999999999</v>
      </c>
      <c r="M16">
        <v>21</v>
      </c>
      <c r="N16">
        <v>1</v>
      </c>
      <c r="O16">
        <v>97</v>
      </c>
      <c r="P16" s="1">
        <v>0.20464099999999999</v>
      </c>
    </row>
    <row r="17" spans="1:16" x14ac:dyDescent="0.25">
      <c r="A17" t="s">
        <v>16</v>
      </c>
      <c r="B17" s="19">
        <v>292955647</v>
      </c>
      <c r="C17">
        <v>466</v>
      </c>
      <c r="D17">
        <v>2034</v>
      </c>
      <c r="E17" s="1">
        <v>0.18640000000000001</v>
      </c>
      <c r="F17" s="1">
        <v>0.81359999999999999</v>
      </c>
      <c r="G17">
        <v>17</v>
      </c>
      <c r="H17">
        <v>92</v>
      </c>
      <c r="I17">
        <v>51</v>
      </c>
      <c r="J17" s="20">
        <v>0.109442</v>
      </c>
      <c r="K17">
        <v>23</v>
      </c>
      <c r="L17">
        <v>4.6086960000000001</v>
      </c>
      <c r="M17">
        <v>18</v>
      </c>
      <c r="N17">
        <v>1</v>
      </c>
      <c r="O17">
        <v>106</v>
      </c>
      <c r="P17" s="1">
        <v>0.227468</v>
      </c>
    </row>
    <row r="18" spans="1:16" x14ac:dyDescent="0.25">
      <c r="A18" t="s">
        <v>16</v>
      </c>
      <c r="B18" s="19">
        <v>1734012354</v>
      </c>
      <c r="C18">
        <v>524</v>
      </c>
      <c r="D18">
        <v>1976</v>
      </c>
      <c r="E18" s="1">
        <v>0.20960000000000001</v>
      </c>
      <c r="F18" s="1">
        <v>0.79039999999999999</v>
      </c>
      <c r="G18">
        <v>36</v>
      </c>
      <c r="H18">
        <v>97</v>
      </c>
      <c r="I18">
        <v>142</v>
      </c>
      <c r="J18" s="20">
        <v>0.27099200000000001</v>
      </c>
      <c r="K18">
        <v>27</v>
      </c>
      <c r="L18">
        <v>3.7407409999999999</v>
      </c>
      <c r="M18">
        <v>14</v>
      </c>
      <c r="N18">
        <v>1</v>
      </c>
      <c r="O18">
        <v>101</v>
      </c>
      <c r="P18" s="1">
        <v>0.192748</v>
      </c>
    </row>
    <row r="19" spans="1:16" x14ac:dyDescent="0.25">
      <c r="A19" t="s">
        <v>16</v>
      </c>
      <c r="B19" s="19">
        <v>1132352745</v>
      </c>
      <c r="C19">
        <v>461</v>
      </c>
      <c r="D19">
        <v>2039</v>
      </c>
      <c r="E19" s="1">
        <v>0.18440000000000001</v>
      </c>
      <c r="F19" s="1">
        <v>0.81559999999999999</v>
      </c>
      <c r="G19">
        <v>12</v>
      </c>
      <c r="H19">
        <v>78</v>
      </c>
      <c r="I19">
        <v>35</v>
      </c>
      <c r="J19" s="20">
        <v>7.5922000000000003E-2</v>
      </c>
      <c r="K19">
        <v>21</v>
      </c>
      <c r="L19">
        <v>6.3333329999999997</v>
      </c>
      <c r="M19">
        <v>19</v>
      </c>
      <c r="N19">
        <v>1</v>
      </c>
      <c r="O19">
        <v>133</v>
      </c>
      <c r="P19" s="1">
        <v>0.28850300000000001</v>
      </c>
    </row>
    <row r="20" spans="1:16" x14ac:dyDescent="0.25">
      <c r="A20" t="s">
        <v>16</v>
      </c>
      <c r="B20" s="19">
        <v>1170310791</v>
      </c>
      <c r="C20">
        <v>504</v>
      </c>
      <c r="D20">
        <v>1996</v>
      </c>
      <c r="E20" s="1">
        <v>0.2016</v>
      </c>
      <c r="F20" s="1">
        <v>0.7984</v>
      </c>
      <c r="G20">
        <v>19</v>
      </c>
      <c r="H20">
        <v>81</v>
      </c>
      <c r="I20">
        <v>51</v>
      </c>
      <c r="J20" s="20">
        <v>0.10119</v>
      </c>
      <c r="K20">
        <v>22</v>
      </c>
      <c r="L20">
        <v>6.1818179999999998</v>
      </c>
      <c r="M20">
        <v>15</v>
      </c>
      <c r="N20">
        <v>1</v>
      </c>
      <c r="O20">
        <v>136</v>
      </c>
      <c r="P20" s="1">
        <v>0.269841</v>
      </c>
    </row>
    <row r="21" spans="1:16" x14ac:dyDescent="0.25">
      <c r="A21" t="s">
        <v>16</v>
      </c>
      <c r="B21" s="19">
        <v>1233915197</v>
      </c>
      <c r="C21">
        <v>479</v>
      </c>
      <c r="D21">
        <v>2021</v>
      </c>
      <c r="E21" s="1">
        <v>0.19159999999999999</v>
      </c>
      <c r="F21" s="1">
        <v>0.80840000000000001</v>
      </c>
      <c r="G21">
        <v>20</v>
      </c>
      <c r="H21">
        <v>94</v>
      </c>
      <c r="I21">
        <v>44</v>
      </c>
      <c r="J21" s="20">
        <v>9.1857999999999995E-2</v>
      </c>
      <c r="K21">
        <v>19</v>
      </c>
      <c r="L21">
        <v>5.4210529999999997</v>
      </c>
      <c r="M21">
        <v>17</v>
      </c>
      <c r="N21">
        <v>1</v>
      </c>
      <c r="O21">
        <v>103</v>
      </c>
      <c r="P21" s="1">
        <v>0.215031</v>
      </c>
    </row>
    <row r="22" spans="1:16" x14ac:dyDescent="0.25">
      <c r="A22" t="s">
        <v>16</v>
      </c>
      <c r="B22" s="19">
        <v>1922905156</v>
      </c>
      <c r="C22">
        <v>425</v>
      </c>
      <c r="D22">
        <v>2075</v>
      </c>
      <c r="E22" s="1">
        <v>0.17</v>
      </c>
      <c r="F22" s="1">
        <v>0.83</v>
      </c>
      <c r="G22">
        <v>9</v>
      </c>
      <c r="H22">
        <v>85</v>
      </c>
      <c r="I22">
        <v>32</v>
      </c>
      <c r="J22" s="20">
        <v>7.5294E-2</v>
      </c>
      <c r="K22">
        <v>18</v>
      </c>
      <c r="L22">
        <v>6.0555560000000002</v>
      </c>
      <c r="M22">
        <v>18</v>
      </c>
      <c r="N22">
        <v>1</v>
      </c>
      <c r="O22">
        <v>109</v>
      </c>
      <c r="P22" s="1">
        <v>0.256471</v>
      </c>
    </row>
    <row r="23" spans="1:16" x14ac:dyDescent="0.25">
      <c r="A23" t="s">
        <v>16</v>
      </c>
      <c r="B23" s="19">
        <v>1998599555</v>
      </c>
      <c r="C23">
        <v>446</v>
      </c>
      <c r="D23">
        <v>2054</v>
      </c>
      <c r="E23" s="1">
        <v>0.1784</v>
      </c>
      <c r="F23" s="1">
        <v>0.8216</v>
      </c>
      <c r="G23">
        <v>11</v>
      </c>
      <c r="H23">
        <v>110</v>
      </c>
      <c r="I23">
        <v>31</v>
      </c>
      <c r="J23" s="20">
        <v>6.9506999999999999E-2</v>
      </c>
      <c r="K23">
        <v>18</v>
      </c>
      <c r="L23">
        <v>5.4444439999999998</v>
      </c>
      <c r="M23">
        <v>19</v>
      </c>
      <c r="N23">
        <v>1</v>
      </c>
      <c r="O23">
        <v>98</v>
      </c>
      <c r="P23" s="1">
        <v>0.21973100000000001</v>
      </c>
    </row>
    <row r="24" spans="1:16" x14ac:dyDescent="0.25">
      <c r="A24" t="s">
        <v>16</v>
      </c>
      <c r="B24" s="19">
        <v>609658567</v>
      </c>
      <c r="C24">
        <v>459</v>
      </c>
      <c r="D24">
        <v>2041</v>
      </c>
      <c r="E24" s="1">
        <v>0.18360000000000001</v>
      </c>
      <c r="F24" s="1">
        <v>0.81640000000000001</v>
      </c>
      <c r="G24">
        <v>12</v>
      </c>
      <c r="H24">
        <v>82</v>
      </c>
      <c r="I24">
        <v>30</v>
      </c>
      <c r="J24" s="20">
        <v>6.5359E-2</v>
      </c>
      <c r="K24">
        <v>23</v>
      </c>
      <c r="L24">
        <v>4.4782609999999998</v>
      </c>
      <c r="M24">
        <v>16</v>
      </c>
      <c r="N24">
        <v>1</v>
      </c>
      <c r="O24">
        <v>103</v>
      </c>
      <c r="P24" s="1">
        <v>0.22440099999999999</v>
      </c>
    </row>
    <row r="25" spans="1:16" x14ac:dyDescent="0.25">
      <c r="A25" t="s">
        <v>16</v>
      </c>
      <c r="B25" s="19">
        <v>348654742</v>
      </c>
      <c r="C25">
        <v>483</v>
      </c>
      <c r="D25">
        <v>2017</v>
      </c>
      <c r="E25" s="1">
        <v>0.19320000000000001</v>
      </c>
      <c r="F25" s="1">
        <v>0.80679999999999996</v>
      </c>
      <c r="G25">
        <v>13</v>
      </c>
      <c r="H25">
        <v>92</v>
      </c>
      <c r="I25">
        <v>49</v>
      </c>
      <c r="J25" s="20">
        <v>0.101449</v>
      </c>
      <c r="K25">
        <v>24</v>
      </c>
      <c r="L25">
        <v>4.0833329999999997</v>
      </c>
      <c r="M25">
        <v>21</v>
      </c>
      <c r="N25">
        <v>1</v>
      </c>
      <c r="O25">
        <v>98</v>
      </c>
      <c r="P25" s="1">
        <v>0.202899</v>
      </c>
    </row>
    <row r="26" spans="1:16" x14ac:dyDescent="0.25">
      <c r="A26" t="s">
        <v>16</v>
      </c>
      <c r="B26" s="19">
        <v>333545760</v>
      </c>
      <c r="C26">
        <v>457</v>
      </c>
      <c r="D26">
        <v>2043</v>
      </c>
      <c r="E26" s="1">
        <v>0.18279999999999999</v>
      </c>
      <c r="F26" s="1">
        <v>0.81720000000000004</v>
      </c>
      <c r="G26">
        <v>27</v>
      </c>
      <c r="H26">
        <v>91</v>
      </c>
      <c r="I26">
        <v>87</v>
      </c>
      <c r="J26" s="20">
        <v>0.19037200000000001</v>
      </c>
      <c r="K26">
        <v>20</v>
      </c>
      <c r="L26">
        <v>5.65</v>
      </c>
      <c r="M26">
        <v>16</v>
      </c>
      <c r="N26">
        <v>1</v>
      </c>
      <c r="O26">
        <v>113</v>
      </c>
      <c r="P26" s="1">
        <v>0.24726500000000001</v>
      </c>
    </row>
    <row r="27" spans="1:16" x14ac:dyDescent="0.25">
      <c r="A27" t="s">
        <v>16</v>
      </c>
      <c r="B27" s="19">
        <v>1295601687</v>
      </c>
      <c r="C27">
        <v>440</v>
      </c>
      <c r="D27">
        <v>2060</v>
      </c>
      <c r="E27" s="1">
        <v>0.17599999999999999</v>
      </c>
      <c r="F27" s="1">
        <v>0.82399999999999995</v>
      </c>
      <c r="G27">
        <v>21</v>
      </c>
      <c r="H27">
        <v>98</v>
      </c>
      <c r="I27">
        <v>46</v>
      </c>
      <c r="J27" s="20">
        <v>0.104545</v>
      </c>
      <c r="K27">
        <v>16</v>
      </c>
      <c r="L27">
        <v>4.3125</v>
      </c>
      <c r="M27">
        <v>16</v>
      </c>
      <c r="N27">
        <v>1</v>
      </c>
      <c r="O27">
        <v>69</v>
      </c>
      <c r="P27" s="1">
        <v>0.15681800000000001</v>
      </c>
    </row>
    <row r="28" spans="1:16" x14ac:dyDescent="0.25">
      <c r="A28" t="s">
        <v>16</v>
      </c>
      <c r="B28" s="19">
        <v>1513300600</v>
      </c>
      <c r="C28">
        <v>520</v>
      </c>
      <c r="D28">
        <v>1980</v>
      </c>
      <c r="E28" s="1">
        <v>0.20799999999999999</v>
      </c>
      <c r="F28" s="1">
        <v>0.79200000000000004</v>
      </c>
      <c r="G28">
        <v>14</v>
      </c>
      <c r="H28">
        <v>105</v>
      </c>
      <c r="I28">
        <v>48</v>
      </c>
      <c r="J28" s="20">
        <v>9.2308000000000001E-2</v>
      </c>
      <c r="K28">
        <v>15</v>
      </c>
      <c r="L28">
        <v>7.266667</v>
      </c>
      <c r="M28">
        <v>30</v>
      </c>
      <c r="N28">
        <v>1</v>
      </c>
      <c r="O28">
        <v>109</v>
      </c>
      <c r="P28" s="1">
        <v>0.209615</v>
      </c>
    </row>
    <row r="29" spans="1:16" x14ac:dyDescent="0.25">
      <c r="A29" t="s">
        <v>16</v>
      </c>
      <c r="B29" s="19">
        <v>304774823</v>
      </c>
      <c r="C29">
        <v>487</v>
      </c>
      <c r="D29">
        <v>2013</v>
      </c>
      <c r="E29" s="1">
        <v>0.1948</v>
      </c>
      <c r="F29" s="1">
        <v>0.80520000000000003</v>
      </c>
      <c r="G29">
        <v>19</v>
      </c>
      <c r="H29">
        <v>91</v>
      </c>
      <c r="I29">
        <v>62</v>
      </c>
      <c r="J29" s="20">
        <v>0.12731000000000001</v>
      </c>
      <c r="K29">
        <v>22</v>
      </c>
      <c r="L29">
        <v>5.3181820000000002</v>
      </c>
      <c r="M29">
        <v>17</v>
      </c>
      <c r="N29">
        <v>1</v>
      </c>
      <c r="O29">
        <v>117</v>
      </c>
      <c r="P29" s="1">
        <v>0.24024599999999999</v>
      </c>
    </row>
    <row r="30" spans="1:16" x14ac:dyDescent="0.25">
      <c r="A30" t="s">
        <v>16</v>
      </c>
      <c r="B30" s="19">
        <v>1943596877</v>
      </c>
      <c r="C30">
        <v>495</v>
      </c>
      <c r="D30">
        <v>2005</v>
      </c>
      <c r="E30" s="1">
        <v>0.19800000000000001</v>
      </c>
      <c r="F30" s="1">
        <v>0.80200000000000005</v>
      </c>
      <c r="G30">
        <v>17</v>
      </c>
      <c r="H30">
        <v>91</v>
      </c>
      <c r="I30">
        <v>58</v>
      </c>
      <c r="J30" s="20">
        <v>0.117172</v>
      </c>
      <c r="K30">
        <v>21</v>
      </c>
      <c r="L30">
        <v>6.2857139999999996</v>
      </c>
      <c r="M30">
        <v>16</v>
      </c>
      <c r="N30">
        <v>1</v>
      </c>
      <c r="O30">
        <v>132</v>
      </c>
      <c r="P30" s="1">
        <v>0.26666699999999999</v>
      </c>
    </row>
    <row r="31" spans="1:16" x14ac:dyDescent="0.25">
      <c r="A31" t="s">
        <v>16</v>
      </c>
      <c r="B31" s="19">
        <v>1153644653</v>
      </c>
      <c r="C31">
        <v>449</v>
      </c>
      <c r="D31">
        <v>2051</v>
      </c>
      <c r="E31" s="1">
        <v>0.17960000000000001</v>
      </c>
      <c r="F31" s="1">
        <v>0.82040000000000002</v>
      </c>
      <c r="G31">
        <v>23</v>
      </c>
      <c r="H31">
        <v>78</v>
      </c>
      <c r="I31">
        <v>85</v>
      </c>
      <c r="J31" s="20">
        <v>0.18931000000000001</v>
      </c>
      <c r="K31">
        <v>22</v>
      </c>
      <c r="L31">
        <v>6.0454549999999996</v>
      </c>
      <c r="M31">
        <v>28</v>
      </c>
      <c r="N31">
        <v>1</v>
      </c>
      <c r="O31">
        <v>133</v>
      </c>
      <c r="P31" s="1">
        <v>0.29621399999999998</v>
      </c>
    </row>
    <row r="32" spans="1:16" x14ac:dyDescent="0.25">
      <c r="A32" t="s">
        <v>16</v>
      </c>
      <c r="B32" s="19">
        <v>90879681</v>
      </c>
      <c r="C32">
        <v>473</v>
      </c>
      <c r="D32">
        <v>2027</v>
      </c>
      <c r="E32" s="1">
        <v>0.18920000000000001</v>
      </c>
      <c r="F32" s="1">
        <v>0.81079999999999997</v>
      </c>
      <c r="G32">
        <v>12</v>
      </c>
      <c r="H32">
        <v>98</v>
      </c>
      <c r="I32">
        <v>52</v>
      </c>
      <c r="J32" s="20">
        <v>0.10993700000000001</v>
      </c>
      <c r="K32">
        <v>16</v>
      </c>
      <c r="L32">
        <v>7.8125</v>
      </c>
      <c r="M32">
        <v>33</v>
      </c>
      <c r="N32">
        <v>1</v>
      </c>
      <c r="O32">
        <v>125</v>
      </c>
      <c r="P32" s="1">
        <v>0.26427099999999998</v>
      </c>
    </row>
    <row r="33" spans="1:16" x14ac:dyDescent="0.25">
      <c r="A33" t="s">
        <v>16</v>
      </c>
      <c r="B33" s="19">
        <v>148007741</v>
      </c>
      <c r="C33">
        <v>546</v>
      </c>
      <c r="D33">
        <v>1954</v>
      </c>
      <c r="E33" s="1">
        <v>0.21840000000000001</v>
      </c>
      <c r="F33" s="1">
        <v>0.78159999999999996</v>
      </c>
      <c r="G33">
        <v>31</v>
      </c>
      <c r="H33">
        <v>94</v>
      </c>
      <c r="I33">
        <v>141</v>
      </c>
      <c r="J33" s="20">
        <v>0.25824200000000003</v>
      </c>
      <c r="K33">
        <v>18</v>
      </c>
      <c r="L33">
        <v>9.1666670000000003</v>
      </c>
      <c r="M33">
        <v>44</v>
      </c>
      <c r="N33">
        <v>1</v>
      </c>
      <c r="O33">
        <v>165</v>
      </c>
      <c r="P33" s="1">
        <v>0.30219800000000002</v>
      </c>
    </row>
    <row r="34" spans="1:16" x14ac:dyDescent="0.25">
      <c r="A34" t="s">
        <v>16</v>
      </c>
      <c r="B34" s="19">
        <v>416101416</v>
      </c>
      <c r="C34">
        <v>471</v>
      </c>
      <c r="D34">
        <v>2029</v>
      </c>
      <c r="E34" s="1">
        <v>0.18840000000000001</v>
      </c>
      <c r="F34" s="1">
        <v>0.81159999999999999</v>
      </c>
      <c r="G34">
        <v>14</v>
      </c>
      <c r="H34">
        <v>86</v>
      </c>
      <c r="I34">
        <v>49</v>
      </c>
      <c r="J34" s="20">
        <v>0.104034</v>
      </c>
      <c r="K34">
        <v>20</v>
      </c>
      <c r="L34">
        <v>4.3499999999999996</v>
      </c>
      <c r="M34">
        <v>21</v>
      </c>
      <c r="N34">
        <v>1</v>
      </c>
      <c r="O34">
        <v>87</v>
      </c>
      <c r="P34" s="1">
        <v>0.18471299999999999</v>
      </c>
    </row>
    <row r="35" spans="1:16" x14ac:dyDescent="0.25">
      <c r="A35" t="s">
        <v>16</v>
      </c>
      <c r="B35" s="19">
        <v>1884038961</v>
      </c>
      <c r="C35">
        <v>482</v>
      </c>
      <c r="D35">
        <v>2018</v>
      </c>
      <c r="E35" s="1">
        <v>0.1928</v>
      </c>
      <c r="F35" s="1">
        <v>0.80720000000000003</v>
      </c>
      <c r="G35">
        <v>12</v>
      </c>
      <c r="H35">
        <v>115</v>
      </c>
      <c r="I35">
        <v>28</v>
      </c>
      <c r="J35" s="20">
        <v>5.8090999999999997E-2</v>
      </c>
      <c r="K35">
        <v>20</v>
      </c>
      <c r="L35">
        <v>3.75</v>
      </c>
      <c r="M35">
        <v>12</v>
      </c>
      <c r="N35">
        <v>1</v>
      </c>
      <c r="O35">
        <v>75</v>
      </c>
      <c r="P35" s="1">
        <v>0.15560199999999999</v>
      </c>
    </row>
    <row r="36" spans="1:16" x14ac:dyDescent="0.25">
      <c r="A36" t="s">
        <v>16</v>
      </c>
      <c r="B36" s="19">
        <v>238625998</v>
      </c>
      <c r="C36">
        <v>467</v>
      </c>
      <c r="D36">
        <v>2033</v>
      </c>
      <c r="E36" s="1">
        <v>0.18679999999999999</v>
      </c>
      <c r="F36" s="1">
        <v>0.81320000000000003</v>
      </c>
      <c r="G36">
        <v>15</v>
      </c>
      <c r="H36">
        <v>84</v>
      </c>
      <c r="I36">
        <v>56</v>
      </c>
      <c r="J36" s="20">
        <v>0.11991400000000001</v>
      </c>
      <c r="K36">
        <v>21</v>
      </c>
      <c r="L36">
        <v>4.8571429999999998</v>
      </c>
      <c r="M36">
        <v>21</v>
      </c>
      <c r="N36">
        <v>1</v>
      </c>
      <c r="O36">
        <v>102</v>
      </c>
      <c r="P36" s="1">
        <v>0.218415</v>
      </c>
    </row>
    <row r="37" spans="1:16" x14ac:dyDescent="0.25">
      <c r="A37" t="s">
        <v>16</v>
      </c>
      <c r="B37" s="19">
        <v>1534441128</v>
      </c>
      <c r="C37">
        <v>515</v>
      </c>
      <c r="D37">
        <v>1985</v>
      </c>
      <c r="E37" s="1">
        <v>0.20599999999999999</v>
      </c>
      <c r="F37" s="1">
        <v>0.79400000000000004</v>
      </c>
      <c r="G37">
        <v>26</v>
      </c>
      <c r="H37">
        <v>73</v>
      </c>
      <c r="I37">
        <v>90</v>
      </c>
      <c r="J37" s="20">
        <v>0.174757</v>
      </c>
      <c r="K37">
        <v>21</v>
      </c>
      <c r="L37">
        <v>8</v>
      </c>
      <c r="M37">
        <v>23</v>
      </c>
      <c r="N37">
        <v>1</v>
      </c>
      <c r="O37">
        <v>168</v>
      </c>
      <c r="P37" s="1">
        <v>0.326214</v>
      </c>
    </row>
    <row r="38" spans="1:16" x14ac:dyDescent="0.25">
      <c r="A38" t="s">
        <v>16</v>
      </c>
      <c r="B38" s="19">
        <v>1989180218</v>
      </c>
      <c r="C38">
        <v>445</v>
      </c>
      <c r="D38">
        <v>2055</v>
      </c>
      <c r="E38" s="1">
        <v>0.17799999999999999</v>
      </c>
      <c r="F38" s="1">
        <v>0.82199999999999995</v>
      </c>
      <c r="G38">
        <v>16</v>
      </c>
      <c r="H38">
        <v>88</v>
      </c>
      <c r="I38">
        <v>39</v>
      </c>
      <c r="J38" s="20">
        <v>8.7639999999999996E-2</v>
      </c>
      <c r="K38">
        <v>25</v>
      </c>
      <c r="L38">
        <v>4.76</v>
      </c>
      <c r="M38">
        <v>17</v>
      </c>
      <c r="N38">
        <v>1</v>
      </c>
      <c r="O38">
        <v>119</v>
      </c>
      <c r="P38" s="1">
        <v>0.26741599999999999</v>
      </c>
    </row>
    <row r="39" spans="1:16" x14ac:dyDescent="0.25">
      <c r="A39" t="s">
        <v>16</v>
      </c>
      <c r="B39" s="19">
        <v>1696833364</v>
      </c>
      <c r="C39">
        <v>446</v>
      </c>
      <c r="D39">
        <v>2054</v>
      </c>
      <c r="E39" s="1">
        <v>0.1784</v>
      </c>
      <c r="F39" s="1">
        <v>0.8216</v>
      </c>
      <c r="G39">
        <v>19</v>
      </c>
      <c r="H39">
        <v>86</v>
      </c>
      <c r="I39">
        <v>56</v>
      </c>
      <c r="J39" s="20">
        <v>0.12556100000000001</v>
      </c>
      <c r="K39">
        <v>16</v>
      </c>
      <c r="L39">
        <v>6</v>
      </c>
      <c r="M39">
        <v>20</v>
      </c>
      <c r="N39">
        <v>1</v>
      </c>
      <c r="O39">
        <v>96</v>
      </c>
      <c r="P39" s="1">
        <v>0.21524699999999999</v>
      </c>
    </row>
    <row r="40" spans="1:16" x14ac:dyDescent="0.25">
      <c r="A40" t="s">
        <v>16</v>
      </c>
      <c r="B40" s="19">
        <v>1135578021</v>
      </c>
      <c r="C40">
        <v>427</v>
      </c>
      <c r="D40">
        <v>2073</v>
      </c>
      <c r="E40" s="1">
        <v>0.17080000000000001</v>
      </c>
      <c r="F40" s="1">
        <v>0.82920000000000005</v>
      </c>
      <c r="G40">
        <v>12</v>
      </c>
      <c r="H40">
        <v>96</v>
      </c>
      <c r="I40">
        <v>34</v>
      </c>
      <c r="J40" s="20">
        <v>7.9625000000000001E-2</v>
      </c>
      <c r="K40">
        <v>20</v>
      </c>
      <c r="L40">
        <v>4.05</v>
      </c>
      <c r="M40">
        <v>12</v>
      </c>
      <c r="N40">
        <v>1</v>
      </c>
      <c r="O40">
        <v>81</v>
      </c>
      <c r="P40" s="1">
        <v>0.189696</v>
      </c>
    </row>
    <row r="41" spans="1:16" x14ac:dyDescent="0.25">
      <c r="A41" t="s">
        <v>16</v>
      </c>
      <c r="B41" s="19">
        <v>1670498402</v>
      </c>
      <c r="C41">
        <v>476</v>
      </c>
      <c r="D41">
        <v>2024</v>
      </c>
      <c r="E41" s="1">
        <v>0.19040000000000001</v>
      </c>
      <c r="F41" s="1">
        <v>0.80959999999999999</v>
      </c>
      <c r="G41">
        <v>15</v>
      </c>
      <c r="H41">
        <v>91</v>
      </c>
      <c r="I41">
        <v>37</v>
      </c>
      <c r="J41" s="20">
        <v>7.7730999999999995E-2</v>
      </c>
      <c r="K41">
        <v>23</v>
      </c>
      <c r="L41">
        <v>4.3043480000000001</v>
      </c>
      <c r="M41">
        <v>14</v>
      </c>
      <c r="N41">
        <v>1</v>
      </c>
      <c r="O41">
        <v>99</v>
      </c>
      <c r="P41" s="1">
        <v>0.207983</v>
      </c>
    </row>
    <row r="42" spans="1:16" x14ac:dyDescent="0.25">
      <c r="A42" t="s">
        <v>16</v>
      </c>
      <c r="B42" s="19">
        <v>1707982410</v>
      </c>
      <c r="C42">
        <v>435</v>
      </c>
      <c r="D42">
        <v>2065</v>
      </c>
      <c r="E42" s="1">
        <v>0.17399999999999999</v>
      </c>
      <c r="F42" s="1">
        <v>0.82599999999999996</v>
      </c>
      <c r="G42">
        <v>12</v>
      </c>
      <c r="H42">
        <v>89</v>
      </c>
      <c r="I42">
        <v>29</v>
      </c>
      <c r="J42" s="20">
        <v>6.6667000000000004E-2</v>
      </c>
      <c r="K42">
        <v>21</v>
      </c>
      <c r="L42">
        <v>4.1904760000000003</v>
      </c>
      <c r="M42">
        <v>16</v>
      </c>
      <c r="N42">
        <v>1</v>
      </c>
      <c r="O42">
        <v>88</v>
      </c>
      <c r="P42" s="1">
        <v>0.20229900000000001</v>
      </c>
    </row>
    <row r="43" spans="1:16" x14ac:dyDescent="0.25">
      <c r="A43" t="s">
        <v>16</v>
      </c>
      <c r="B43" s="19">
        <v>1435727115</v>
      </c>
      <c r="C43">
        <v>461</v>
      </c>
      <c r="D43">
        <v>2039</v>
      </c>
      <c r="E43" s="1">
        <v>0.18440000000000001</v>
      </c>
      <c r="F43" s="1">
        <v>0.81559999999999999</v>
      </c>
      <c r="G43">
        <v>13</v>
      </c>
      <c r="H43">
        <v>96</v>
      </c>
      <c r="I43">
        <v>30</v>
      </c>
      <c r="J43" s="20">
        <v>6.5075999999999995E-2</v>
      </c>
      <c r="K43">
        <v>21</v>
      </c>
      <c r="L43">
        <v>4.4285709999999998</v>
      </c>
      <c r="M43">
        <v>16</v>
      </c>
      <c r="N43">
        <v>1</v>
      </c>
      <c r="O43">
        <v>93</v>
      </c>
      <c r="P43" s="1">
        <v>0.201735</v>
      </c>
    </row>
    <row r="44" spans="1:16" x14ac:dyDescent="0.25">
      <c r="A44" t="s">
        <v>16</v>
      </c>
      <c r="B44" s="19">
        <v>898742567</v>
      </c>
      <c r="C44">
        <v>533</v>
      </c>
      <c r="D44">
        <v>1967</v>
      </c>
      <c r="E44" s="1">
        <v>0.2132</v>
      </c>
      <c r="F44" s="1">
        <v>0.78680000000000005</v>
      </c>
      <c r="G44">
        <v>22</v>
      </c>
      <c r="H44">
        <v>77</v>
      </c>
      <c r="I44">
        <v>74</v>
      </c>
      <c r="J44" s="20">
        <v>0.13883699999999999</v>
      </c>
      <c r="K44">
        <v>29</v>
      </c>
      <c r="L44">
        <v>5.3103449999999999</v>
      </c>
      <c r="M44">
        <v>23</v>
      </c>
      <c r="N44">
        <v>1</v>
      </c>
      <c r="O44">
        <v>154</v>
      </c>
      <c r="P44" s="1">
        <v>0.28893099999999999</v>
      </c>
    </row>
    <row r="45" spans="1:16" x14ac:dyDescent="0.25">
      <c r="A45" t="s">
        <v>16</v>
      </c>
      <c r="B45" s="19">
        <v>1227311401</v>
      </c>
      <c r="C45">
        <v>491</v>
      </c>
      <c r="D45">
        <v>2009</v>
      </c>
      <c r="E45" s="1">
        <v>0.19639999999999999</v>
      </c>
      <c r="F45" s="1">
        <v>0.80359999999999998</v>
      </c>
      <c r="G45">
        <v>10</v>
      </c>
      <c r="H45">
        <v>91</v>
      </c>
      <c r="I45">
        <v>33</v>
      </c>
      <c r="J45" s="20">
        <v>6.7210000000000006E-2</v>
      </c>
      <c r="K45">
        <v>21</v>
      </c>
      <c r="L45">
        <v>4.7619049999999996</v>
      </c>
      <c r="M45">
        <v>15</v>
      </c>
      <c r="N45">
        <v>1</v>
      </c>
      <c r="O45">
        <v>100</v>
      </c>
      <c r="P45" s="1">
        <v>0.20366600000000001</v>
      </c>
    </row>
    <row r="46" spans="1:16" x14ac:dyDescent="0.25">
      <c r="A46" t="s">
        <v>16</v>
      </c>
      <c r="B46" s="19">
        <v>808872419</v>
      </c>
      <c r="C46">
        <v>508</v>
      </c>
      <c r="D46">
        <v>1992</v>
      </c>
      <c r="E46" s="1">
        <v>0.20319999999999999</v>
      </c>
      <c r="F46" s="1">
        <v>0.79679999999999995</v>
      </c>
      <c r="G46">
        <v>16</v>
      </c>
      <c r="H46">
        <v>88</v>
      </c>
      <c r="I46">
        <v>52</v>
      </c>
      <c r="J46" s="20">
        <v>0.10236199999999999</v>
      </c>
      <c r="K46">
        <v>28</v>
      </c>
      <c r="L46">
        <v>4.6785709999999998</v>
      </c>
      <c r="M46">
        <v>17</v>
      </c>
      <c r="N46">
        <v>1</v>
      </c>
      <c r="O46">
        <v>131</v>
      </c>
      <c r="P46" s="1">
        <v>0.25787399999999999</v>
      </c>
    </row>
    <row r="47" spans="1:16" x14ac:dyDescent="0.25">
      <c r="A47" t="s">
        <v>16</v>
      </c>
      <c r="B47" s="19">
        <v>1063535921</v>
      </c>
      <c r="C47">
        <v>511</v>
      </c>
      <c r="D47">
        <v>1989</v>
      </c>
      <c r="E47" s="1">
        <v>0.2044</v>
      </c>
      <c r="F47" s="1">
        <v>0.79559999999999997</v>
      </c>
      <c r="G47">
        <v>15</v>
      </c>
      <c r="H47">
        <v>94</v>
      </c>
      <c r="I47">
        <v>53</v>
      </c>
      <c r="J47" s="20">
        <v>0.103718</v>
      </c>
      <c r="K47">
        <v>23</v>
      </c>
      <c r="L47">
        <v>5.5652169999999996</v>
      </c>
      <c r="M47">
        <v>30</v>
      </c>
      <c r="N47">
        <v>1</v>
      </c>
      <c r="O47">
        <v>128</v>
      </c>
      <c r="P47" s="1">
        <v>0.25048900000000002</v>
      </c>
    </row>
    <row r="48" spans="1:16" x14ac:dyDescent="0.25">
      <c r="A48" t="s">
        <v>16</v>
      </c>
      <c r="B48" s="19">
        <v>1931995821</v>
      </c>
      <c r="C48">
        <v>404</v>
      </c>
      <c r="D48">
        <v>2096</v>
      </c>
      <c r="E48" s="1">
        <v>0.16159999999999999</v>
      </c>
      <c r="F48" s="1">
        <v>0.83840000000000003</v>
      </c>
      <c r="G48">
        <v>12</v>
      </c>
      <c r="H48">
        <v>89</v>
      </c>
      <c r="I48">
        <v>38</v>
      </c>
      <c r="J48" s="20">
        <v>9.4059000000000004E-2</v>
      </c>
      <c r="K48">
        <v>21</v>
      </c>
      <c r="L48">
        <v>3.7619050000000001</v>
      </c>
      <c r="M48">
        <v>22</v>
      </c>
      <c r="N48">
        <v>1</v>
      </c>
      <c r="O48">
        <v>79</v>
      </c>
      <c r="P48" s="1">
        <v>0.195545</v>
      </c>
    </row>
    <row r="49" spans="1:16" x14ac:dyDescent="0.25">
      <c r="A49" t="s">
        <v>16</v>
      </c>
      <c r="B49" s="19">
        <v>182973689</v>
      </c>
      <c r="C49">
        <v>496</v>
      </c>
      <c r="D49">
        <v>2004</v>
      </c>
      <c r="E49" s="1">
        <v>0.19839999999999999</v>
      </c>
      <c r="F49" s="1">
        <v>0.80159999999999998</v>
      </c>
      <c r="G49">
        <v>14</v>
      </c>
      <c r="H49">
        <v>103</v>
      </c>
      <c r="I49">
        <v>52</v>
      </c>
      <c r="J49" s="20">
        <v>0.104839</v>
      </c>
      <c r="K49">
        <v>18</v>
      </c>
      <c r="L49">
        <v>6.2777779999999996</v>
      </c>
      <c r="M49">
        <v>29</v>
      </c>
      <c r="N49">
        <v>1</v>
      </c>
      <c r="O49">
        <v>113</v>
      </c>
      <c r="P49" s="1">
        <v>0.227823</v>
      </c>
    </row>
    <row r="50" spans="1:16" x14ac:dyDescent="0.25">
      <c r="A50" t="s">
        <v>16</v>
      </c>
      <c r="B50" s="19">
        <v>539613594</v>
      </c>
      <c r="C50">
        <v>534</v>
      </c>
      <c r="D50">
        <v>1966</v>
      </c>
      <c r="E50" s="1">
        <v>0.21360000000000001</v>
      </c>
      <c r="F50" s="1">
        <v>0.78639999999999999</v>
      </c>
      <c r="G50">
        <v>17</v>
      </c>
      <c r="H50">
        <v>75</v>
      </c>
      <c r="I50">
        <v>53</v>
      </c>
      <c r="J50" s="20">
        <v>9.9251000000000006E-2</v>
      </c>
      <c r="K50">
        <v>25</v>
      </c>
      <c r="L50">
        <v>6.8</v>
      </c>
      <c r="M50">
        <v>19</v>
      </c>
      <c r="N50">
        <v>1</v>
      </c>
      <c r="O50">
        <v>170</v>
      </c>
      <c r="P50" s="1">
        <v>0.31835200000000002</v>
      </c>
    </row>
    <row r="51" spans="1:16" x14ac:dyDescent="0.25">
      <c r="A51" t="s">
        <v>16</v>
      </c>
      <c r="B51" s="19">
        <v>926631869</v>
      </c>
      <c r="C51">
        <v>448</v>
      </c>
      <c r="D51">
        <v>2052</v>
      </c>
      <c r="E51" s="1">
        <v>0.1792</v>
      </c>
      <c r="F51" s="1">
        <v>0.82079999999999997</v>
      </c>
      <c r="G51">
        <v>15</v>
      </c>
      <c r="H51">
        <v>100</v>
      </c>
      <c r="I51">
        <v>56</v>
      </c>
      <c r="J51" s="20">
        <v>0.125</v>
      </c>
      <c r="K51">
        <v>16</v>
      </c>
      <c r="L51">
        <v>4.9375</v>
      </c>
      <c r="M51">
        <v>13</v>
      </c>
      <c r="N51">
        <v>1</v>
      </c>
      <c r="O51">
        <v>79</v>
      </c>
      <c r="P51" s="1">
        <v>0.176339</v>
      </c>
    </row>
    <row r="52" spans="1:16" x14ac:dyDescent="0.25">
      <c r="A52" t="s">
        <v>26</v>
      </c>
      <c r="B52"/>
      <c r="C52">
        <f>SUBTOTAL(101,CA8_wall70_it1_neigh5[floors])</f>
        <v>482.38</v>
      </c>
      <c r="D52">
        <f>SUBTOTAL(101,CA8_wall70_it1_neigh5[walls])</f>
        <v>2017.62</v>
      </c>
      <c r="E52" s="2">
        <f>SUBTOTAL(101,CA8_wall70_it1_neigh5[floor_percent])</f>
        <v>0.19295200000000001</v>
      </c>
      <c r="F52" s="2">
        <f>SUBTOTAL(101,CA8_wall70_it1_neigh5[wall_percent])</f>
        <v>0.8070480000000001</v>
      </c>
      <c r="G52">
        <f>SUBTOTAL(101,CA8_wall70_it1_neigh5[longest_shortest_path])</f>
        <v>17.260000000000002</v>
      </c>
      <c r="H52">
        <f>SUBTOTAL(101,CA8_wall70_it1_neigh5[component_count])</f>
        <v>90.64</v>
      </c>
      <c r="I52">
        <f>SUBTOTAL(101,CA8_wall70_it1_neigh5[max_component_size])</f>
        <v>56.52</v>
      </c>
      <c r="J52">
        <f>SUBTOTAL(101,CA8_wall70_it1_neigh5[connectivity_ratio])</f>
        <v>0.11546415999999998</v>
      </c>
      <c r="K52">
        <f>SUBTOTAL(101,CA8_wall70_it1_neigh5[room_count])</f>
        <v>21.02</v>
      </c>
      <c r="L52">
        <f>SUBTOTAL(101,CA8_wall70_it1_neigh5[avg_room_size])</f>
        <v>5.4792197000000007</v>
      </c>
      <c r="M52">
        <f>SUBTOTAL(101,CA8_wall70_it1_neigh5[max_room_size])</f>
        <v>20.239999999999998</v>
      </c>
      <c r="N52">
        <f>SUBTOTAL(101,CA8_wall70_it1_neigh5[min_room_size])</f>
        <v>1</v>
      </c>
      <c r="O52">
        <f>SUBTOTAL(101,CA8_wall70_it1_neigh5[room_tiles])</f>
        <v>114.1</v>
      </c>
      <c r="P52" s="2">
        <f>SUBTOTAL(101,CA8_wall70_it1_neigh5[room_ratio])</f>
        <v>0.23482822000000003</v>
      </c>
    </row>
    <row r="53" spans="1:16" x14ac:dyDescent="0.25">
      <c r="A53" s="22" t="s">
        <v>45</v>
      </c>
      <c r="B53" s="22"/>
      <c r="C53" s="22"/>
      <c r="D53" s="22"/>
      <c r="E53" s="22"/>
      <c r="F53" s="22"/>
    </row>
  </sheetData>
  <mergeCells count="1">
    <mergeCell ref="A53:F53"/>
  </mergeCells>
  <pageMargins left="0.7" right="0.7" top="0.78740157499999996" bottom="0.78740157499999996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845A-3F7F-46C7-A5BB-E05CE9A8CC77}">
  <dimension ref="A1:L14"/>
  <sheetViews>
    <sheetView tabSelected="1" workbookViewId="0">
      <selection activeCell="N19" sqref="N19"/>
    </sheetView>
  </sheetViews>
  <sheetFormatPr defaultRowHeight="15" x14ac:dyDescent="0.25"/>
  <cols>
    <col min="1" max="1" width="11.85546875" bestFit="1" customWidth="1"/>
    <col min="2" max="2" width="19.7109375" bestFit="1" customWidth="1"/>
    <col min="3" max="3" width="15.7109375" customWidth="1"/>
    <col min="4" max="4" width="17.7109375" customWidth="1"/>
    <col min="5" max="5" width="15.7109375" customWidth="1"/>
    <col min="8" max="8" width="11.85546875" bestFit="1" customWidth="1"/>
    <col min="9" max="9" width="24" customWidth="1"/>
    <col min="10" max="10" width="13.85546875" customWidth="1"/>
    <col min="11" max="11" width="17" bestFit="1" customWidth="1"/>
    <col min="12" max="12" width="15.140625" customWidth="1"/>
  </cols>
  <sheetData>
    <row r="1" spans="1:12" x14ac:dyDescent="0.25">
      <c r="A1" s="15" t="s">
        <v>23</v>
      </c>
      <c r="B1" s="15"/>
      <c r="C1" s="15" t="s">
        <v>22</v>
      </c>
      <c r="D1" s="15"/>
      <c r="E1" s="15"/>
      <c r="H1" s="16" t="s">
        <v>25</v>
      </c>
      <c r="I1" s="17"/>
      <c r="J1" s="18" t="s">
        <v>22</v>
      </c>
      <c r="K1" s="18"/>
      <c r="L1" s="18"/>
    </row>
    <row r="2" spans="1:12" ht="15.75" thickBot="1" x14ac:dyDescent="0.3">
      <c r="A2" s="11" t="s">
        <v>17</v>
      </c>
      <c r="B2" s="11" t="s">
        <v>18</v>
      </c>
      <c r="C2" s="11" t="s">
        <v>19</v>
      </c>
      <c r="D2" s="11" t="s">
        <v>20</v>
      </c>
      <c r="E2" s="11" t="s">
        <v>21</v>
      </c>
      <c r="H2" s="12" t="s">
        <v>17</v>
      </c>
      <c r="I2" s="13" t="s">
        <v>24</v>
      </c>
      <c r="J2" s="12" t="s">
        <v>19</v>
      </c>
      <c r="K2" s="12" t="s">
        <v>20</v>
      </c>
      <c r="L2" s="12" t="s">
        <v>21</v>
      </c>
    </row>
    <row r="3" spans="1:12" x14ac:dyDescent="0.25">
      <c r="A3" s="7">
        <v>0.3</v>
      </c>
      <c r="B3" s="8">
        <v>4</v>
      </c>
      <c r="C3" s="9">
        <f>SUBTOTAL(101,CA8_wall30_it2_neigh4[floor_percent])</f>
        <v>0.7772960000000001</v>
      </c>
      <c r="D3" s="10">
        <f>SUBTOTAL(101,CA8_wall30_it2_neigh4[component_count])</f>
        <v>2.44</v>
      </c>
      <c r="E3" s="9">
        <f>SUBTOTAL(101,CA8_wall30_it2_neigh4[connectivity_ratio])</f>
        <v>0.99832756000000022</v>
      </c>
      <c r="H3" s="7">
        <v>0.5</v>
      </c>
      <c r="I3" s="8">
        <v>1</v>
      </c>
      <c r="J3" s="5">
        <f>SUBTOTAL(101,CA8_wall50_it1_neigh5[floor_percent])</f>
        <v>0.6109119999999999</v>
      </c>
      <c r="K3" s="6">
        <f>SUBTOTAL(101,CA8_wall50_it1_neigh5[component_count])</f>
        <v>11.18</v>
      </c>
      <c r="L3" s="5">
        <f>SUBTOTAL(101,CA8_wall50_it1_neigh5[connectivity_ratio])</f>
        <v>0.97206613999999991</v>
      </c>
    </row>
    <row r="4" spans="1:12" x14ac:dyDescent="0.25">
      <c r="A4" s="3">
        <v>0.3</v>
      </c>
      <c r="B4" s="4">
        <v>5</v>
      </c>
      <c r="C4" s="5">
        <f>SUBTOTAL(101,CA8_wall30_it2_neigh5[floor_percent])</f>
        <v>0.96399200000000007</v>
      </c>
      <c r="D4" s="6">
        <f>SUBTOTAL(101,CA8_wall30_it2_neigh5[component_count])</f>
        <v>1</v>
      </c>
      <c r="E4" s="5">
        <f>SUBTOTAL(101,CA8_wall30_it2_neigh5[connectivity_ratio])</f>
        <v>1</v>
      </c>
      <c r="H4" s="3">
        <v>0.5</v>
      </c>
      <c r="I4" s="4">
        <v>2</v>
      </c>
      <c r="J4" s="5">
        <f>SUBTOTAL(101,CA8_wall50_it2_neigh5[floor_percent])</f>
        <v>0.70764799999999994</v>
      </c>
      <c r="K4" s="6">
        <f>SUBTOTAL(101,CA8_wall50_it2_neigh5[component_count])</f>
        <v>4.66</v>
      </c>
      <c r="L4" s="5">
        <f>SUBTOTAL(101,CA8_wall50_it2_neigh5[connectivity_ratio])</f>
        <v>0.98830436000000021</v>
      </c>
    </row>
    <row r="5" spans="1:12" x14ac:dyDescent="0.25">
      <c r="A5" s="3">
        <v>0.3</v>
      </c>
      <c r="B5" s="4">
        <v>6</v>
      </c>
      <c r="C5" s="5">
        <f>SUBTOTAL(101,CA8_wall30_it2_neigh6[floor_percent])</f>
        <v>0.99859199999999992</v>
      </c>
      <c r="D5" s="6">
        <f>SUBTOTAL(101,CA8_wall30_it2_neigh6[component_count])</f>
        <v>1</v>
      </c>
      <c r="E5" s="5">
        <f>SUBTOTAL(101,CA8_wall30_it2_neigh6[connectivity_ratio])</f>
        <v>1</v>
      </c>
      <c r="H5" s="3">
        <v>0.5</v>
      </c>
      <c r="I5" s="4">
        <v>3</v>
      </c>
      <c r="J5" s="5">
        <f>SUBTOTAL(101,CA8_wall50_it3_neigh5[floor_percent])</f>
        <v>0.78328799999999998</v>
      </c>
      <c r="K5" s="6">
        <f>SUBTOTAL(101,CA8_wall50_it3_neigh5[component_count])</f>
        <v>2.1</v>
      </c>
      <c r="L5" s="5">
        <f>SUBTOTAL(101,CA8_wall50_it3_neigh5[connectivity_ratio])</f>
        <v>0.99382180000000009</v>
      </c>
    </row>
    <row r="6" spans="1:12" x14ac:dyDescent="0.25">
      <c r="A6" s="3">
        <v>0.5</v>
      </c>
      <c r="B6" s="4">
        <v>4</v>
      </c>
      <c r="C6" s="5">
        <f>SUBTOTAL(101,CA8_wall50_it2_neigh4[floor_percent])</f>
        <v>0.233456</v>
      </c>
      <c r="D6" s="6">
        <f>SUBTOTAL(101,CA8_wall50_it2_neigh4[component_count])</f>
        <v>42.6</v>
      </c>
      <c r="E6" s="5">
        <f>SUBTOTAL(101,CA8_wall50_it2_neigh4[connectivity_ratio])</f>
        <v>0.21552065999999986</v>
      </c>
      <c r="H6" s="3">
        <v>0.5</v>
      </c>
      <c r="I6" s="4">
        <v>4</v>
      </c>
      <c r="J6" s="5">
        <f>SUBTOTAL(101,CA8_wall50_it4_neigh5[floor_percent])</f>
        <v>0.81696000000000024</v>
      </c>
      <c r="K6" s="6">
        <f>SUBTOTAL(101,CA8_wall50_it4_neigh5[component_count])</f>
        <v>1.46</v>
      </c>
      <c r="L6" s="5">
        <f>SUBTOTAL(101,CA8_wall50_it4_neigh5[connectivity_ratio])</f>
        <v>0.99799384000000002</v>
      </c>
    </row>
    <row r="7" spans="1:12" x14ac:dyDescent="0.25">
      <c r="A7" s="3">
        <v>0.5</v>
      </c>
      <c r="B7" s="4">
        <v>5</v>
      </c>
      <c r="C7" s="5">
        <f>SUBTOTAL(101,CA8_wall50_it2_neigh5[floor_percent])</f>
        <v>0.70764799999999994</v>
      </c>
      <c r="D7" s="6">
        <f>SUBTOTAL(101,CA8_wall50_it2_neigh5[component_count])</f>
        <v>4.66</v>
      </c>
      <c r="E7" s="5">
        <f>SUBTOTAL(101,CA8_wall50_it2_neigh5[connectivity_ratio])</f>
        <v>0.98830436000000021</v>
      </c>
      <c r="H7" s="3">
        <v>0.5</v>
      </c>
      <c r="I7" s="4">
        <v>5</v>
      </c>
      <c r="J7" s="5">
        <f>SUBTOTAL(101,CA8_wall50_it5_neigh5[floor_percent])</f>
        <v>0.8517680000000003</v>
      </c>
      <c r="K7" s="6">
        <f>SUBTOTAL(101,CA8_wall50_it5_neigh5[component_count])</f>
        <v>1.22</v>
      </c>
      <c r="L7" s="5">
        <f>SUBTOTAL(101,CA8_wall50_it5_neigh5[connectivity_ratio])</f>
        <v>0.99846762000000011</v>
      </c>
    </row>
    <row r="8" spans="1:12" x14ac:dyDescent="0.25">
      <c r="A8" s="3">
        <v>0.5</v>
      </c>
      <c r="B8" s="4">
        <v>6</v>
      </c>
      <c r="C8" s="5">
        <f>SUBTOTAL(101,CA8_wall50_it2_neigh6[floor_percent])</f>
        <v>0.96566399999999997</v>
      </c>
      <c r="D8" s="6">
        <f>SUBTOTAL(101,CA8_wall50_it2_neigh6[component_count])</f>
        <v>1.06</v>
      </c>
      <c r="E8" s="5">
        <f>SUBTOTAL(101,CA8_wall50_it2_neigh6[connectivity_ratio])</f>
        <v>0.99997523999999993</v>
      </c>
      <c r="H8" s="3">
        <v>0.5</v>
      </c>
      <c r="I8" s="4">
        <v>6</v>
      </c>
      <c r="J8" s="5">
        <f>SUBTOTAL(101,CA8_wall50_it6_neigh5[floor_percent])</f>
        <v>0.87906400000000018</v>
      </c>
      <c r="K8" s="6">
        <f>SUBTOTAL(101,CA8_wall50_it6_neigh5[component_count])</f>
        <v>1.08</v>
      </c>
      <c r="L8" s="5">
        <f>SUBTOTAL(101,CA8_wall50_it6_neigh5[connectivity_ratio])</f>
        <v>0.9986310599999999</v>
      </c>
    </row>
    <row r="9" spans="1:12" x14ac:dyDescent="0.25">
      <c r="A9" s="3">
        <v>0.7</v>
      </c>
      <c r="B9" s="4">
        <v>4</v>
      </c>
      <c r="C9" s="5">
        <f>SUBTOTAL(101,CA8_wall70_it2_neigh4[floor_percent])</f>
        <v>7.0079999999999995E-3</v>
      </c>
      <c r="D9" s="6">
        <f>SUBTOTAL(101,CA8_wall70_it2_neigh4[component_count])</f>
        <v>7.5</v>
      </c>
      <c r="E9" s="5">
        <f>SUBTOTAL(101,CA8_wall70_it2_neigh4[connectivity_ratio])</f>
        <v>0.34690634000000004</v>
      </c>
      <c r="H9" s="14">
        <v>0.7</v>
      </c>
      <c r="I9" s="4">
        <v>1</v>
      </c>
      <c r="J9" s="5">
        <f>SUBTOTAL(101,CA8_wall70_it1_neigh5[floor_percent])</f>
        <v>0.19295200000000001</v>
      </c>
      <c r="K9" s="6">
        <f>SUBTOTAL(101,CA8_wall70_it1_neigh5[component_count])</f>
        <v>90.64</v>
      </c>
      <c r="L9" s="5">
        <f>SUBTOTAL(101,CA8_wall70_it1_neigh5[connectivity_ratio])</f>
        <v>0.11546415999999998</v>
      </c>
    </row>
    <row r="10" spans="1:12" x14ac:dyDescent="0.25">
      <c r="A10" s="3">
        <v>0.7</v>
      </c>
      <c r="B10" s="4">
        <v>5</v>
      </c>
      <c r="C10" s="5">
        <f>SUBTOTAL(101,CA8_wall70_it2_neigh5[floor_percent])</f>
        <v>0.14645599999999998</v>
      </c>
      <c r="D10" s="6">
        <f>SUBTOTAL(101,CA8_wall70_it2_neigh5[component_count])</f>
        <v>43.88</v>
      </c>
      <c r="E10" s="5">
        <f>SUBTOTAL(101,CA8_wall70_it2_neigh5[connectivity_ratio])</f>
        <v>0.16285505999999997</v>
      </c>
      <c r="H10" s="14">
        <v>0.7</v>
      </c>
      <c r="I10" s="4">
        <v>2</v>
      </c>
      <c r="J10" s="5">
        <f>SUBTOTAL(101,CA8_wall70_it2_neigh5[floor_percent])</f>
        <v>0.14645599999999998</v>
      </c>
      <c r="K10" s="6">
        <f>SUBTOTAL(101,CA8_wall70_it2_neigh5[component_count])</f>
        <v>43.88</v>
      </c>
      <c r="L10" s="5">
        <f>SUBTOTAL(101,CA8_wall70_it2_neigh5[connectivity_ratio])</f>
        <v>0.16285505999999997</v>
      </c>
    </row>
    <row r="11" spans="1:12" x14ac:dyDescent="0.25">
      <c r="A11" s="3">
        <v>0.7</v>
      </c>
      <c r="B11" s="4">
        <v>6</v>
      </c>
      <c r="C11" s="5">
        <f>SUBTOTAL(101,CA8_wall70_it2_neigh6[floor_percent])</f>
        <v>0.61424800000000002</v>
      </c>
      <c r="D11" s="6">
        <f>SUBTOTAL(101,CA8_wall70_it2_neigh6[component_count])</f>
        <v>9.6</v>
      </c>
      <c r="E11" s="5">
        <f>SUBTOTAL(101,CA8_wall70_it2_neigh6[connectivity_ratio])</f>
        <v>0.90959243999999984</v>
      </c>
      <c r="H11" s="14">
        <v>0.7</v>
      </c>
      <c r="I11" s="4">
        <v>3</v>
      </c>
      <c r="J11" s="5">
        <f>SUBTOTAL(101,CA8_wall70_it3_neigh5[floor_percent])</f>
        <v>0.12792799999999999</v>
      </c>
      <c r="K11" s="6">
        <f>SUBTOTAL(101,CA8_wall70_it3_neigh5[component_count])</f>
        <v>24.98</v>
      </c>
      <c r="L11" s="5">
        <f>SUBTOTAL(101,CA8_wall70_it3_neigh5[connectivity_ratio])</f>
        <v>0.20427253999999997</v>
      </c>
    </row>
    <row r="12" spans="1:12" x14ac:dyDescent="0.25">
      <c r="H12" s="14">
        <v>0.7</v>
      </c>
      <c r="I12" s="4">
        <v>4</v>
      </c>
      <c r="J12" s="5">
        <f>SUBTOTAL(101,CA8_wall70_it4_neigh5[floor_percent])</f>
        <v>0.11260800000000001</v>
      </c>
      <c r="K12" s="6">
        <f>SUBTOTAL(101,CA8_wall70_it4_neigh5[component_count])</f>
        <v>15.88</v>
      </c>
      <c r="L12" s="5">
        <f>SUBTOTAL(101,CA8_wall70_it4_neigh5[connectivity_ratio])</f>
        <v>0.23482508000000002</v>
      </c>
    </row>
    <row r="13" spans="1:12" x14ac:dyDescent="0.25">
      <c r="H13" s="14">
        <v>0.7</v>
      </c>
      <c r="I13" s="4">
        <v>5</v>
      </c>
      <c r="J13" s="5">
        <f>SUBTOTAL(101,CA8_wall70_it5_neigh5[floor_percent])</f>
        <v>0.10338399999999998</v>
      </c>
      <c r="K13" s="6">
        <f>SUBTOTAL(101,CA8_wall70_it5_neigh5[component_count])</f>
        <v>12.34</v>
      </c>
      <c r="L13" s="5">
        <f>SUBTOTAL(101,CA8_wall70_it5_neigh5[connectivity_ratio])</f>
        <v>0.27166804</v>
      </c>
    </row>
    <row r="14" spans="1:12" x14ac:dyDescent="0.25">
      <c r="H14" s="14">
        <v>0.7</v>
      </c>
      <c r="I14" s="4">
        <v>6</v>
      </c>
      <c r="J14" s="5">
        <f>SUBTOTAL(101,CA8_wall70_it6_neigh5[floor_percent])</f>
        <v>0.10446399999999999</v>
      </c>
      <c r="K14" s="6">
        <f>SUBTOTAL(101,CA8_wall70_it6_neigh5[component_count])</f>
        <v>10.36</v>
      </c>
      <c r="L14" s="5">
        <f>SUBTOTAL(101,CA8_wall70_it6_neigh5[connectivity_ratio])</f>
        <v>0.29284285999999998</v>
      </c>
    </row>
  </sheetData>
  <mergeCells count="4">
    <mergeCell ref="A1:B1"/>
    <mergeCell ref="C1:E1"/>
    <mergeCell ref="H1:I1"/>
    <mergeCell ref="J1:L1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D3DD56-7D56-4B21-ABEA-25F69F115D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20</vt:i4>
      </vt:variant>
    </vt:vector>
  </HeadingPairs>
  <TitlesOfParts>
    <vt:vector size="20" baseType="lpstr">
      <vt:lpstr>CA8_wall70_it2_neigh6</vt:lpstr>
      <vt:lpstr>CA8_wall70_it2_neigh5</vt:lpstr>
      <vt:lpstr>CA8_wall70_it2_neigh4</vt:lpstr>
      <vt:lpstr>CA8_wall50_it2_neigh6</vt:lpstr>
      <vt:lpstr>CA8_wall50_it2_neigh5</vt:lpstr>
      <vt:lpstr>CA8_wall50_it2_neigh4</vt:lpstr>
      <vt:lpstr>CA8_wall30_it2_neigh6</vt:lpstr>
      <vt:lpstr>CA8_wall30_it2_neigh5</vt:lpstr>
      <vt:lpstr>CA8_wall30_it2_neigh4</vt:lpstr>
      <vt:lpstr>CA8_wall50_it6_neigh5</vt:lpstr>
      <vt:lpstr>CA8_wall50_it5_neigh5</vt:lpstr>
      <vt:lpstr>CA8_wall50_it4_neigh5</vt:lpstr>
      <vt:lpstr>CA8_wall50_it3_neigh5</vt:lpstr>
      <vt:lpstr>CA8_wall50_it1_neigh5</vt:lpstr>
      <vt:lpstr>CA8_wall70_it6_neigh5</vt:lpstr>
      <vt:lpstr>CA8_wall70_it5_neigh5</vt:lpstr>
      <vt:lpstr>CA8_wall70_it4_neigh5</vt:lpstr>
      <vt:lpstr>CA8_wall70_it3_neigh5</vt:lpstr>
      <vt:lpstr>CA8_wall70_it1_neigh5</vt:lpstr>
      <vt:lpstr>Souhrn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</dc:creator>
  <cp:lastModifiedBy>w8</cp:lastModifiedBy>
  <dcterms:created xsi:type="dcterms:W3CDTF">2026-04-18T14:22:01Z</dcterms:created>
  <dcterms:modified xsi:type="dcterms:W3CDTF">2026-04-21T10:04:51Z</dcterms:modified>
</cp:coreProperties>
</file>