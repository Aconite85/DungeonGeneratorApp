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škola\Bp\"/>
    </mc:Choice>
  </mc:AlternateContent>
  <xr:revisionPtr revIDLastSave="0" documentId="13_ncr:1_{F5C35BD9-FF3D-4E77-B500-7EC3B389DDFB}" xr6:coauthVersionLast="47" xr6:coauthVersionMax="47" xr10:uidLastSave="{00000000-0000-0000-0000-000000000000}"/>
  <bookViews>
    <workbookView xWindow="-120" yWindow="-120" windowWidth="29040" windowHeight="15840" tabRatio="883" activeTab="8" xr2:uid="{2CEC33CA-1A52-4BEB-B591-295902C0F471}"/>
  </bookViews>
  <sheets>
    <sheet name="AgCon_room10_corr7" sheetId="6" r:id="rId1"/>
    <sheet name="AgCon_room7_corr10" sheetId="5" r:id="rId2"/>
    <sheet name="AgCon_room7_corr7" sheetId="4" r:id="rId3"/>
    <sheet name="AgCon_room7_corr4" sheetId="3" r:id="rId4"/>
    <sheet name="AgCon_room4_corr7" sheetId="2" r:id="rId5"/>
    <sheet name="AgCon_room10_corr10" sheetId="10" r:id="rId6"/>
    <sheet name="AgCon_room10_corr4" sheetId="9" r:id="rId7"/>
    <sheet name="AgCon_room4_corr10" sheetId="8" r:id="rId8"/>
    <sheet name="AgCon_room4_corr4" sheetId="7" r:id="rId9"/>
    <sheet name="Souhrn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2" i="7" l="1"/>
  <c r="E52" i="7"/>
  <c r="F52" i="7"/>
  <c r="G52" i="7"/>
  <c r="H52" i="7"/>
  <c r="I52" i="7"/>
  <c r="J52" i="7"/>
  <c r="K52" i="7"/>
  <c r="L52" i="7"/>
  <c r="M52" i="7"/>
  <c r="N52" i="7"/>
  <c r="O52" i="7"/>
  <c r="P52" i="7"/>
  <c r="C52" i="7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C52" i="8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C52" i="9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C52" i="10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C52" i="2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C52" i="3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C52" i="4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C52" i="5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G11" i="1"/>
  <c r="G9" i="1"/>
  <c r="G5" i="1"/>
  <c r="G3" i="1"/>
  <c r="G4" i="1"/>
  <c r="F11" i="1"/>
  <c r="F9" i="1"/>
  <c r="F5" i="1"/>
  <c r="F3" i="1"/>
  <c r="F4" i="1"/>
  <c r="E11" i="1"/>
  <c r="E9" i="1"/>
  <c r="E5" i="1"/>
  <c r="E3" i="1"/>
  <c r="D11" i="1"/>
  <c r="D9" i="1"/>
  <c r="D5" i="1"/>
  <c r="D3" i="1"/>
  <c r="C11" i="1"/>
  <c r="C9" i="1"/>
  <c r="C5" i="1"/>
  <c r="C3" i="1"/>
  <c r="C4" i="1"/>
  <c r="G10" i="1"/>
  <c r="G8" i="1"/>
  <c r="G7" i="1"/>
  <c r="G6" i="1"/>
  <c r="F10" i="1"/>
  <c r="F8" i="1"/>
  <c r="F7" i="1"/>
  <c r="F6" i="1"/>
  <c r="E10" i="1"/>
  <c r="E8" i="1"/>
  <c r="E7" i="1"/>
  <c r="E6" i="1"/>
  <c r="E4" i="1"/>
  <c r="D10" i="1"/>
  <c r="D8" i="1"/>
  <c r="D7" i="1"/>
  <c r="D6" i="1"/>
  <c r="D4" i="1"/>
  <c r="C10" i="1"/>
  <c r="C8" i="1"/>
  <c r="C7" i="1"/>
  <c r="C6" i="1"/>
</calcChain>
</file>

<file path=xl/sharedStrings.xml><?xml version="1.0" encoding="utf-8"?>
<sst xmlns="http://schemas.openxmlformats.org/spreadsheetml/2006/main" count="622" uniqueCount="37">
  <si>
    <t>algorithm</t>
  </si>
  <si>
    <t>seed</t>
  </si>
  <si>
    <t>floors</t>
  </si>
  <si>
    <t>walls</t>
  </si>
  <si>
    <t>floor_percent</t>
  </si>
  <si>
    <t>wall_percent</t>
  </si>
  <si>
    <t>longest_shortest_path</t>
  </si>
  <si>
    <t>component_count</t>
  </si>
  <si>
    <t>max_component_size</t>
  </si>
  <si>
    <t>connectivity_ratio</t>
  </si>
  <si>
    <t>room_count</t>
  </si>
  <si>
    <t>avg_room_size</t>
  </si>
  <si>
    <t>max_room_size</t>
  </si>
  <si>
    <t>min_room_size</t>
  </si>
  <si>
    <t>room_tiles</t>
  </si>
  <si>
    <t>room_ratio</t>
  </si>
  <si>
    <t>DungeonGeneratorAgentControlled</t>
  </si>
  <si>
    <t>Hodnoty parametrů</t>
  </si>
  <si>
    <t>Max Room Size</t>
  </si>
  <si>
    <t>Průměrné hodnoty z 50 generovaných dungeonů</t>
  </si>
  <si>
    <t>Podíl podlah</t>
  </si>
  <si>
    <t>Nejdelší cesta</t>
  </si>
  <si>
    <t>Počet místností</t>
  </si>
  <si>
    <t>Průměrná velikost místnosti</t>
  </si>
  <si>
    <t>Poměr místností</t>
  </si>
  <si>
    <t>Max Corridor Lenght</t>
  </si>
  <si>
    <t>Průměr</t>
  </si>
  <si>
    <t>1220002045</t>
  </si>
  <si>
    <t>Hodnoty parametrů: Max room size = 10, Max corridor lenght = 7</t>
  </si>
  <si>
    <t>Hodnoty parametrů: Max room size = 7, Max corridor lenght = 10</t>
  </si>
  <si>
    <t>Hodnoty parametrů: Max room size = 7, Max corridor lenght = 7</t>
  </si>
  <si>
    <t>Hodnoty parametrů: Max room size = 7, Max corridor lenght = 4</t>
  </si>
  <si>
    <t>Hodnoty parametrů: Max room size = 4, Max corridor lenght = 7</t>
  </si>
  <si>
    <t>Hodnoty parametrů: Max room size = 10, Max corridor lenght = 10</t>
  </si>
  <si>
    <t>Hodnoty parametrů: Max room size = 10, Max corridor lenght = 4</t>
  </si>
  <si>
    <t>Hodnoty parametrů: Max room size = 4, Max corridor lenght = 10</t>
  </si>
  <si>
    <t>Hodnoty parametrů: Max room size = 4, Max corridor lenght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</si>
</sst>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/>
    <xf numFmtId="9" fontId="3" fillId="0" borderId="1" xfId="0" applyNumberFormat="1" applyFont="1" applyBorder="1"/>
    <xf numFmtId="0" fontId="3" fillId="0" borderId="1" xfId="0" applyFont="1" applyBorder="1"/>
    <xf numFmtId="9" fontId="3" fillId="0" borderId="1" xfId="1" applyFont="1" applyBorder="1"/>
    <xf numFmtId="0" fontId="2" fillId="0" borderId="0" xfId="0" applyFont="1"/>
    <xf numFmtId="9" fontId="3" fillId="0" borderId="0" xfId="0" applyNumberFormat="1" applyFont="1"/>
    <xf numFmtId="0" fontId="3" fillId="0" borderId="0" xfId="0" applyFont="1"/>
    <xf numFmtId="9" fontId="3" fillId="0" borderId="0" xfId="1" applyFont="1" applyBorder="1"/>
    <xf numFmtId="9" fontId="3" fillId="0" borderId="4" xfId="0" applyNumberFormat="1" applyFont="1" applyBorder="1"/>
    <xf numFmtId="0" fontId="3" fillId="0" borderId="4" xfId="0" applyFont="1" applyBorder="1"/>
    <xf numFmtId="9" fontId="3" fillId="0" borderId="4" xfId="1" applyFont="1" applyBorder="1"/>
    <xf numFmtId="49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1" applyNumberFormat="1" applyFont="1"/>
  </cellXfs>
  <cellStyles count="2">
    <cellStyle name="Normální" xfId="0" builtinId="0"/>
    <cellStyle name="Procenta" xfId="1" builtinId="5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3" formatCode="0%"/>
    </dxf>
    <dxf>
      <numFmt numFmtId="30" formatCode="@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B7A62A-9292-47FE-B38F-FDFB179EE3EC}" name="AgCon_room10_corr7" displayName="AgCon_room10_corr7" ref="A1:P52" totalsRowCount="1">
  <autoFilter ref="A1:P51" xr:uid="{F9B7A62A-9292-47FE-B38F-FDFB179EE3EC}"/>
  <tableColumns count="16">
    <tableColumn id="1" xr3:uid="{7B3E54A9-9DEE-4CE7-AA0C-3F94AE583173}" name="algorithm" totalsRowLabel="Průměr" dataDxfId="49"/>
    <tableColumn id="2" xr3:uid="{7AF4BDCC-4ACC-4F54-83E6-EF03EFB35C66}" name="seed" dataDxfId="48"/>
    <tableColumn id="3" xr3:uid="{3BF77E26-1557-4345-A24A-28C7D7573625}" name="floors" totalsRowFunction="average"/>
    <tableColumn id="4" xr3:uid="{2BA68E89-0405-4098-945E-EFA2C946D789}" name="walls" totalsRowFunction="average"/>
    <tableColumn id="5" xr3:uid="{A07E5A01-A3DC-4349-8EF7-72513141620B}" name="floor_percent" totalsRowFunction="average" totalsRowDxfId="47" dataCellStyle="Procenta"/>
    <tableColumn id="6" xr3:uid="{56645C9E-74F4-4BB5-BBE7-CFC119F8041D}" name="wall_percent" totalsRowFunction="average" totalsRowDxfId="46" dataCellStyle="Procenta"/>
    <tableColumn id="7" xr3:uid="{53A4139F-0B7B-44AD-BC6D-D7746DB7A633}" name="longest_shortest_path" totalsRowFunction="average"/>
    <tableColumn id="8" xr3:uid="{48EEDAB8-C024-49DC-B1FE-4FE62CCD5E93}" name="component_count" totalsRowFunction="average"/>
    <tableColumn id="9" xr3:uid="{DB5BAFED-8238-40B0-AEE3-ED71A8446F99}" name="max_component_size" totalsRowFunction="average"/>
    <tableColumn id="10" xr3:uid="{0131C783-2D26-4AB7-9F4D-5B38DDF9B6C1}" name="connectivity_ratio" totalsRowFunction="average" dataDxfId="17" totalsRowDxfId="16" dataCellStyle="Procenta" totalsRowCellStyle="Procenta"/>
    <tableColumn id="11" xr3:uid="{BF184655-619A-434E-855F-36EE37CD98B0}" name="room_count" totalsRowFunction="average"/>
    <tableColumn id="12" xr3:uid="{4FDED1D3-B60A-4C2E-AEC4-56C94A54AFCE}" name="avg_room_size" totalsRowFunction="average" dataDxfId="45"/>
    <tableColumn id="13" xr3:uid="{537F9FC4-D2A7-4D3A-A8CF-F07688E722A8}" name="max_room_size" totalsRowFunction="average"/>
    <tableColumn id="14" xr3:uid="{983B6FF9-3825-490D-899A-04726F794F67}" name="min_room_size" totalsRowFunction="average"/>
    <tableColumn id="15" xr3:uid="{18CA7CD0-A725-4009-B369-BDBF69158C22}" name="room_tiles" totalsRowFunction="average"/>
    <tableColumn id="16" xr3:uid="{6DAEF5FF-14E0-46EB-B6AA-5081ACE70AD9}" name="room_ratio" totalsRowFunction="average" totalsRowDxfId="44" dataCellStyle="Procent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954623-8698-4EAE-8EFD-AC997F061154}" name="AgCon_room7_corr10" displayName="AgCon_room7_corr10" ref="A1:P52" totalsRowCount="1">
  <autoFilter ref="A1:P51" xr:uid="{57954623-8698-4EAE-8EFD-AC997F061154}"/>
  <tableColumns count="16">
    <tableColumn id="1" xr3:uid="{A06447D9-D2D3-4C19-8A88-699DC4B8F6B2}" name="algorithm" totalsRowLabel="Průměr" dataDxfId="43"/>
    <tableColumn id="2" xr3:uid="{032DFFEA-E33D-40C1-9901-A26BC1F69514}" name="seed" dataDxfId="42"/>
    <tableColumn id="3" xr3:uid="{ADE54773-9180-4A0C-8D82-8EDA7BE93083}" name="floors" totalsRowFunction="average"/>
    <tableColumn id="4" xr3:uid="{D3E2BBC6-80C8-49A7-A924-3E603E877131}" name="walls" totalsRowFunction="average"/>
    <tableColumn id="5" xr3:uid="{3468F8F8-AC08-4ED3-9DEE-08DA3DA32DF2}" name="floor_percent" totalsRowFunction="average" totalsRowDxfId="41" dataCellStyle="Procenta"/>
    <tableColumn id="6" xr3:uid="{AEEFEEC5-A13F-4B9A-B115-130694EAEEA0}" name="wall_percent" totalsRowFunction="average" dataCellStyle="Procenta"/>
    <tableColumn id="7" xr3:uid="{EBE66006-7A84-46C3-B014-8697AED05032}" name="longest_shortest_path" totalsRowFunction="average"/>
    <tableColumn id="8" xr3:uid="{D74AE18E-5D0E-44C7-AE31-EED564E5E652}" name="component_count" totalsRowFunction="average"/>
    <tableColumn id="9" xr3:uid="{B7DE04A4-4340-419F-91B7-FD450E27436C}" name="max_component_size" totalsRowFunction="average"/>
    <tableColumn id="10" xr3:uid="{3D47A8E9-0C8A-43EA-8888-B193F5E98486}" name="connectivity_ratio" totalsRowFunction="average" dataDxfId="15" totalsRowDxfId="14" dataCellStyle="Procenta" totalsRowCellStyle="Procenta"/>
    <tableColumn id="11" xr3:uid="{C2EF9869-9EA7-42E5-BE71-A0117BB7CB3E}" name="room_count" totalsRowFunction="average"/>
    <tableColumn id="12" xr3:uid="{BA3C5116-36C7-47C2-832F-F7D53D0A6EF3}" name="avg_room_size" totalsRowFunction="average" dataDxfId="40"/>
    <tableColumn id="13" xr3:uid="{A5D79A0A-E83A-42AF-B024-F358AA36BA71}" name="max_room_size" totalsRowFunction="average"/>
    <tableColumn id="14" xr3:uid="{D0CFF4D1-4CA3-4446-A401-C279C31F0651}" name="min_room_size" totalsRowFunction="average"/>
    <tableColumn id="15" xr3:uid="{5DFEE5F7-AE5C-4A0C-8CC8-0E4730F3B07F}" name="room_tiles" totalsRowFunction="average"/>
    <tableColumn id="16" xr3:uid="{8463418B-CE59-49F2-8AF0-58DB8B691B50}" name="room_ratio" totalsRowFunction="average" dataCellStyle="Procent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954070-98D3-458D-9A69-EE0CBC1868A0}" name="AgCon_room7_corr7" displayName="AgCon_room7_corr7" ref="A1:P52" totalsRowCount="1">
  <autoFilter ref="A1:P51" xr:uid="{72954070-98D3-458D-9A69-EE0CBC1868A0}"/>
  <tableColumns count="16">
    <tableColumn id="1" xr3:uid="{EFCB5DAA-CE31-4638-94F9-70960008AB65}" name="algorithm" totalsRowLabel="Průměr" dataDxfId="39"/>
    <tableColumn id="2" xr3:uid="{C95670DD-047D-4F7A-9734-E550DF91D21F}" name="seed" dataDxfId="38"/>
    <tableColumn id="3" xr3:uid="{9ECA2069-3A28-4B11-99BB-572742A57B10}" name="floors" totalsRowFunction="average"/>
    <tableColumn id="4" xr3:uid="{04AAA5B5-27CA-4886-AB7C-2FD76E3D0D40}" name="walls" totalsRowFunction="average"/>
    <tableColumn id="5" xr3:uid="{76D31DAC-58B6-405E-B070-59F2D6BF64B1}" name="floor_percent" totalsRowFunction="average" dataCellStyle="Procenta"/>
    <tableColumn id="6" xr3:uid="{729AC951-2694-4AF5-B035-89D596160DB7}" name="wall_percent" totalsRowFunction="average" dataCellStyle="Procenta"/>
    <tableColumn id="7" xr3:uid="{F19EEF74-FB11-4339-8D87-9DF9F9BECACA}" name="longest_shortest_path" totalsRowFunction="average"/>
    <tableColumn id="8" xr3:uid="{0C3F7A41-1AAE-4411-9D66-8617C36E1112}" name="component_count" totalsRowFunction="average"/>
    <tableColumn id="9" xr3:uid="{1DD33F23-B337-47FF-B05A-80C283E97209}" name="max_component_size" totalsRowFunction="average"/>
    <tableColumn id="10" xr3:uid="{868342B8-B663-49F3-913D-767DC5CFFD43}" name="connectivity_ratio" totalsRowFunction="average" dataDxfId="13" totalsRowDxfId="12" dataCellStyle="Procenta" totalsRowCellStyle="Procenta"/>
    <tableColumn id="11" xr3:uid="{6959F8BC-D19A-4136-ACA5-47256E02F9EA}" name="room_count" totalsRowFunction="average"/>
    <tableColumn id="12" xr3:uid="{9FD04D9C-6749-4EDD-8F0C-78D809D2FEC0}" name="avg_room_size" totalsRowFunction="average" dataDxfId="37"/>
    <tableColumn id="13" xr3:uid="{7CFD30A2-183C-47C6-96AC-AB700AC09BF5}" name="max_room_size" totalsRowFunction="average"/>
    <tableColumn id="14" xr3:uid="{EBC7395C-5ECB-4491-B55A-642338815A6B}" name="min_room_size" totalsRowFunction="average"/>
    <tableColumn id="15" xr3:uid="{408308F2-161A-4063-8CEE-73BC091B933A}" name="room_tiles" totalsRowFunction="average"/>
    <tableColumn id="16" xr3:uid="{80935D2E-7F7E-4CAB-967F-4D3EDB0976DB}" name="room_ratio" totalsRowFunction="average" dataCellStyle="Procent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4766D8-1EC6-4357-A294-112A1D68B385}" name="AgCon_room7_corr4" displayName="AgCon_room7_corr4" ref="A1:P52" totalsRowCount="1">
  <autoFilter ref="A1:P51" xr:uid="{6E4766D8-1EC6-4357-A294-112A1D68B385}"/>
  <tableColumns count="16">
    <tableColumn id="1" xr3:uid="{3FC51C9C-B03E-4097-AE8F-19E1F42E24EC}" name="algorithm" totalsRowLabel="Průměr" dataDxfId="36"/>
    <tableColumn id="2" xr3:uid="{4C057EB2-FC34-43D1-AD9B-617E1864F839}" name="seed" dataDxfId="35"/>
    <tableColumn id="3" xr3:uid="{5E44B0C9-6B95-4154-A0B2-187DD473A7AD}" name="floors" totalsRowFunction="average"/>
    <tableColumn id="4" xr3:uid="{363F1D7D-FA0A-4433-AFC3-862D4A1712DB}" name="walls" totalsRowFunction="average"/>
    <tableColumn id="5" xr3:uid="{B0B69021-CAE8-4901-B27F-BF4EEB699883}" name="floor_percent" totalsRowFunction="average" dataCellStyle="Procenta"/>
    <tableColumn id="6" xr3:uid="{69EF22FD-2AF1-441B-9C66-0A69A7B599A2}" name="wall_percent" totalsRowFunction="average" dataCellStyle="Procenta"/>
    <tableColumn id="7" xr3:uid="{38077136-ABBE-4565-9540-1FD10CE7A63D}" name="longest_shortest_path" totalsRowFunction="average"/>
    <tableColumn id="8" xr3:uid="{59F4C287-78B3-4B47-AE38-C5D8F651F60B}" name="component_count" totalsRowFunction="average"/>
    <tableColumn id="9" xr3:uid="{2FD934DE-2D71-4D7A-8ACE-0EF1DB432A99}" name="max_component_size" totalsRowFunction="average"/>
    <tableColumn id="10" xr3:uid="{1215C458-31B8-4D2D-8E65-9C4B2A372C69}" name="connectivity_ratio" totalsRowFunction="average" dataDxfId="11" totalsRowDxfId="10" dataCellStyle="Procenta" totalsRowCellStyle="Procenta"/>
    <tableColumn id="11" xr3:uid="{7DD24EF1-12D4-4667-AB3A-E4127024B96C}" name="room_count" totalsRowFunction="average"/>
    <tableColumn id="12" xr3:uid="{28CE8626-DCBB-4FBB-90B8-12DA4ECEE4FE}" name="avg_room_size" totalsRowFunction="average" dataDxfId="34"/>
    <tableColumn id="13" xr3:uid="{FEE97823-7058-46C6-B986-0ACDAB08E391}" name="max_room_size" totalsRowFunction="average"/>
    <tableColumn id="14" xr3:uid="{D31D299D-BF2D-45EA-A51C-2C09FB68D15A}" name="min_room_size" totalsRowFunction="average"/>
    <tableColumn id="15" xr3:uid="{9C06C4C9-F9E2-46F8-A022-7874D2C99489}" name="room_tiles" totalsRowFunction="average"/>
    <tableColumn id="16" xr3:uid="{B79C80D1-D229-45C8-86C5-5068B634316C}" name="room_ratio" totalsRowFunction="average" dataCellStyle="Procenta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ACB46-9169-4418-A939-D1703DB22083}" name="AgCon_room4_corr7" displayName="AgCon_room4_corr7" ref="A1:P52" totalsRowCount="1">
  <autoFilter ref="A1:P51" xr:uid="{0CFACB46-9169-4418-A939-D1703DB22083}"/>
  <tableColumns count="16">
    <tableColumn id="1" xr3:uid="{1FA7B74E-88D1-4BC5-BF43-FB4FD33513EB}" name="algorithm" totalsRowLabel="Průměr" dataDxfId="33"/>
    <tableColumn id="2" xr3:uid="{4DBA1C73-8632-413D-86D5-059910381DD5}" name="seed" dataDxfId="32"/>
    <tableColumn id="3" xr3:uid="{4F864991-8634-4F3C-A433-2E811FD339CD}" name="floors" totalsRowFunction="average"/>
    <tableColumn id="4" xr3:uid="{9681F41D-8BB4-41F2-A8F2-7E47167E0E54}" name="walls" totalsRowFunction="average"/>
    <tableColumn id="5" xr3:uid="{84D5A107-AFC5-4857-A3AE-4878A5EC10D6}" name="floor_percent" totalsRowFunction="average" dataCellStyle="Procenta"/>
    <tableColumn id="6" xr3:uid="{1F7298FC-A5C9-4D06-A13B-9C77AE0BAC22}" name="wall_percent" totalsRowFunction="average" dataCellStyle="Procenta"/>
    <tableColumn id="7" xr3:uid="{C6071195-D3CE-4218-821F-F355D5CBF0B4}" name="longest_shortest_path" totalsRowFunction="average"/>
    <tableColumn id="8" xr3:uid="{25C9674A-05FA-49D1-A6DA-4C51B8B3B2BD}" name="component_count" totalsRowFunction="average"/>
    <tableColumn id="9" xr3:uid="{6B985B71-7B46-4AD2-9AA4-1D5027595478}" name="max_component_size" totalsRowFunction="average"/>
    <tableColumn id="10" xr3:uid="{914194E6-D9FF-4348-8B2A-B3C9261BF25A}" name="connectivity_ratio" totalsRowFunction="average" dataDxfId="9" totalsRowDxfId="8" dataCellStyle="Procenta" totalsRowCellStyle="Procenta"/>
    <tableColumn id="11" xr3:uid="{7CAA80CF-8501-48A5-A428-A9F9B2FC74E5}" name="room_count" totalsRowFunction="average"/>
    <tableColumn id="12" xr3:uid="{30448335-7061-49EE-8A41-C3770F4A1B6A}" name="avg_room_size" totalsRowFunction="average" dataDxfId="31"/>
    <tableColumn id="13" xr3:uid="{7C6FF7FF-7167-4C25-9AAC-0913A2E61BAA}" name="max_room_size" totalsRowFunction="average"/>
    <tableColumn id="14" xr3:uid="{903C63B2-966F-47B2-8498-9817B3AB3E31}" name="min_room_size" totalsRowFunction="average"/>
    <tableColumn id="15" xr3:uid="{3731F10C-3F1B-4A79-919E-6473015BB6FD}" name="room_tiles" totalsRowFunction="average"/>
    <tableColumn id="16" xr3:uid="{F74C8204-A5D1-4FB2-8368-13E2A17CEC47}" name="room_ratio" totalsRowFunction="average" dataCellStyle="Procenta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E9C81B-34BB-4C9A-8AC8-ED2A8822C462}" name="AgCon_room10_corr10" displayName="AgCon_room10_corr10" ref="A1:P52" totalsRowCount="1">
  <autoFilter ref="A1:P51" xr:uid="{B9E9C81B-34BB-4C9A-8AC8-ED2A8822C462}"/>
  <tableColumns count="16">
    <tableColumn id="1" xr3:uid="{76879C10-19E3-44F8-8167-B1DDEA8C4DDF}" name="algorithm" totalsRowLabel="Průměr" dataDxfId="30"/>
    <tableColumn id="2" xr3:uid="{DCB332E1-1E91-402D-9751-2403791047CC}" name="seed" dataDxfId="29" totalsRowDxfId="28"/>
    <tableColumn id="3" xr3:uid="{924E8E6E-D8CA-41E9-95CC-7440BEA2A5DE}" name="floors" totalsRowFunction="average"/>
    <tableColumn id="4" xr3:uid="{121A3C7F-49B6-4825-8C64-656A1FE7F0B8}" name="walls" totalsRowFunction="average"/>
    <tableColumn id="5" xr3:uid="{267C819C-CE99-4DC3-A6C6-1A2AF5072AC5}" name="floor_percent" totalsRowFunction="average" dataCellStyle="Procenta"/>
    <tableColumn id="6" xr3:uid="{4833B112-F121-410A-8AAE-D9AD63D76F40}" name="wall_percent" totalsRowFunction="average" dataCellStyle="Procenta"/>
    <tableColumn id="7" xr3:uid="{BC771591-AC35-4CD2-B03C-B9056DCC5F37}" name="longest_shortest_path" totalsRowFunction="average"/>
    <tableColumn id="8" xr3:uid="{16040CB0-2FBC-414B-846B-1FC3CC6EBEF0}" name="component_count" totalsRowFunction="average"/>
    <tableColumn id="9" xr3:uid="{0D746D3F-A141-43A9-BE6A-76A6F7D1FD8B}" name="max_component_size" totalsRowFunction="average"/>
    <tableColumn id="10" xr3:uid="{57A825EE-80C8-404F-A51B-97F391820EB2}" name="connectivity_ratio" totalsRowFunction="average" dataDxfId="7" totalsRowDxfId="6" dataCellStyle="Procenta" totalsRowCellStyle="Procenta"/>
    <tableColumn id="11" xr3:uid="{A3B48932-BD89-4FD1-AD9F-37C30E7BEC19}" name="room_count" totalsRowFunction="average"/>
    <tableColumn id="12" xr3:uid="{DC6FDB15-C7B2-46A5-8ACF-C759416AF6BB}" name="avg_room_size" totalsRowFunction="average" dataDxfId="27"/>
    <tableColumn id="13" xr3:uid="{A482ED73-9E9B-4461-8A50-23411F1AABB2}" name="max_room_size" totalsRowFunction="average"/>
    <tableColumn id="14" xr3:uid="{DB035117-33F2-492F-83F9-CF6D24D361E0}" name="min_room_size" totalsRowFunction="average"/>
    <tableColumn id="15" xr3:uid="{4E2B6559-6210-4E91-BE17-5F94D31CAFC5}" name="room_tiles" totalsRowFunction="average"/>
    <tableColumn id="16" xr3:uid="{4054D2ED-7CA8-44F3-A40C-FE4DD68CA778}" name="room_ratio" totalsRowFunction="average" dataCellStyle="Procenta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A898B-DDDE-403F-8C9D-13502A3ABD4E}" name="AgCon_room10_corr4" displayName="AgCon_room10_corr4" ref="A1:P52" totalsRowCount="1">
  <autoFilter ref="A1:P51" xr:uid="{000A898B-DDDE-403F-8C9D-13502A3ABD4E}"/>
  <tableColumns count="16">
    <tableColumn id="1" xr3:uid="{F11297CB-4C38-4B09-A4EB-AD267EE7A591}" name="algorithm" totalsRowLabel="Průměr" dataDxfId="26"/>
    <tableColumn id="2" xr3:uid="{49068F33-E4FF-45F2-9879-BBC6DE9467A7}" name="seed" dataDxfId="25"/>
    <tableColumn id="3" xr3:uid="{7CF2265D-8A16-4F3B-9251-CACC0977202C}" name="floors" totalsRowFunction="average"/>
    <tableColumn id="4" xr3:uid="{CA05A6CB-2822-46DE-98F5-24C417C71F70}" name="walls" totalsRowFunction="average"/>
    <tableColumn id="5" xr3:uid="{0B96427E-D20E-4492-96A5-80A9FE26683D}" name="floor_percent" totalsRowFunction="average" dataCellStyle="Procenta"/>
    <tableColumn id="6" xr3:uid="{3083777D-4DB8-4F3B-B5AA-50BFC86B0DC1}" name="wall_percent" totalsRowFunction="average" dataCellStyle="Procenta"/>
    <tableColumn id="7" xr3:uid="{28876438-4733-44B5-B7D7-D52D326AE042}" name="longest_shortest_path" totalsRowFunction="average"/>
    <tableColumn id="8" xr3:uid="{93F12244-D26B-4D2A-B96E-602B5353D936}" name="component_count" totalsRowFunction="average"/>
    <tableColumn id="9" xr3:uid="{19103DB0-1FB5-4084-A6B0-74EB3C5FDD96}" name="max_component_size" totalsRowFunction="average"/>
    <tableColumn id="10" xr3:uid="{8B944EF8-5394-4ED3-A50D-DCA5E1B994B5}" name="connectivity_ratio" totalsRowFunction="average" dataDxfId="5" totalsRowDxfId="4" dataCellStyle="Procenta" totalsRowCellStyle="Procenta"/>
    <tableColumn id="11" xr3:uid="{0AB4C1D1-D384-4346-B605-03ABFDEC7AFA}" name="room_count" totalsRowFunction="average"/>
    <tableColumn id="12" xr3:uid="{482F5787-563B-4CC9-8C64-C10EB28BDDA2}" name="avg_room_size" totalsRowFunction="average" dataDxfId="24"/>
    <tableColumn id="13" xr3:uid="{78F6D428-24B6-4392-AACC-FC2509C4211A}" name="max_room_size" totalsRowFunction="average"/>
    <tableColumn id="14" xr3:uid="{335620A0-E30E-4C16-88B0-57B0ACD45302}" name="min_room_size" totalsRowFunction="average"/>
    <tableColumn id="15" xr3:uid="{F90C5727-B44A-4B38-8762-39C2B6EA6723}" name="room_tiles" totalsRowFunction="average"/>
    <tableColumn id="16" xr3:uid="{0D3A653F-5A07-4E03-B816-0021B325DCFA}" name="room_ratio" totalsRowFunction="average" dataCellStyle="Procenta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E74B38-46A8-46B5-BB62-458C619A1867}" name="AgCon_room4_corr10" displayName="AgCon_room4_corr10" ref="A1:P52" totalsRowCount="1">
  <autoFilter ref="A1:P51" xr:uid="{78E74B38-46A8-46B5-BB62-458C619A1867}"/>
  <tableColumns count="16">
    <tableColumn id="1" xr3:uid="{8AE95E83-36C1-4C6D-B880-B895F0405E30}" name="algorithm" totalsRowLabel="Průměr" dataDxfId="23"/>
    <tableColumn id="2" xr3:uid="{0ED15CDF-7F6B-46E7-884E-B05BACD4E3A2}" name="seed" dataDxfId="22"/>
    <tableColumn id="3" xr3:uid="{2CA4B516-5C9B-429C-BDAB-56E8E21DF932}" name="floors" totalsRowFunction="average"/>
    <tableColumn id="4" xr3:uid="{474C4FAD-A316-4DFB-81CA-8BB9FF5F9033}" name="walls" totalsRowFunction="average"/>
    <tableColumn id="5" xr3:uid="{A1E87B83-CD62-4553-ACB2-87841912117E}" name="floor_percent" totalsRowFunction="average" dataCellStyle="Procenta"/>
    <tableColumn id="6" xr3:uid="{CDB7CDB9-AE5A-4776-B592-F5D59B94D09C}" name="wall_percent" totalsRowFunction="average" dataCellStyle="Procenta"/>
    <tableColumn id="7" xr3:uid="{D212B0E3-55C7-4B38-8EA1-15984DFE3492}" name="longest_shortest_path" totalsRowFunction="average"/>
    <tableColumn id="8" xr3:uid="{8945A4E9-5420-4325-B949-DA061613A9DE}" name="component_count" totalsRowFunction="average"/>
    <tableColumn id="9" xr3:uid="{C8BFB290-70C9-4FA7-A70E-4C48C90A1E01}" name="max_component_size" totalsRowFunction="average"/>
    <tableColumn id="10" xr3:uid="{2A331AD6-E266-42C5-BBD1-B3B467389C44}" name="connectivity_ratio" totalsRowFunction="average" dataDxfId="3" totalsRowDxfId="2" dataCellStyle="Procenta" totalsRowCellStyle="Procenta"/>
    <tableColumn id="11" xr3:uid="{4B5F82E3-FE37-440F-BFC4-11FBE8196A07}" name="room_count" totalsRowFunction="average"/>
    <tableColumn id="12" xr3:uid="{D599144B-C66B-4408-A3EA-0195B655051C}" name="avg_room_size" totalsRowFunction="average" dataDxfId="21"/>
    <tableColumn id="13" xr3:uid="{D81FD834-DB8C-425C-BDB8-0DE615DE1C24}" name="max_room_size" totalsRowFunction="average"/>
    <tableColumn id="14" xr3:uid="{7C2287A1-6E4E-4C4A-8A71-9792D7655D34}" name="min_room_size" totalsRowFunction="average"/>
    <tableColumn id="15" xr3:uid="{6A599D50-08E7-4DB0-A4D1-6B7A64348A9C}" name="room_tiles" totalsRowFunction="average"/>
    <tableColumn id="16" xr3:uid="{1F8B86CB-C885-47A8-8AC0-6ED3496D82AB}" name="room_ratio" totalsRowFunction="average" dataCellStyle="Procenta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A6243B-2008-4B49-A5CC-C375D767AECF}" name="AgCon_room4_corr4" displayName="AgCon_room4_corr4" ref="A1:P52" totalsRowCount="1">
  <autoFilter ref="A1:P51" xr:uid="{74A6243B-2008-4B49-A5CC-C375D767AECF}"/>
  <tableColumns count="16">
    <tableColumn id="1" xr3:uid="{07E42588-A8A1-4311-B10F-AF2707CE79F2}" name="algorithm" totalsRowLabel="Průměr" dataDxfId="20"/>
    <tableColumn id="2" xr3:uid="{5942D901-D107-4C9E-938B-43151EF18FF2}" name="seed" dataDxfId="19"/>
    <tableColumn id="3" xr3:uid="{BD9D5FA7-4C35-49A4-9F40-7C248D99705C}" name="floors" totalsRowFunction="average"/>
    <tableColumn id="4" xr3:uid="{2C03DB6E-86A4-425E-9573-53B33FD9C578}" name="walls" totalsRowFunction="average"/>
    <tableColumn id="5" xr3:uid="{9600FF98-A897-40C1-B38B-7041B555A26D}" name="floor_percent" totalsRowFunction="average" dataCellStyle="Procenta"/>
    <tableColumn id="6" xr3:uid="{FAFB3EFD-ED54-42D8-9197-3FFA5E48EE8A}" name="wall_percent" totalsRowFunction="average" dataCellStyle="Procenta"/>
    <tableColumn id="7" xr3:uid="{4BFD0873-6581-4A1A-A8C2-FE105FE99AF7}" name="longest_shortest_path" totalsRowFunction="average"/>
    <tableColumn id="8" xr3:uid="{21A78955-4421-4447-9FF9-07BDEA9AF642}" name="component_count" totalsRowFunction="average"/>
    <tableColumn id="9" xr3:uid="{4B37F2BA-6443-4A8C-9E24-5ACD5750E691}" name="max_component_size" totalsRowFunction="average"/>
    <tableColumn id="10" xr3:uid="{0AFB9013-D233-4FFD-9427-1DB5B2FFEC25}" name="connectivity_ratio" totalsRowFunction="average" dataDxfId="1" totalsRowDxfId="0" dataCellStyle="Procenta" totalsRowCellStyle="Procenta"/>
    <tableColumn id="11" xr3:uid="{1025C4B9-FCA9-47A6-9C3B-01DC0C1382E0}" name="room_count" totalsRowFunction="average"/>
    <tableColumn id="12" xr3:uid="{88AFCF07-E608-44D6-8AF9-2471BA7E3CC5}" name="avg_room_size" totalsRowFunction="average" dataDxfId="18"/>
    <tableColumn id="13" xr3:uid="{B9BE31DA-0D8F-48AD-8A4E-3B9A11980AA0}" name="max_room_size" totalsRowFunction="average"/>
    <tableColumn id="14" xr3:uid="{453F34B0-0BBD-4CCF-962E-98646E65210B}" name="min_room_size" totalsRowFunction="average"/>
    <tableColumn id="15" xr3:uid="{7D72C699-93BA-445C-8B42-339AAC51AE8D}" name="room_tiles" totalsRowFunction="average"/>
    <tableColumn id="16" xr3:uid="{17B35B35-65E0-4BE8-8719-A0D30479AAA4}" name="room_ratio" totalsRowFunction="average" dataCellStyle="Procent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82D5-3FA2-4877-8F4C-9AF102198275}">
  <dimension ref="A1:P53"/>
  <sheetViews>
    <sheetView workbookViewId="0">
      <selection activeCell="J1" sqref="J1:J1048576"/>
    </sheetView>
  </sheetViews>
  <sheetFormatPr defaultRowHeight="15" x14ac:dyDescent="0.25"/>
  <cols>
    <col min="1" max="1" width="32.28515625" bestFit="1" customWidth="1"/>
    <col min="2" max="2" width="11" style="16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6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6">
        <v>180134739</v>
      </c>
      <c r="C2">
        <v>602</v>
      </c>
      <c r="D2">
        <v>1898</v>
      </c>
      <c r="E2" s="1">
        <v>0.24079999999999999</v>
      </c>
      <c r="F2" s="1">
        <v>0.75919999999999999</v>
      </c>
      <c r="G2">
        <v>89</v>
      </c>
      <c r="H2">
        <v>1</v>
      </c>
      <c r="I2">
        <v>602</v>
      </c>
      <c r="J2" s="20">
        <v>1</v>
      </c>
      <c r="K2">
        <v>8</v>
      </c>
      <c r="L2">
        <v>68.5</v>
      </c>
      <c r="M2">
        <v>96</v>
      </c>
      <c r="N2">
        <v>41</v>
      </c>
      <c r="O2">
        <v>548</v>
      </c>
      <c r="P2" s="1">
        <v>0.91029899999999997</v>
      </c>
    </row>
    <row r="3" spans="1:16" x14ac:dyDescent="0.25">
      <c r="A3" t="s">
        <v>16</v>
      </c>
      <c r="B3" s="16">
        <v>1161925196</v>
      </c>
      <c r="C3">
        <v>1286</v>
      </c>
      <c r="D3">
        <v>1214</v>
      </c>
      <c r="E3" s="1">
        <v>0.51439999999999997</v>
      </c>
      <c r="F3" s="1">
        <v>0.48559999999999998</v>
      </c>
      <c r="G3">
        <v>125</v>
      </c>
      <c r="H3">
        <v>1</v>
      </c>
      <c r="I3">
        <v>1286</v>
      </c>
      <c r="J3" s="20">
        <v>1</v>
      </c>
      <c r="K3">
        <v>16</v>
      </c>
      <c r="L3">
        <v>73.875</v>
      </c>
      <c r="M3">
        <v>96</v>
      </c>
      <c r="N3">
        <v>32</v>
      </c>
      <c r="O3">
        <v>1182</v>
      </c>
      <c r="P3" s="1">
        <v>0.91912899999999997</v>
      </c>
    </row>
    <row r="4" spans="1:16" x14ac:dyDescent="0.25">
      <c r="A4" t="s">
        <v>16</v>
      </c>
      <c r="B4" s="16">
        <v>135086404</v>
      </c>
      <c r="C4">
        <v>1144</v>
      </c>
      <c r="D4">
        <v>1356</v>
      </c>
      <c r="E4" s="1">
        <v>0.45760000000000001</v>
      </c>
      <c r="F4" s="1">
        <v>0.54239999999999999</v>
      </c>
      <c r="G4">
        <v>116</v>
      </c>
      <c r="H4">
        <v>1</v>
      </c>
      <c r="I4">
        <v>1144</v>
      </c>
      <c r="J4" s="20">
        <v>1</v>
      </c>
      <c r="K4">
        <v>13</v>
      </c>
      <c r="L4">
        <v>81.384614999999997</v>
      </c>
      <c r="M4">
        <v>96</v>
      </c>
      <c r="N4">
        <v>46</v>
      </c>
      <c r="O4">
        <v>1058</v>
      </c>
      <c r="P4" s="1">
        <v>0.92482500000000001</v>
      </c>
    </row>
    <row r="5" spans="1:16" x14ac:dyDescent="0.25">
      <c r="A5" t="s">
        <v>16</v>
      </c>
      <c r="B5" s="16">
        <v>63266379</v>
      </c>
      <c r="C5">
        <v>211</v>
      </c>
      <c r="D5">
        <v>2289</v>
      </c>
      <c r="E5" s="1">
        <v>8.4400000000000003E-2</v>
      </c>
      <c r="F5" s="1">
        <v>0.91559999999999997</v>
      </c>
      <c r="G5">
        <v>30</v>
      </c>
      <c r="H5">
        <v>1</v>
      </c>
      <c r="I5">
        <v>211</v>
      </c>
      <c r="J5" s="20">
        <v>1</v>
      </c>
      <c r="K5">
        <v>2</v>
      </c>
      <c r="L5">
        <v>96</v>
      </c>
      <c r="M5">
        <v>96</v>
      </c>
      <c r="N5">
        <v>96</v>
      </c>
      <c r="O5">
        <v>192</v>
      </c>
      <c r="P5" s="1">
        <v>0.90995300000000001</v>
      </c>
    </row>
    <row r="6" spans="1:16" x14ac:dyDescent="0.25">
      <c r="A6" t="s">
        <v>16</v>
      </c>
      <c r="B6" s="16">
        <v>1147249565</v>
      </c>
      <c r="C6">
        <v>697</v>
      </c>
      <c r="D6">
        <v>1803</v>
      </c>
      <c r="E6" s="1">
        <v>0.27879999999999999</v>
      </c>
      <c r="F6" s="1">
        <v>0.72119999999999995</v>
      </c>
      <c r="G6">
        <v>88</v>
      </c>
      <c r="H6">
        <v>1</v>
      </c>
      <c r="I6">
        <v>697</v>
      </c>
      <c r="J6" s="20">
        <v>1</v>
      </c>
      <c r="K6">
        <v>8</v>
      </c>
      <c r="L6">
        <v>79</v>
      </c>
      <c r="M6">
        <v>96</v>
      </c>
      <c r="N6">
        <v>46</v>
      </c>
      <c r="O6">
        <v>632</v>
      </c>
      <c r="P6" s="1">
        <v>0.90674299999999997</v>
      </c>
    </row>
    <row r="7" spans="1:16" x14ac:dyDescent="0.25">
      <c r="A7" t="s">
        <v>16</v>
      </c>
      <c r="B7" s="16">
        <v>215391801</v>
      </c>
      <c r="C7">
        <v>420</v>
      </c>
      <c r="D7">
        <v>2080</v>
      </c>
      <c r="E7" s="1">
        <v>0.16800000000000001</v>
      </c>
      <c r="F7" s="1">
        <v>0.83199999999999996</v>
      </c>
      <c r="G7">
        <v>53</v>
      </c>
      <c r="H7">
        <v>1</v>
      </c>
      <c r="I7">
        <v>420</v>
      </c>
      <c r="J7" s="20">
        <v>1</v>
      </c>
      <c r="K7">
        <v>4</v>
      </c>
      <c r="L7">
        <v>96</v>
      </c>
      <c r="M7">
        <v>96</v>
      </c>
      <c r="N7">
        <v>96</v>
      </c>
      <c r="O7">
        <v>384</v>
      </c>
      <c r="P7" s="1">
        <v>0.91428600000000004</v>
      </c>
    </row>
    <row r="8" spans="1:16" x14ac:dyDescent="0.25">
      <c r="A8" t="s">
        <v>16</v>
      </c>
      <c r="B8" s="16">
        <v>987453561</v>
      </c>
      <c r="C8">
        <v>949</v>
      </c>
      <c r="D8">
        <v>1551</v>
      </c>
      <c r="E8" s="1">
        <v>0.37959999999999999</v>
      </c>
      <c r="F8" s="1">
        <v>0.62039999999999995</v>
      </c>
      <c r="G8">
        <v>88</v>
      </c>
      <c r="H8">
        <v>1</v>
      </c>
      <c r="I8">
        <v>949</v>
      </c>
      <c r="J8" s="20">
        <v>1</v>
      </c>
      <c r="K8">
        <v>10</v>
      </c>
      <c r="L8">
        <v>89</v>
      </c>
      <c r="M8">
        <v>96</v>
      </c>
      <c r="N8">
        <v>56</v>
      </c>
      <c r="O8">
        <v>890</v>
      </c>
      <c r="P8" s="1">
        <v>0.93782900000000002</v>
      </c>
    </row>
    <row r="9" spans="1:16" x14ac:dyDescent="0.25">
      <c r="A9" t="s">
        <v>16</v>
      </c>
      <c r="B9" s="16">
        <v>1070311767</v>
      </c>
      <c r="C9">
        <v>330</v>
      </c>
      <c r="D9">
        <v>2170</v>
      </c>
      <c r="E9" s="1">
        <v>0.13200000000000001</v>
      </c>
      <c r="F9" s="1">
        <v>0.86799999999999999</v>
      </c>
      <c r="G9">
        <v>77</v>
      </c>
      <c r="H9">
        <v>1</v>
      </c>
      <c r="I9">
        <v>330</v>
      </c>
      <c r="J9" s="20">
        <v>1</v>
      </c>
      <c r="K9">
        <v>4</v>
      </c>
      <c r="L9">
        <v>66</v>
      </c>
      <c r="M9">
        <v>96</v>
      </c>
      <c r="N9">
        <v>45</v>
      </c>
      <c r="O9">
        <v>264</v>
      </c>
      <c r="P9" s="1">
        <v>0.8</v>
      </c>
    </row>
    <row r="10" spans="1:16" x14ac:dyDescent="0.25">
      <c r="A10" t="s">
        <v>16</v>
      </c>
      <c r="B10" s="16">
        <v>1012396376</v>
      </c>
      <c r="C10">
        <v>1148</v>
      </c>
      <c r="D10">
        <v>1352</v>
      </c>
      <c r="E10" s="1">
        <v>0.4592</v>
      </c>
      <c r="F10" s="1">
        <v>0.54079999999999995</v>
      </c>
      <c r="G10">
        <v>128</v>
      </c>
      <c r="H10">
        <v>1</v>
      </c>
      <c r="I10">
        <v>1148</v>
      </c>
      <c r="J10" s="20">
        <v>1</v>
      </c>
      <c r="K10">
        <v>13</v>
      </c>
      <c r="L10">
        <v>80.153846000000001</v>
      </c>
      <c r="M10">
        <v>96</v>
      </c>
      <c r="N10">
        <v>50</v>
      </c>
      <c r="O10">
        <v>1042</v>
      </c>
      <c r="P10" s="1">
        <v>0.90766599999999997</v>
      </c>
    </row>
    <row r="11" spans="1:16" x14ac:dyDescent="0.25">
      <c r="A11" t="s">
        <v>16</v>
      </c>
      <c r="B11" s="16">
        <v>276497227</v>
      </c>
      <c r="C11">
        <v>698</v>
      </c>
      <c r="D11">
        <v>1802</v>
      </c>
      <c r="E11" s="1">
        <v>0.2792</v>
      </c>
      <c r="F11" s="1">
        <v>0.7208</v>
      </c>
      <c r="G11">
        <v>96</v>
      </c>
      <c r="H11">
        <v>1</v>
      </c>
      <c r="I11">
        <v>698</v>
      </c>
      <c r="J11" s="20">
        <v>1</v>
      </c>
      <c r="K11">
        <v>11</v>
      </c>
      <c r="L11">
        <v>56</v>
      </c>
      <c r="M11">
        <v>96</v>
      </c>
      <c r="N11">
        <v>26</v>
      </c>
      <c r="O11">
        <v>616</v>
      </c>
      <c r="P11" s="1">
        <v>0.882521</v>
      </c>
    </row>
    <row r="12" spans="1:16" x14ac:dyDescent="0.25">
      <c r="A12" t="s">
        <v>16</v>
      </c>
      <c r="B12" s="16">
        <v>1509968475</v>
      </c>
      <c r="C12">
        <v>1092</v>
      </c>
      <c r="D12">
        <v>1408</v>
      </c>
      <c r="E12" s="1">
        <v>0.43680000000000002</v>
      </c>
      <c r="F12" s="1">
        <v>0.56320000000000003</v>
      </c>
      <c r="G12">
        <v>115</v>
      </c>
      <c r="H12">
        <v>1</v>
      </c>
      <c r="I12">
        <v>1092</v>
      </c>
      <c r="J12" s="20">
        <v>1</v>
      </c>
      <c r="K12">
        <v>12</v>
      </c>
      <c r="L12">
        <v>82</v>
      </c>
      <c r="M12">
        <v>97</v>
      </c>
      <c r="N12">
        <v>36</v>
      </c>
      <c r="O12">
        <v>984</v>
      </c>
      <c r="P12" s="1">
        <v>0.90109899999999998</v>
      </c>
    </row>
    <row r="13" spans="1:16" x14ac:dyDescent="0.25">
      <c r="A13" t="s">
        <v>16</v>
      </c>
      <c r="B13" s="16">
        <v>1825648177</v>
      </c>
      <c r="C13">
        <v>386</v>
      </c>
      <c r="D13">
        <v>2114</v>
      </c>
      <c r="E13" s="1">
        <v>0.15440000000000001</v>
      </c>
      <c r="F13" s="1">
        <v>0.84560000000000002</v>
      </c>
      <c r="G13">
        <v>63</v>
      </c>
      <c r="H13">
        <v>1</v>
      </c>
      <c r="I13">
        <v>386</v>
      </c>
      <c r="J13" s="20">
        <v>1</v>
      </c>
      <c r="K13">
        <v>4</v>
      </c>
      <c r="L13">
        <v>83.5</v>
      </c>
      <c r="M13">
        <v>96</v>
      </c>
      <c r="N13">
        <v>46</v>
      </c>
      <c r="O13">
        <v>334</v>
      </c>
      <c r="P13" s="1">
        <v>0.86528499999999997</v>
      </c>
    </row>
    <row r="14" spans="1:16" x14ac:dyDescent="0.25">
      <c r="A14" t="s">
        <v>16</v>
      </c>
      <c r="B14" s="16">
        <v>135350424</v>
      </c>
      <c r="C14">
        <v>366</v>
      </c>
      <c r="D14">
        <v>2134</v>
      </c>
      <c r="E14" s="1">
        <v>0.1464</v>
      </c>
      <c r="F14" s="1">
        <v>0.85360000000000003</v>
      </c>
      <c r="G14">
        <v>57</v>
      </c>
      <c r="H14">
        <v>1</v>
      </c>
      <c r="I14">
        <v>366</v>
      </c>
      <c r="J14" s="20">
        <v>1</v>
      </c>
      <c r="K14">
        <v>4</v>
      </c>
      <c r="L14">
        <v>81</v>
      </c>
      <c r="M14">
        <v>96</v>
      </c>
      <c r="N14">
        <v>46</v>
      </c>
      <c r="O14">
        <v>324</v>
      </c>
      <c r="P14" s="1">
        <v>0.88524599999999998</v>
      </c>
    </row>
    <row r="15" spans="1:16" x14ac:dyDescent="0.25">
      <c r="A15" t="s">
        <v>16</v>
      </c>
      <c r="B15" s="16">
        <v>654994966</v>
      </c>
      <c r="C15">
        <v>1210</v>
      </c>
      <c r="D15">
        <v>1290</v>
      </c>
      <c r="E15" s="1">
        <v>0.48399999999999999</v>
      </c>
      <c r="F15" s="1">
        <v>0.51600000000000001</v>
      </c>
      <c r="G15">
        <v>116</v>
      </c>
      <c r="H15">
        <v>1</v>
      </c>
      <c r="I15">
        <v>1210</v>
      </c>
      <c r="J15" s="20">
        <v>1</v>
      </c>
      <c r="K15">
        <v>13</v>
      </c>
      <c r="L15">
        <v>85.769231000000005</v>
      </c>
      <c r="M15">
        <v>101</v>
      </c>
      <c r="N15">
        <v>56</v>
      </c>
      <c r="O15">
        <v>1115</v>
      </c>
      <c r="P15" s="1">
        <v>0.92148799999999997</v>
      </c>
    </row>
    <row r="16" spans="1:16" x14ac:dyDescent="0.25">
      <c r="A16" t="s">
        <v>16</v>
      </c>
      <c r="B16" s="16">
        <v>2132235620</v>
      </c>
      <c r="C16">
        <v>645</v>
      </c>
      <c r="D16">
        <v>1855</v>
      </c>
      <c r="E16" s="1">
        <v>0.25800000000000001</v>
      </c>
      <c r="F16" s="1">
        <v>0.74199999999999999</v>
      </c>
      <c r="G16">
        <v>66</v>
      </c>
      <c r="H16">
        <v>1</v>
      </c>
      <c r="I16">
        <v>645</v>
      </c>
      <c r="J16" s="20">
        <v>1</v>
      </c>
      <c r="K16">
        <v>7</v>
      </c>
      <c r="L16">
        <v>83.142857000000006</v>
      </c>
      <c r="M16">
        <v>96</v>
      </c>
      <c r="N16">
        <v>36</v>
      </c>
      <c r="O16">
        <v>582</v>
      </c>
      <c r="P16" s="1">
        <v>0.90232599999999996</v>
      </c>
    </row>
    <row r="17" spans="1:16" x14ac:dyDescent="0.25">
      <c r="A17" t="s">
        <v>16</v>
      </c>
      <c r="B17" s="16">
        <v>552723108</v>
      </c>
      <c r="C17">
        <v>1212</v>
      </c>
      <c r="D17">
        <v>1288</v>
      </c>
      <c r="E17" s="1">
        <v>0.48480000000000001</v>
      </c>
      <c r="F17" s="1">
        <v>0.51519999999999999</v>
      </c>
      <c r="G17">
        <v>111</v>
      </c>
      <c r="H17">
        <v>1</v>
      </c>
      <c r="I17">
        <v>1212</v>
      </c>
      <c r="J17" s="20">
        <v>1</v>
      </c>
      <c r="K17">
        <v>15</v>
      </c>
      <c r="L17">
        <v>74.533332999999999</v>
      </c>
      <c r="M17">
        <v>96</v>
      </c>
      <c r="N17">
        <v>28</v>
      </c>
      <c r="O17">
        <v>1118</v>
      </c>
      <c r="P17" s="1">
        <v>0.92244199999999998</v>
      </c>
    </row>
    <row r="18" spans="1:16" x14ac:dyDescent="0.25">
      <c r="A18" t="s">
        <v>16</v>
      </c>
      <c r="B18" s="16">
        <v>1718053004</v>
      </c>
      <c r="C18">
        <v>434</v>
      </c>
      <c r="D18">
        <v>2066</v>
      </c>
      <c r="E18" s="1">
        <v>0.1736</v>
      </c>
      <c r="F18" s="1">
        <v>0.82640000000000002</v>
      </c>
      <c r="G18">
        <v>52</v>
      </c>
      <c r="H18">
        <v>1</v>
      </c>
      <c r="I18">
        <v>434</v>
      </c>
      <c r="J18" s="20">
        <v>1</v>
      </c>
      <c r="K18">
        <v>5</v>
      </c>
      <c r="L18">
        <v>80</v>
      </c>
      <c r="M18">
        <v>96</v>
      </c>
      <c r="N18">
        <v>46</v>
      </c>
      <c r="O18">
        <v>400</v>
      </c>
      <c r="P18" s="1">
        <v>0.92165900000000001</v>
      </c>
    </row>
    <row r="19" spans="1:16" x14ac:dyDescent="0.25">
      <c r="A19" t="s">
        <v>16</v>
      </c>
      <c r="B19" s="16">
        <v>119463313</v>
      </c>
      <c r="C19">
        <v>826</v>
      </c>
      <c r="D19">
        <v>1674</v>
      </c>
      <c r="E19" s="1">
        <v>0.33040000000000003</v>
      </c>
      <c r="F19" s="1">
        <v>0.66959999999999997</v>
      </c>
      <c r="G19">
        <v>70</v>
      </c>
      <c r="H19">
        <v>1</v>
      </c>
      <c r="I19">
        <v>826</v>
      </c>
      <c r="J19" s="20">
        <v>1</v>
      </c>
      <c r="K19">
        <v>10</v>
      </c>
      <c r="L19">
        <v>76.2</v>
      </c>
      <c r="M19">
        <v>96</v>
      </c>
      <c r="N19">
        <v>28</v>
      </c>
      <c r="O19">
        <v>762</v>
      </c>
      <c r="P19" s="1">
        <v>0.92251799999999995</v>
      </c>
    </row>
    <row r="20" spans="1:16" x14ac:dyDescent="0.25">
      <c r="A20" t="s">
        <v>16</v>
      </c>
      <c r="B20" s="16">
        <v>645254981</v>
      </c>
      <c r="C20">
        <v>429</v>
      </c>
      <c r="D20">
        <v>2071</v>
      </c>
      <c r="E20" s="1">
        <v>0.1716</v>
      </c>
      <c r="F20" s="1">
        <v>0.82840000000000003</v>
      </c>
      <c r="G20">
        <v>44</v>
      </c>
      <c r="H20">
        <v>1</v>
      </c>
      <c r="I20">
        <v>429</v>
      </c>
      <c r="J20" s="20">
        <v>1</v>
      </c>
      <c r="K20">
        <v>4</v>
      </c>
      <c r="L20">
        <v>96</v>
      </c>
      <c r="M20">
        <v>96</v>
      </c>
      <c r="N20">
        <v>96</v>
      </c>
      <c r="O20">
        <v>384</v>
      </c>
      <c r="P20" s="1">
        <v>0.89510500000000004</v>
      </c>
    </row>
    <row r="21" spans="1:16" x14ac:dyDescent="0.25">
      <c r="A21" t="s">
        <v>16</v>
      </c>
      <c r="B21" s="16">
        <v>1725758302</v>
      </c>
      <c r="C21">
        <v>511</v>
      </c>
      <c r="D21">
        <v>1989</v>
      </c>
      <c r="E21" s="1">
        <v>0.2044</v>
      </c>
      <c r="F21" s="1">
        <v>0.79559999999999997</v>
      </c>
      <c r="G21">
        <v>48</v>
      </c>
      <c r="H21">
        <v>1</v>
      </c>
      <c r="I21">
        <v>511</v>
      </c>
      <c r="J21" s="20">
        <v>1</v>
      </c>
      <c r="K21">
        <v>6</v>
      </c>
      <c r="L21">
        <v>79.333332999999996</v>
      </c>
      <c r="M21">
        <v>96</v>
      </c>
      <c r="N21">
        <v>56</v>
      </c>
      <c r="O21">
        <v>476</v>
      </c>
      <c r="P21" s="1">
        <v>0.93150699999999997</v>
      </c>
    </row>
    <row r="22" spans="1:16" x14ac:dyDescent="0.25">
      <c r="A22" t="s">
        <v>16</v>
      </c>
      <c r="B22" s="16">
        <v>1041537947</v>
      </c>
      <c r="C22">
        <v>272</v>
      </c>
      <c r="D22">
        <v>2228</v>
      </c>
      <c r="E22" s="1">
        <v>0.10879999999999999</v>
      </c>
      <c r="F22" s="1">
        <v>0.89119999999999999</v>
      </c>
      <c r="G22">
        <v>34</v>
      </c>
      <c r="H22">
        <v>1</v>
      </c>
      <c r="I22">
        <v>272</v>
      </c>
      <c r="J22" s="20">
        <v>1</v>
      </c>
      <c r="K22">
        <v>3</v>
      </c>
      <c r="L22">
        <v>79.333332999999996</v>
      </c>
      <c r="M22">
        <v>96</v>
      </c>
      <c r="N22">
        <v>46</v>
      </c>
      <c r="O22">
        <v>238</v>
      </c>
      <c r="P22" s="1">
        <v>0.875</v>
      </c>
    </row>
    <row r="23" spans="1:16" x14ac:dyDescent="0.25">
      <c r="A23" t="s">
        <v>16</v>
      </c>
      <c r="B23" s="16">
        <v>1522232775</v>
      </c>
      <c r="C23">
        <v>1026</v>
      </c>
      <c r="D23">
        <v>1474</v>
      </c>
      <c r="E23" s="1">
        <v>0.41039999999999999</v>
      </c>
      <c r="F23" s="1">
        <v>0.58960000000000001</v>
      </c>
      <c r="G23">
        <v>124</v>
      </c>
      <c r="H23">
        <v>1</v>
      </c>
      <c r="I23">
        <v>1026</v>
      </c>
      <c r="J23" s="20">
        <v>1</v>
      </c>
      <c r="K23">
        <v>12</v>
      </c>
      <c r="L23">
        <v>77.666667000000004</v>
      </c>
      <c r="M23">
        <v>96</v>
      </c>
      <c r="N23">
        <v>46</v>
      </c>
      <c r="O23">
        <v>932</v>
      </c>
      <c r="P23" s="1">
        <v>0.90838200000000002</v>
      </c>
    </row>
    <row r="24" spans="1:16" x14ac:dyDescent="0.25">
      <c r="A24" t="s">
        <v>16</v>
      </c>
      <c r="B24" s="16">
        <v>59537034</v>
      </c>
      <c r="C24">
        <v>397</v>
      </c>
      <c r="D24">
        <v>2103</v>
      </c>
      <c r="E24" s="1">
        <v>0.1588</v>
      </c>
      <c r="F24" s="1">
        <v>0.84119999999999995</v>
      </c>
      <c r="G24">
        <v>61</v>
      </c>
      <c r="H24">
        <v>1</v>
      </c>
      <c r="I24">
        <v>397</v>
      </c>
      <c r="J24" s="20">
        <v>1</v>
      </c>
      <c r="K24">
        <v>4</v>
      </c>
      <c r="L24">
        <v>88.75</v>
      </c>
      <c r="M24">
        <v>97</v>
      </c>
      <c r="N24">
        <v>66</v>
      </c>
      <c r="O24">
        <v>355</v>
      </c>
      <c r="P24" s="1">
        <v>0.89420699999999997</v>
      </c>
    </row>
    <row r="25" spans="1:16" x14ac:dyDescent="0.25">
      <c r="A25" t="s">
        <v>16</v>
      </c>
      <c r="B25" s="16">
        <v>948507888</v>
      </c>
      <c r="C25">
        <v>747</v>
      </c>
      <c r="D25">
        <v>1753</v>
      </c>
      <c r="E25" s="1">
        <v>0.29880000000000001</v>
      </c>
      <c r="F25" s="1">
        <v>0.70120000000000005</v>
      </c>
      <c r="G25">
        <v>86</v>
      </c>
      <c r="H25">
        <v>1</v>
      </c>
      <c r="I25">
        <v>747</v>
      </c>
      <c r="J25" s="20">
        <v>1</v>
      </c>
      <c r="K25">
        <v>8</v>
      </c>
      <c r="L25">
        <v>84.75</v>
      </c>
      <c r="M25">
        <v>96</v>
      </c>
      <c r="N25">
        <v>66</v>
      </c>
      <c r="O25">
        <v>678</v>
      </c>
      <c r="P25" s="1">
        <v>0.90763099999999997</v>
      </c>
    </row>
    <row r="26" spans="1:16" x14ac:dyDescent="0.25">
      <c r="A26" t="s">
        <v>16</v>
      </c>
      <c r="B26" s="16">
        <v>129070138</v>
      </c>
      <c r="C26">
        <v>593</v>
      </c>
      <c r="D26">
        <v>1907</v>
      </c>
      <c r="E26" s="1">
        <v>0.23719999999999999</v>
      </c>
      <c r="F26" s="1">
        <v>0.76280000000000003</v>
      </c>
      <c r="G26">
        <v>70</v>
      </c>
      <c r="H26">
        <v>1</v>
      </c>
      <c r="I26">
        <v>593</v>
      </c>
      <c r="J26" s="20">
        <v>1</v>
      </c>
      <c r="K26">
        <v>7</v>
      </c>
      <c r="L26">
        <v>75.857142999999994</v>
      </c>
      <c r="M26">
        <v>97</v>
      </c>
      <c r="N26">
        <v>41</v>
      </c>
      <c r="O26">
        <v>531</v>
      </c>
      <c r="P26" s="1">
        <v>0.89544699999999999</v>
      </c>
    </row>
    <row r="27" spans="1:16" x14ac:dyDescent="0.25">
      <c r="A27" t="s">
        <v>16</v>
      </c>
      <c r="B27" s="16">
        <v>815659651</v>
      </c>
      <c r="C27">
        <v>719</v>
      </c>
      <c r="D27">
        <v>1781</v>
      </c>
      <c r="E27" s="1">
        <v>0.28760000000000002</v>
      </c>
      <c r="F27" s="1">
        <v>0.71240000000000003</v>
      </c>
      <c r="G27">
        <v>73</v>
      </c>
      <c r="H27">
        <v>1</v>
      </c>
      <c r="I27">
        <v>719</v>
      </c>
      <c r="J27" s="20">
        <v>1</v>
      </c>
      <c r="K27">
        <v>8</v>
      </c>
      <c r="L27">
        <v>82.25</v>
      </c>
      <c r="M27">
        <v>96</v>
      </c>
      <c r="N27">
        <v>56</v>
      </c>
      <c r="O27">
        <v>658</v>
      </c>
      <c r="P27" s="1">
        <v>0.91515999999999997</v>
      </c>
    </row>
    <row r="28" spans="1:16" x14ac:dyDescent="0.25">
      <c r="A28" t="s">
        <v>16</v>
      </c>
      <c r="B28" s="16">
        <v>8834983</v>
      </c>
      <c r="C28">
        <v>941</v>
      </c>
      <c r="D28">
        <v>1559</v>
      </c>
      <c r="E28" s="1">
        <v>0.37640000000000001</v>
      </c>
      <c r="F28" s="1">
        <v>0.62360000000000004</v>
      </c>
      <c r="G28">
        <v>75</v>
      </c>
      <c r="H28">
        <v>1</v>
      </c>
      <c r="I28">
        <v>941</v>
      </c>
      <c r="J28" s="20">
        <v>1</v>
      </c>
      <c r="K28">
        <v>10</v>
      </c>
      <c r="L28">
        <v>88</v>
      </c>
      <c r="M28">
        <v>96</v>
      </c>
      <c r="N28">
        <v>76</v>
      </c>
      <c r="O28">
        <v>880</v>
      </c>
      <c r="P28" s="1">
        <v>0.93517499999999998</v>
      </c>
    </row>
    <row r="29" spans="1:16" x14ac:dyDescent="0.25">
      <c r="A29" t="s">
        <v>16</v>
      </c>
      <c r="B29" s="16">
        <v>1638886175</v>
      </c>
      <c r="C29">
        <v>518</v>
      </c>
      <c r="D29">
        <v>1982</v>
      </c>
      <c r="E29" s="1">
        <v>0.2072</v>
      </c>
      <c r="F29" s="1">
        <v>0.79279999999999995</v>
      </c>
      <c r="G29">
        <v>55</v>
      </c>
      <c r="H29">
        <v>1</v>
      </c>
      <c r="I29">
        <v>518</v>
      </c>
      <c r="J29" s="20">
        <v>1</v>
      </c>
      <c r="K29">
        <v>6</v>
      </c>
      <c r="L29">
        <v>80</v>
      </c>
      <c r="M29">
        <v>96</v>
      </c>
      <c r="N29">
        <v>50</v>
      </c>
      <c r="O29">
        <v>480</v>
      </c>
      <c r="P29" s="1">
        <v>0.92664100000000005</v>
      </c>
    </row>
    <row r="30" spans="1:16" x14ac:dyDescent="0.25">
      <c r="A30" t="s">
        <v>16</v>
      </c>
      <c r="B30" s="16">
        <v>1385798787</v>
      </c>
      <c r="C30">
        <v>317</v>
      </c>
      <c r="D30">
        <v>2183</v>
      </c>
      <c r="E30" s="1">
        <v>0.1268</v>
      </c>
      <c r="F30" s="1">
        <v>0.87319999999999998</v>
      </c>
      <c r="G30">
        <v>40</v>
      </c>
      <c r="H30">
        <v>1</v>
      </c>
      <c r="I30">
        <v>317</v>
      </c>
      <c r="J30" s="20">
        <v>1</v>
      </c>
      <c r="K30">
        <v>3</v>
      </c>
      <c r="L30">
        <v>96</v>
      </c>
      <c r="M30">
        <v>96</v>
      </c>
      <c r="N30">
        <v>96</v>
      </c>
      <c r="O30">
        <v>288</v>
      </c>
      <c r="P30" s="1">
        <v>0.90851700000000002</v>
      </c>
    </row>
    <row r="31" spans="1:16" x14ac:dyDescent="0.25">
      <c r="A31" t="s">
        <v>16</v>
      </c>
      <c r="B31" s="16">
        <v>2074950200</v>
      </c>
      <c r="C31">
        <v>695</v>
      </c>
      <c r="D31">
        <v>1805</v>
      </c>
      <c r="E31" s="1">
        <v>0.27800000000000002</v>
      </c>
      <c r="F31" s="1">
        <v>0.72199999999999998</v>
      </c>
      <c r="G31">
        <v>81</v>
      </c>
      <c r="H31">
        <v>1</v>
      </c>
      <c r="I31">
        <v>695</v>
      </c>
      <c r="J31" s="20">
        <v>1</v>
      </c>
      <c r="K31">
        <v>8</v>
      </c>
      <c r="L31">
        <v>78.75</v>
      </c>
      <c r="M31">
        <v>96</v>
      </c>
      <c r="N31">
        <v>45</v>
      </c>
      <c r="O31">
        <v>630</v>
      </c>
      <c r="P31" s="1">
        <v>0.90647500000000003</v>
      </c>
    </row>
    <row r="32" spans="1:16" x14ac:dyDescent="0.25">
      <c r="A32" t="s">
        <v>16</v>
      </c>
      <c r="B32" s="16">
        <v>1203634928</v>
      </c>
      <c r="C32">
        <v>972</v>
      </c>
      <c r="D32">
        <v>1528</v>
      </c>
      <c r="E32" s="1">
        <v>0.38879999999999998</v>
      </c>
      <c r="F32" s="1">
        <v>0.61119999999999997</v>
      </c>
      <c r="G32">
        <v>116</v>
      </c>
      <c r="H32">
        <v>1</v>
      </c>
      <c r="I32">
        <v>972</v>
      </c>
      <c r="J32" s="20">
        <v>1</v>
      </c>
      <c r="K32">
        <v>13</v>
      </c>
      <c r="L32">
        <v>67.846153999999999</v>
      </c>
      <c r="M32">
        <v>96</v>
      </c>
      <c r="N32">
        <v>36</v>
      </c>
      <c r="O32">
        <v>882</v>
      </c>
      <c r="P32" s="1">
        <v>0.90740699999999996</v>
      </c>
    </row>
    <row r="33" spans="1:16" x14ac:dyDescent="0.25">
      <c r="A33" t="s">
        <v>16</v>
      </c>
      <c r="B33" s="16">
        <v>2071466304</v>
      </c>
      <c r="C33">
        <v>392</v>
      </c>
      <c r="D33">
        <v>2108</v>
      </c>
      <c r="E33" s="1">
        <v>0.15679999999999999</v>
      </c>
      <c r="F33" s="1">
        <v>0.84319999999999995</v>
      </c>
      <c r="G33">
        <v>48</v>
      </c>
      <c r="H33">
        <v>1</v>
      </c>
      <c r="I33">
        <v>392</v>
      </c>
      <c r="J33" s="20">
        <v>1</v>
      </c>
      <c r="K33">
        <v>4</v>
      </c>
      <c r="L33">
        <v>88.5</v>
      </c>
      <c r="M33">
        <v>96</v>
      </c>
      <c r="N33">
        <v>66</v>
      </c>
      <c r="O33">
        <v>354</v>
      </c>
      <c r="P33" s="1">
        <v>0.903061</v>
      </c>
    </row>
    <row r="34" spans="1:16" x14ac:dyDescent="0.25">
      <c r="A34" t="s">
        <v>16</v>
      </c>
      <c r="B34" s="16">
        <v>1465439718</v>
      </c>
      <c r="C34">
        <v>1191</v>
      </c>
      <c r="D34">
        <v>1309</v>
      </c>
      <c r="E34" s="1">
        <v>0.47639999999999999</v>
      </c>
      <c r="F34" s="1">
        <v>0.52359999999999995</v>
      </c>
      <c r="G34">
        <v>158</v>
      </c>
      <c r="H34">
        <v>1</v>
      </c>
      <c r="I34">
        <v>1191</v>
      </c>
      <c r="J34" s="20">
        <v>1</v>
      </c>
      <c r="K34">
        <v>16</v>
      </c>
      <c r="L34">
        <v>65.625</v>
      </c>
      <c r="M34">
        <v>147</v>
      </c>
      <c r="N34">
        <v>21</v>
      </c>
      <c r="O34">
        <v>1050</v>
      </c>
      <c r="P34" s="1">
        <v>0.88161199999999995</v>
      </c>
    </row>
    <row r="35" spans="1:16" x14ac:dyDescent="0.25">
      <c r="A35" t="s">
        <v>16</v>
      </c>
      <c r="B35" s="16">
        <v>1328487192</v>
      </c>
      <c r="C35">
        <v>1064</v>
      </c>
      <c r="D35">
        <v>1436</v>
      </c>
      <c r="E35" s="1">
        <v>0.42559999999999998</v>
      </c>
      <c r="F35" s="1">
        <v>0.57440000000000002</v>
      </c>
      <c r="G35">
        <v>91</v>
      </c>
      <c r="H35">
        <v>1</v>
      </c>
      <c r="I35">
        <v>1064</v>
      </c>
      <c r="J35" s="20">
        <v>1</v>
      </c>
      <c r="K35">
        <v>13</v>
      </c>
      <c r="L35">
        <v>74.692307999999997</v>
      </c>
      <c r="M35">
        <v>96</v>
      </c>
      <c r="N35">
        <v>46</v>
      </c>
      <c r="O35">
        <v>971</v>
      </c>
      <c r="P35" s="1">
        <v>0.91259400000000002</v>
      </c>
    </row>
    <row r="36" spans="1:16" x14ac:dyDescent="0.25">
      <c r="A36" t="s">
        <v>16</v>
      </c>
      <c r="B36" s="16">
        <v>1327703368</v>
      </c>
      <c r="C36">
        <v>325</v>
      </c>
      <c r="D36">
        <v>2175</v>
      </c>
      <c r="E36" s="1">
        <v>0.13</v>
      </c>
      <c r="F36" s="1">
        <v>0.87</v>
      </c>
      <c r="G36">
        <v>52</v>
      </c>
      <c r="H36">
        <v>1</v>
      </c>
      <c r="I36">
        <v>325</v>
      </c>
      <c r="J36" s="20">
        <v>1</v>
      </c>
      <c r="K36">
        <v>3</v>
      </c>
      <c r="L36">
        <v>96</v>
      </c>
      <c r="M36">
        <v>96</v>
      </c>
      <c r="N36">
        <v>96</v>
      </c>
      <c r="O36">
        <v>288</v>
      </c>
      <c r="P36" s="1">
        <v>0.886154</v>
      </c>
    </row>
    <row r="37" spans="1:16" x14ac:dyDescent="0.25">
      <c r="A37" t="s">
        <v>16</v>
      </c>
      <c r="B37" s="16">
        <v>850158565</v>
      </c>
      <c r="C37">
        <v>1216</v>
      </c>
      <c r="D37">
        <v>1284</v>
      </c>
      <c r="E37" s="1">
        <v>0.4864</v>
      </c>
      <c r="F37" s="1">
        <v>0.51359999999999995</v>
      </c>
      <c r="G37">
        <v>93</v>
      </c>
      <c r="H37">
        <v>1</v>
      </c>
      <c r="I37">
        <v>1216</v>
      </c>
      <c r="J37" s="20">
        <v>1</v>
      </c>
      <c r="K37">
        <v>14</v>
      </c>
      <c r="L37">
        <v>80.571428999999995</v>
      </c>
      <c r="M37">
        <v>96</v>
      </c>
      <c r="N37">
        <v>31</v>
      </c>
      <c r="O37">
        <v>1128</v>
      </c>
      <c r="P37" s="1">
        <v>0.92763200000000001</v>
      </c>
    </row>
    <row r="38" spans="1:16" x14ac:dyDescent="0.25">
      <c r="A38" t="s">
        <v>16</v>
      </c>
      <c r="B38" s="16">
        <v>882529472</v>
      </c>
      <c r="C38">
        <v>590</v>
      </c>
      <c r="D38">
        <v>1910</v>
      </c>
      <c r="E38" s="1">
        <v>0.23599999999999999</v>
      </c>
      <c r="F38" s="1">
        <v>0.76400000000000001</v>
      </c>
      <c r="G38">
        <v>57</v>
      </c>
      <c r="H38">
        <v>1</v>
      </c>
      <c r="I38">
        <v>590</v>
      </c>
      <c r="J38" s="20">
        <v>1</v>
      </c>
      <c r="K38">
        <v>6</v>
      </c>
      <c r="L38">
        <v>92.666667000000004</v>
      </c>
      <c r="M38">
        <v>96</v>
      </c>
      <c r="N38">
        <v>76</v>
      </c>
      <c r="O38">
        <v>556</v>
      </c>
      <c r="P38" s="1">
        <v>0.94237300000000002</v>
      </c>
    </row>
    <row r="39" spans="1:16" x14ac:dyDescent="0.25">
      <c r="A39" t="s">
        <v>16</v>
      </c>
      <c r="B39" s="16">
        <v>159220627</v>
      </c>
      <c r="C39">
        <v>662</v>
      </c>
      <c r="D39">
        <v>1838</v>
      </c>
      <c r="E39" s="1">
        <v>0.26479999999999998</v>
      </c>
      <c r="F39" s="1">
        <v>0.73519999999999996</v>
      </c>
      <c r="G39">
        <v>70</v>
      </c>
      <c r="H39">
        <v>1</v>
      </c>
      <c r="I39">
        <v>662</v>
      </c>
      <c r="J39" s="20">
        <v>1</v>
      </c>
      <c r="K39">
        <v>7</v>
      </c>
      <c r="L39">
        <v>84.571428999999995</v>
      </c>
      <c r="M39">
        <v>96</v>
      </c>
      <c r="N39">
        <v>46</v>
      </c>
      <c r="O39">
        <v>592</v>
      </c>
      <c r="P39" s="1">
        <v>0.89426000000000005</v>
      </c>
    </row>
    <row r="40" spans="1:16" x14ac:dyDescent="0.25">
      <c r="A40" t="s">
        <v>16</v>
      </c>
      <c r="B40" s="16">
        <v>868942314</v>
      </c>
      <c r="C40">
        <v>701</v>
      </c>
      <c r="D40">
        <v>1799</v>
      </c>
      <c r="E40" s="1">
        <v>0.28039999999999998</v>
      </c>
      <c r="F40" s="1">
        <v>0.71960000000000002</v>
      </c>
      <c r="G40">
        <v>60</v>
      </c>
      <c r="H40">
        <v>1</v>
      </c>
      <c r="I40">
        <v>701</v>
      </c>
      <c r="J40" s="20">
        <v>1</v>
      </c>
      <c r="K40">
        <v>8</v>
      </c>
      <c r="L40">
        <v>81.375</v>
      </c>
      <c r="M40">
        <v>96</v>
      </c>
      <c r="N40">
        <v>59</v>
      </c>
      <c r="O40">
        <v>651</v>
      </c>
      <c r="P40" s="1">
        <v>0.92867299999999997</v>
      </c>
    </row>
    <row r="41" spans="1:16" x14ac:dyDescent="0.25">
      <c r="A41" t="s">
        <v>16</v>
      </c>
      <c r="B41" s="16">
        <v>2053739068</v>
      </c>
      <c r="C41">
        <v>924</v>
      </c>
      <c r="D41">
        <v>1576</v>
      </c>
      <c r="E41" s="1">
        <v>0.36959999999999998</v>
      </c>
      <c r="F41" s="1">
        <v>0.63039999999999996</v>
      </c>
      <c r="G41">
        <v>87</v>
      </c>
      <c r="H41">
        <v>1</v>
      </c>
      <c r="I41">
        <v>924</v>
      </c>
      <c r="J41" s="20">
        <v>1</v>
      </c>
      <c r="K41">
        <v>12</v>
      </c>
      <c r="L41">
        <v>70.75</v>
      </c>
      <c r="M41">
        <v>96</v>
      </c>
      <c r="N41">
        <v>31</v>
      </c>
      <c r="O41">
        <v>849</v>
      </c>
      <c r="P41" s="1">
        <v>0.91883099999999995</v>
      </c>
    </row>
    <row r="42" spans="1:16" x14ac:dyDescent="0.25">
      <c r="A42" t="s">
        <v>16</v>
      </c>
      <c r="B42" s="16">
        <v>1552190075</v>
      </c>
      <c r="C42">
        <v>1127</v>
      </c>
      <c r="D42">
        <v>1373</v>
      </c>
      <c r="E42" s="1">
        <v>0.45079999999999998</v>
      </c>
      <c r="F42" s="1">
        <v>0.54920000000000002</v>
      </c>
      <c r="G42">
        <v>103</v>
      </c>
      <c r="H42">
        <v>1</v>
      </c>
      <c r="I42">
        <v>1127</v>
      </c>
      <c r="J42" s="20">
        <v>1</v>
      </c>
      <c r="K42">
        <v>12</v>
      </c>
      <c r="L42">
        <v>86</v>
      </c>
      <c r="M42">
        <v>96</v>
      </c>
      <c r="N42">
        <v>46</v>
      </c>
      <c r="O42">
        <v>1032</v>
      </c>
      <c r="P42" s="1">
        <v>0.91570499999999999</v>
      </c>
    </row>
    <row r="43" spans="1:16" x14ac:dyDescent="0.25">
      <c r="A43" t="s">
        <v>16</v>
      </c>
      <c r="B43" s="16">
        <v>145411621</v>
      </c>
      <c r="C43">
        <v>863</v>
      </c>
      <c r="D43">
        <v>1637</v>
      </c>
      <c r="E43" s="1">
        <v>0.34520000000000001</v>
      </c>
      <c r="F43" s="1">
        <v>0.65480000000000005</v>
      </c>
      <c r="G43">
        <v>103</v>
      </c>
      <c r="H43">
        <v>1</v>
      </c>
      <c r="I43">
        <v>863</v>
      </c>
      <c r="J43" s="20">
        <v>1</v>
      </c>
      <c r="K43">
        <v>11</v>
      </c>
      <c r="L43">
        <v>71.090908999999996</v>
      </c>
      <c r="M43">
        <v>96</v>
      </c>
      <c r="N43">
        <v>32</v>
      </c>
      <c r="O43">
        <v>782</v>
      </c>
      <c r="P43" s="1">
        <v>0.90614099999999997</v>
      </c>
    </row>
    <row r="44" spans="1:16" x14ac:dyDescent="0.25">
      <c r="A44" t="s">
        <v>16</v>
      </c>
      <c r="B44" s="16">
        <v>1283734572</v>
      </c>
      <c r="C44">
        <v>853</v>
      </c>
      <c r="D44">
        <v>1647</v>
      </c>
      <c r="E44" s="1">
        <v>0.3412</v>
      </c>
      <c r="F44" s="1">
        <v>0.65880000000000005</v>
      </c>
      <c r="G44">
        <v>83</v>
      </c>
      <c r="H44">
        <v>1</v>
      </c>
      <c r="I44">
        <v>853</v>
      </c>
      <c r="J44" s="20">
        <v>1</v>
      </c>
      <c r="K44">
        <v>9</v>
      </c>
      <c r="L44">
        <v>88.222222000000002</v>
      </c>
      <c r="M44">
        <v>96</v>
      </c>
      <c r="N44">
        <v>66</v>
      </c>
      <c r="O44">
        <v>794</v>
      </c>
      <c r="P44" s="1">
        <v>0.93083199999999999</v>
      </c>
    </row>
    <row r="45" spans="1:16" x14ac:dyDescent="0.25">
      <c r="A45" t="s">
        <v>16</v>
      </c>
      <c r="B45" s="16">
        <v>1521199710</v>
      </c>
      <c r="C45">
        <v>954</v>
      </c>
      <c r="D45">
        <v>1546</v>
      </c>
      <c r="E45" s="1">
        <v>0.38159999999999999</v>
      </c>
      <c r="F45" s="1">
        <v>0.61839999999999995</v>
      </c>
      <c r="G45">
        <v>96</v>
      </c>
      <c r="H45">
        <v>1</v>
      </c>
      <c r="I45">
        <v>954</v>
      </c>
      <c r="J45" s="20">
        <v>1</v>
      </c>
      <c r="K45">
        <v>11</v>
      </c>
      <c r="L45">
        <v>79.636364</v>
      </c>
      <c r="M45">
        <v>96</v>
      </c>
      <c r="N45">
        <v>46</v>
      </c>
      <c r="O45">
        <v>876</v>
      </c>
      <c r="P45" s="1">
        <v>0.91823900000000003</v>
      </c>
    </row>
    <row r="46" spans="1:16" x14ac:dyDescent="0.25">
      <c r="A46" t="s">
        <v>16</v>
      </c>
      <c r="B46" s="16">
        <v>255352633</v>
      </c>
      <c r="C46">
        <v>707</v>
      </c>
      <c r="D46">
        <v>1793</v>
      </c>
      <c r="E46" s="1">
        <v>0.2828</v>
      </c>
      <c r="F46" s="1">
        <v>0.71719999999999995</v>
      </c>
      <c r="G46">
        <v>91</v>
      </c>
      <c r="H46">
        <v>1</v>
      </c>
      <c r="I46">
        <v>707</v>
      </c>
      <c r="J46" s="20">
        <v>1</v>
      </c>
      <c r="K46">
        <v>7</v>
      </c>
      <c r="L46">
        <v>90.285713999999999</v>
      </c>
      <c r="M46">
        <v>96</v>
      </c>
      <c r="N46">
        <v>76</v>
      </c>
      <c r="O46">
        <v>632</v>
      </c>
      <c r="P46" s="1">
        <v>0.89391799999999999</v>
      </c>
    </row>
    <row r="47" spans="1:16" x14ac:dyDescent="0.25">
      <c r="A47" t="s">
        <v>16</v>
      </c>
      <c r="B47" s="16" t="s">
        <v>27</v>
      </c>
      <c r="C47">
        <v>706</v>
      </c>
      <c r="D47">
        <v>1794</v>
      </c>
      <c r="E47" s="1">
        <v>0.28239999999999998</v>
      </c>
      <c r="F47" s="1">
        <v>0.71760000000000002</v>
      </c>
      <c r="G47">
        <v>57</v>
      </c>
      <c r="H47">
        <v>1</v>
      </c>
      <c r="I47">
        <v>706</v>
      </c>
      <c r="J47" s="20">
        <v>1</v>
      </c>
      <c r="K47">
        <v>7</v>
      </c>
      <c r="L47">
        <v>93.142857000000006</v>
      </c>
      <c r="M47">
        <v>96</v>
      </c>
      <c r="N47">
        <v>76</v>
      </c>
      <c r="O47">
        <v>652</v>
      </c>
      <c r="P47" s="1">
        <v>0.92351300000000003</v>
      </c>
    </row>
    <row r="48" spans="1:16" x14ac:dyDescent="0.25">
      <c r="A48" t="s">
        <v>16</v>
      </c>
      <c r="B48" s="16">
        <v>1929812167</v>
      </c>
      <c r="C48">
        <v>640</v>
      </c>
      <c r="D48">
        <v>1860</v>
      </c>
      <c r="E48" s="1">
        <v>0.25600000000000001</v>
      </c>
      <c r="F48" s="1">
        <v>0.74399999999999999</v>
      </c>
      <c r="G48">
        <v>116</v>
      </c>
      <c r="H48">
        <v>1</v>
      </c>
      <c r="I48">
        <v>640</v>
      </c>
      <c r="J48" s="20">
        <v>1</v>
      </c>
      <c r="K48">
        <v>8</v>
      </c>
      <c r="L48">
        <v>67.25</v>
      </c>
      <c r="M48">
        <v>96</v>
      </c>
      <c r="N48">
        <v>31</v>
      </c>
      <c r="O48">
        <v>538</v>
      </c>
      <c r="P48" s="1">
        <v>0.84062499999999996</v>
      </c>
    </row>
    <row r="49" spans="1:16" x14ac:dyDescent="0.25">
      <c r="A49" t="s">
        <v>16</v>
      </c>
      <c r="B49" s="16">
        <v>1139324638</v>
      </c>
      <c r="C49">
        <v>1141</v>
      </c>
      <c r="D49">
        <v>1359</v>
      </c>
      <c r="E49" s="1">
        <v>0.45639999999999997</v>
      </c>
      <c r="F49" s="1">
        <v>0.54359999999999997</v>
      </c>
      <c r="G49">
        <v>91</v>
      </c>
      <c r="H49">
        <v>1</v>
      </c>
      <c r="I49">
        <v>1141</v>
      </c>
      <c r="J49" s="20">
        <v>1</v>
      </c>
      <c r="K49">
        <v>13</v>
      </c>
      <c r="L49">
        <v>81.384614999999997</v>
      </c>
      <c r="M49">
        <v>96</v>
      </c>
      <c r="N49">
        <v>46</v>
      </c>
      <c r="O49">
        <v>1058</v>
      </c>
      <c r="P49" s="1">
        <v>0.927257</v>
      </c>
    </row>
    <row r="50" spans="1:16" x14ac:dyDescent="0.25">
      <c r="A50" t="s">
        <v>16</v>
      </c>
      <c r="B50" s="16">
        <v>438973718</v>
      </c>
      <c r="C50">
        <v>677</v>
      </c>
      <c r="D50">
        <v>1823</v>
      </c>
      <c r="E50" s="1">
        <v>0.27079999999999999</v>
      </c>
      <c r="F50" s="1">
        <v>0.72919999999999996</v>
      </c>
      <c r="G50">
        <v>79</v>
      </c>
      <c r="H50">
        <v>1</v>
      </c>
      <c r="I50">
        <v>677</v>
      </c>
      <c r="J50" s="20">
        <v>1</v>
      </c>
      <c r="K50">
        <v>8</v>
      </c>
      <c r="L50">
        <v>77.25</v>
      </c>
      <c r="M50">
        <v>96</v>
      </c>
      <c r="N50">
        <v>46</v>
      </c>
      <c r="O50">
        <v>618</v>
      </c>
      <c r="P50" s="1">
        <v>0.91285099999999997</v>
      </c>
    </row>
    <row r="51" spans="1:16" x14ac:dyDescent="0.25">
      <c r="A51" t="s">
        <v>16</v>
      </c>
      <c r="B51" s="16">
        <v>1764481435</v>
      </c>
      <c r="C51">
        <v>911</v>
      </c>
      <c r="D51">
        <v>1589</v>
      </c>
      <c r="E51" s="1">
        <v>0.3644</v>
      </c>
      <c r="F51" s="1">
        <v>0.63560000000000005</v>
      </c>
      <c r="G51">
        <v>86</v>
      </c>
      <c r="H51">
        <v>1</v>
      </c>
      <c r="I51">
        <v>911</v>
      </c>
      <c r="J51" s="20">
        <v>1</v>
      </c>
      <c r="K51">
        <v>9</v>
      </c>
      <c r="L51">
        <v>91.555555999999996</v>
      </c>
      <c r="M51">
        <v>96</v>
      </c>
      <c r="N51">
        <v>76</v>
      </c>
      <c r="O51">
        <v>824</v>
      </c>
      <c r="P51" s="1">
        <v>0.904501</v>
      </c>
    </row>
    <row r="52" spans="1:16" x14ac:dyDescent="0.25">
      <c r="A52" t="s">
        <v>26</v>
      </c>
      <c r="B52"/>
      <c r="C52">
        <f>SUBTOTAL(101,AgCon_room10_corr7[floors])</f>
        <v>748.74</v>
      </c>
      <c r="D52">
        <f>SUBTOTAL(101,AgCon_room10_corr7[walls])</f>
        <v>1751.26</v>
      </c>
      <c r="E52" s="2">
        <f>SUBTOTAL(101,AgCon_room10_corr7[floor_percent])</f>
        <v>0.29949600000000004</v>
      </c>
      <c r="F52" s="2">
        <f>SUBTOTAL(101,AgCon_room10_corr7[wall_percent])</f>
        <v>0.70050399999999979</v>
      </c>
      <c r="G52">
        <f>SUBTOTAL(101,AgCon_room10_corr7[longest_shortest_path])</f>
        <v>81.36</v>
      </c>
      <c r="H52">
        <f>SUBTOTAL(101,AgCon_room10_corr7[component_count])</f>
        <v>1</v>
      </c>
      <c r="I52">
        <f>SUBTOTAL(101,AgCon_room10_corr7[max_component_size])</f>
        <v>748.74</v>
      </c>
      <c r="J52" s="20">
        <f>SUBTOTAL(101,AgCon_room10_corr7[connectivity_ratio])</f>
        <v>1</v>
      </c>
      <c r="K52">
        <f>SUBTOTAL(101,AgCon_room10_corr7[room_count])</f>
        <v>8.58</v>
      </c>
      <c r="L52">
        <f>SUBTOTAL(101,AgCon_room10_corr7[avg_room_size])</f>
        <v>81.343311639999996</v>
      </c>
      <c r="M52">
        <f>SUBTOTAL(101,AgCon_room10_corr7[max_room_size])</f>
        <v>97.18</v>
      </c>
      <c r="N52">
        <f>SUBTOTAL(101,AgCon_room10_corr7[min_room_size])</f>
        <v>52.9</v>
      </c>
      <c r="O52">
        <f>SUBTOTAL(101,AgCon_room10_corr7[room_tiles])</f>
        <v>681.68</v>
      </c>
      <c r="P52" s="2">
        <f>SUBTOTAL(101,AgCon_room10_corr7[room_ratio])</f>
        <v>0.90661480000000039</v>
      </c>
    </row>
    <row r="53" spans="1:16" x14ac:dyDescent="0.25">
      <c r="A53" s="19" t="s">
        <v>28</v>
      </c>
      <c r="B53" s="19"/>
      <c r="C53" s="19"/>
      <c r="D53" s="19"/>
    </row>
  </sheetData>
  <mergeCells count="1">
    <mergeCell ref="A53:D53"/>
  </mergeCell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8165-22CD-4341-A411-E919B77A51BD}">
  <dimension ref="A1:P53"/>
  <sheetViews>
    <sheetView workbookViewId="0">
      <selection activeCell="J1" sqref="J1:J1048576"/>
    </sheetView>
  </sheetViews>
  <sheetFormatPr defaultRowHeight="15" x14ac:dyDescent="0.25"/>
  <cols>
    <col min="1" max="1" width="32.28515625" bestFit="1" customWidth="1"/>
    <col min="2" max="2" width="11" style="16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6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6">
        <v>717630413</v>
      </c>
      <c r="C2">
        <v>744</v>
      </c>
      <c r="D2">
        <v>1756</v>
      </c>
      <c r="E2" s="1">
        <v>0.29759999999999998</v>
      </c>
      <c r="F2" s="1">
        <v>0.70240000000000002</v>
      </c>
      <c r="G2">
        <v>236</v>
      </c>
      <c r="H2">
        <v>1</v>
      </c>
      <c r="I2">
        <v>744</v>
      </c>
      <c r="J2" s="20">
        <v>1</v>
      </c>
      <c r="K2">
        <v>13</v>
      </c>
      <c r="L2">
        <v>39.923076999999999</v>
      </c>
      <c r="M2">
        <v>45</v>
      </c>
      <c r="N2">
        <v>21</v>
      </c>
      <c r="O2">
        <v>519</v>
      </c>
      <c r="P2" s="1">
        <v>0.69758100000000001</v>
      </c>
    </row>
    <row r="3" spans="1:16" x14ac:dyDescent="0.25">
      <c r="A3" t="s">
        <v>16</v>
      </c>
      <c r="B3" s="16">
        <v>1495998367</v>
      </c>
      <c r="C3">
        <v>232</v>
      </c>
      <c r="D3">
        <v>2268</v>
      </c>
      <c r="E3" s="1">
        <v>9.2799999999999994E-2</v>
      </c>
      <c r="F3" s="1">
        <v>0.90720000000000001</v>
      </c>
      <c r="G3">
        <v>48</v>
      </c>
      <c r="H3">
        <v>1</v>
      </c>
      <c r="I3">
        <v>232</v>
      </c>
      <c r="J3" s="20">
        <v>1</v>
      </c>
      <c r="K3">
        <v>4</v>
      </c>
      <c r="L3">
        <v>45</v>
      </c>
      <c r="M3">
        <v>45</v>
      </c>
      <c r="N3">
        <v>45</v>
      </c>
      <c r="O3">
        <v>180</v>
      </c>
      <c r="P3" s="1">
        <v>0.77586200000000005</v>
      </c>
    </row>
    <row r="4" spans="1:16" x14ac:dyDescent="0.25">
      <c r="A4" t="s">
        <v>16</v>
      </c>
      <c r="B4" s="16">
        <v>440175583</v>
      </c>
      <c r="C4">
        <v>405</v>
      </c>
      <c r="D4">
        <v>2095</v>
      </c>
      <c r="E4" s="1">
        <v>0.16200000000000001</v>
      </c>
      <c r="F4" s="1">
        <v>0.83799999999999997</v>
      </c>
      <c r="G4">
        <v>135</v>
      </c>
      <c r="H4">
        <v>1</v>
      </c>
      <c r="I4">
        <v>405</v>
      </c>
      <c r="J4" s="20">
        <v>1</v>
      </c>
      <c r="K4">
        <v>6</v>
      </c>
      <c r="L4">
        <v>45</v>
      </c>
      <c r="M4">
        <v>45</v>
      </c>
      <c r="N4">
        <v>45</v>
      </c>
      <c r="O4">
        <v>270</v>
      </c>
      <c r="P4" s="1">
        <v>0.66666700000000001</v>
      </c>
    </row>
    <row r="5" spans="1:16" x14ac:dyDescent="0.25">
      <c r="A5" t="s">
        <v>16</v>
      </c>
      <c r="B5" s="16">
        <v>918858204</v>
      </c>
      <c r="C5">
        <v>702</v>
      </c>
      <c r="D5">
        <v>1798</v>
      </c>
      <c r="E5" s="1">
        <v>0.28079999999999999</v>
      </c>
      <c r="F5" s="1">
        <v>0.71919999999999995</v>
      </c>
      <c r="G5">
        <v>180</v>
      </c>
      <c r="H5">
        <v>1</v>
      </c>
      <c r="I5">
        <v>702</v>
      </c>
      <c r="J5" s="20">
        <v>1</v>
      </c>
      <c r="K5">
        <v>13</v>
      </c>
      <c r="L5">
        <v>41.769230999999998</v>
      </c>
      <c r="M5">
        <v>45</v>
      </c>
      <c r="N5">
        <v>24</v>
      </c>
      <c r="O5">
        <v>543</v>
      </c>
      <c r="P5" s="1">
        <v>0.77350399999999997</v>
      </c>
    </row>
    <row r="6" spans="1:16" x14ac:dyDescent="0.25">
      <c r="A6" t="s">
        <v>16</v>
      </c>
      <c r="B6" s="16">
        <v>1198806022</v>
      </c>
      <c r="C6">
        <v>658</v>
      </c>
      <c r="D6">
        <v>1842</v>
      </c>
      <c r="E6" s="1">
        <v>0.26319999999999999</v>
      </c>
      <c r="F6" s="1">
        <v>0.73680000000000001</v>
      </c>
      <c r="G6">
        <v>106</v>
      </c>
      <c r="H6">
        <v>1</v>
      </c>
      <c r="I6">
        <v>658</v>
      </c>
      <c r="J6" s="20">
        <v>1</v>
      </c>
      <c r="K6">
        <v>13</v>
      </c>
      <c r="L6">
        <v>40.153846000000001</v>
      </c>
      <c r="M6">
        <v>45</v>
      </c>
      <c r="N6">
        <v>31</v>
      </c>
      <c r="O6">
        <v>522</v>
      </c>
      <c r="P6" s="1">
        <v>0.79331300000000005</v>
      </c>
    </row>
    <row r="7" spans="1:16" x14ac:dyDescent="0.25">
      <c r="A7" t="s">
        <v>16</v>
      </c>
      <c r="B7" s="16">
        <v>1399490449</v>
      </c>
      <c r="C7">
        <v>706</v>
      </c>
      <c r="D7">
        <v>1794</v>
      </c>
      <c r="E7" s="1">
        <v>0.28239999999999998</v>
      </c>
      <c r="F7" s="1">
        <v>0.71760000000000002</v>
      </c>
      <c r="G7">
        <v>214</v>
      </c>
      <c r="H7">
        <v>1</v>
      </c>
      <c r="I7">
        <v>706</v>
      </c>
      <c r="J7" s="20">
        <v>1</v>
      </c>
      <c r="K7">
        <v>12</v>
      </c>
      <c r="L7">
        <v>40.416666999999997</v>
      </c>
      <c r="M7">
        <v>45</v>
      </c>
      <c r="N7">
        <v>24</v>
      </c>
      <c r="O7">
        <v>485</v>
      </c>
      <c r="P7" s="1">
        <v>0.68696900000000005</v>
      </c>
    </row>
    <row r="8" spans="1:16" x14ac:dyDescent="0.25">
      <c r="A8" t="s">
        <v>16</v>
      </c>
      <c r="B8" s="16">
        <v>1947626260</v>
      </c>
      <c r="C8">
        <v>501</v>
      </c>
      <c r="D8">
        <v>1999</v>
      </c>
      <c r="E8" s="1">
        <v>0.20039999999999999</v>
      </c>
      <c r="F8" s="1">
        <v>0.79959999999999998</v>
      </c>
      <c r="G8">
        <v>131</v>
      </c>
      <c r="H8">
        <v>1</v>
      </c>
      <c r="I8">
        <v>501</v>
      </c>
      <c r="J8" s="20">
        <v>1</v>
      </c>
      <c r="K8">
        <v>9</v>
      </c>
      <c r="L8">
        <v>40.333333000000003</v>
      </c>
      <c r="M8">
        <v>45</v>
      </c>
      <c r="N8">
        <v>31</v>
      </c>
      <c r="O8">
        <v>363</v>
      </c>
      <c r="P8" s="1">
        <v>0.72455099999999995</v>
      </c>
    </row>
    <row r="9" spans="1:16" x14ac:dyDescent="0.25">
      <c r="A9" t="s">
        <v>16</v>
      </c>
      <c r="B9" s="16">
        <v>1835061900</v>
      </c>
      <c r="C9">
        <v>373</v>
      </c>
      <c r="D9">
        <v>2127</v>
      </c>
      <c r="E9" s="1">
        <v>0.1492</v>
      </c>
      <c r="F9" s="1">
        <v>0.8508</v>
      </c>
      <c r="G9">
        <v>51</v>
      </c>
      <c r="H9">
        <v>1</v>
      </c>
      <c r="I9">
        <v>373</v>
      </c>
      <c r="J9" s="20">
        <v>1</v>
      </c>
      <c r="K9">
        <v>6</v>
      </c>
      <c r="L9">
        <v>45</v>
      </c>
      <c r="M9">
        <v>45</v>
      </c>
      <c r="N9">
        <v>45</v>
      </c>
      <c r="O9">
        <v>270</v>
      </c>
      <c r="P9" s="1">
        <v>0.72386099999999998</v>
      </c>
    </row>
    <row r="10" spans="1:16" x14ac:dyDescent="0.25">
      <c r="A10" t="s">
        <v>16</v>
      </c>
      <c r="B10" s="16">
        <v>1937025549</v>
      </c>
      <c r="C10">
        <v>703</v>
      </c>
      <c r="D10">
        <v>1797</v>
      </c>
      <c r="E10" s="1">
        <v>0.28120000000000001</v>
      </c>
      <c r="F10" s="1">
        <v>0.71879999999999999</v>
      </c>
      <c r="G10">
        <v>172</v>
      </c>
      <c r="H10">
        <v>1</v>
      </c>
      <c r="I10">
        <v>703</v>
      </c>
      <c r="J10" s="20">
        <v>1</v>
      </c>
      <c r="K10">
        <v>13</v>
      </c>
      <c r="L10">
        <v>41.769230999999998</v>
      </c>
      <c r="M10">
        <v>45</v>
      </c>
      <c r="N10">
        <v>31</v>
      </c>
      <c r="O10">
        <v>543</v>
      </c>
      <c r="P10" s="1">
        <v>0.77240399999999998</v>
      </c>
    </row>
    <row r="11" spans="1:16" x14ac:dyDescent="0.25">
      <c r="A11" t="s">
        <v>16</v>
      </c>
      <c r="B11" s="16">
        <v>463422904</v>
      </c>
      <c r="C11">
        <v>381</v>
      </c>
      <c r="D11">
        <v>2119</v>
      </c>
      <c r="E11" s="1">
        <v>0.15240000000000001</v>
      </c>
      <c r="F11" s="1">
        <v>0.84760000000000002</v>
      </c>
      <c r="G11">
        <v>114</v>
      </c>
      <c r="H11">
        <v>1</v>
      </c>
      <c r="I11">
        <v>381</v>
      </c>
      <c r="J11" s="20">
        <v>1</v>
      </c>
      <c r="K11">
        <v>6</v>
      </c>
      <c r="L11">
        <v>45</v>
      </c>
      <c r="M11">
        <v>45</v>
      </c>
      <c r="N11">
        <v>45</v>
      </c>
      <c r="O11">
        <v>270</v>
      </c>
      <c r="P11" s="1">
        <v>0.70866099999999999</v>
      </c>
    </row>
    <row r="12" spans="1:16" x14ac:dyDescent="0.25">
      <c r="A12" t="s">
        <v>16</v>
      </c>
      <c r="B12" s="16">
        <v>386961939</v>
      </c>
      <c r="C12">
        <v>803</v>
      </c>
      <c r="D12">
        <v>1697</v>
      </c>
      <c r="E12" s="1">
        <v>0.32119999999999999</v>
      </c>
      <c r="F12" s="1">
        <v>0.67879999999999996</v>
      </c>
      <c r="G12">
        <v>143</v>
      </c>
      <c r="H12">
        <v>1</v>
      </c>
      <c r="I12">
        <v>803</v>
      </c>
      <c r="J12" s="20">
        <v>1</v>
      </c>
      <c r="K12">
        <v>14</v>
      </c>
      <c r="L12">
        <v>42.071429000000002</v>
      </c>
      <c r="M12">
        <v>45</v>
      </c>
      <c r="N12">
        <v>38</v>
      </c>
      <c r="O12">
        <v>589</v>
      </c>
      <c r="P12" s="1">
        <v>0.73349900000000001</v>
      </c>
    </row>
    <row r="13" spans="1:16" x14ac:dyDescent="0.25">
      <c r="A13" t="s">
        <v>16</v>
      </c>
      <c r="B13" s="16">
        <v>1402643696</v>
      </c>
      <c r="C13">
        <v>660</v>
      </c>
      <c r="D13">
        <v>1840</v>
      </c>
      <c r="E13" s="1">
        <v>0.26400000000000001</v>
      </c>
      <c r="F13" s="1">
        <v>0.73599999999999999</v>
      </c>
      <c r="G13">
        <v>80</v>
      </c>
      <c r="H13">
        <v>1</v>
      </c>
      <c r="I13">
        <v>660</v>
      </c>
      <c r="J13" s="20">
        <v>1</v>
      </c>
      <c r="K13">
        <v>10</v>
      </c>
      <c r="L13">
        <v>48.5</v>
      </c>
      <c r="M13">
        <v>100</v>
      </c>
      <c r="N13">
        <v>38</v>
      </c>
      <c r="O13">
        <v>485</v>
      </c>
      <c r="P13" s="1">
        <v>0.73484799999999995</v>
      </c>
    </row>
    <row r="14" spans="1:16" x14ac:dyDescent="0.25">
      <c r="A14" t="s">
        <v>16</v>
      </c>
      <c r="B14" s="16">
        <v>861788969</v>
      </c>
      <c r="C14">
        <v>304</v>
      </c>
      <c r="D14">
        <v>2196</v>
      </c>
      <c r="E14" s="1">
        <v>0.1216</v>
      </c>
      <c r="F14" s="1">
        <v>0.87839999999999996</v>
      </c>
      <c r="G14">
        <v>86</v>
      </c>
      <c r="H14">
        <v>1</v>
      </c>
      <c r="I14">
        <v>304</v>
      </c>
      <c r="J14" s="20">
        <v>1</v>
      </c>
      <c r="K14">
        <v>5</v>
      </c>
      <c r="L14">
        <v>45</v>
      </c>
      <c r="M14">
        <v>45</v>
      </c>
      <c r="N14">
        <v>45</v>
      </c>
      <c r="O14">
        <v>225</v>
      </c>
      <c r="P14" s="1">
        <v>0.74013200000000001</v>
      </c>
    </row>
    <row r="15" spans="1:16" x14ac:dyDescent="0.25">
      <c r="A15" t="s">
        <v>16</v>
      </c>
      <c r="B15" s="16">
        <v>1685441779</v>
      </c>
      <c r="C15">
        <v>558</v>
      </c>
      <c r="D15">
        <v>1942</v>
      </c>
      <c r="E15" s="1">
        <v>0.22320000000000001</v>
      </c>
      <c r="F15" s="1">
        <v>0.77680000000000005</v>
      </c>
      <c r="G15">
        <v>89</v>
      </c>
      <c r="H15">
        <v>1</v>
      </c>
      <c r="I15">
        <v>558</v>
      </c>
      <c r="J15" s="20">
        <v>1</v>
      </c>
      <c r="K15">
        <v>10</v>
      </c>
      <c r="L15">
        <v>45</v>
      </c>
      <c r="M15">
        <v>45</v>
      </c>
      <c r="N15">
        <v>45</v>
      </c>
      <c r="O15">
        <v>450</v>
      </c>
      <c r="P15" s="1">
        <v>0.80645199999999995</v>
      </c>
    </row>
    <row r="16" spans="1:16" x14ac:dyDescent="0.25">
      <c r="A16" t="s">
        <v>16</v>
      </c>
      <c r="B16" s="16">
        <v>1463035752</v>
      </c>
      <c r="C16">
        <v>341</v>
      </c>
      <c r="D16">
        <v>2159</v>
      </c>
      <c r="E16" s="1">
        <v>0.13639999999999999</v>
      </c>
      <c r="F16" s="1">
        <v>0.86360000000000003</v>
      </c>
      <c r="G16">
        <v>91</v>
      </c>
      <c r="H16">
        <v>1</v>
      </c>
      <c r="I16">
        <v>341</v>
      </c>
      <c r="J16" s="20">
        <v>1</v>
      </c>
      <c r="K16">
        <v>6</v>
      </c>
      <c r="L16">
        <v>38.666666999999997</v>
      </c>
      <c r="M16">
        <v>45</v>
      </c>
      <c r="N16">
        <v>7</v>
      </c>
      <c r="O16">
        <v>232</v>
      </c>
      <c r="P16" s="1">
        <v>0.68035199999999996</v>
      </c>
    </row>
    <row r="17" spans="1:16" x14ac:dyDescent="0.25">
      <c r="A17" t="s">
        <v>16</v>
      </c>
      <c r="B17" s="16">
        <v>1382505034</v>
      </c>
      <c r="C17">
        <v>477</v>
      </c>
      <c r="D17">
        <v>2023</v>
      </c>
      <c r="E17" s="1">
        <v>0.1908</v>
      </c>
      <c r="F17" s="1">
        <v>0.80920000000000003</v>
      </c>
      <c r="G17">
        <v>85</v>
      </c>
      <c r="H17">
        <v>1</v>
      </c>
      <c r="I17">
        <v>477</v>
      </c>
      <c r="J17" s="20">
        <v>1</v>
      </c>
      <c r="K17">
        <v>8</v>
      </c>
      <c r="L17">
        <v>45.625</v>
      </c>
      <c r="M17">
        <v>50</v>
      </c>
      <c r="N17">
        <v>45</v>
      </c>
      <c r="O17">
        <v>365</v>
      </c>
      <c r="P17" s="1">
        <v>0.76519899999999996</v>
      </c>
    </row>
    <row r="18" spans="1:16" x14ac:dyDescent="0.25">
      <c r="A18" t="s">
        <v>16</v>
      </c>
      <c r="B18" s="16">
        <v>768202977</v>
      </c>
      <c r="C18">
        <v>426</v>
      </c>
      <c r="D18">
        <v>2074</v>
      </c>
      <c r="E18" s="1">
        <v>0.1704</v>
      </c>
      <c r="F18" s="1">
        <v>0.8296</v>
      </c>
      <c r="G18">
        <v>106</v>
      </c>
      <c r="H18">
        <v>1</v>
      </c>
      <c r="I18">
        <v>426</v>
      </c>
      <c r="J18" s="20">
        <v>1</v>
      </c>
      <c r="K18">
        <v>8</v>
      </c>
      <c r="L18">
        <v>40.625</v>
      </c>
      <c r="M18">
        <v>45</v>
      </c>
      <c r="N18">
        <v>38</v>
      </c>
      <c r="O18">
        <v>325</v>
      </c>
      <c r="P18" s="1">
        <v>0.76291100000000001</v>
      </c>
    </row>
    <row r="19" spans="1:16" x14ac:dyDescent="0.25">
      <c r="A19" t="s">
        <v>16</v>
      </c>
      <c r="B19" s="16">
        <v>405788961</v>
      </c>
      <c r="C19">
        <v>612</v>
      </c>
      <c r="D19">
        <v>1888</v>
      </c>
      <c r="E19" s="1">
        <v>0.24479999999999999</v>
      </c>
      <c r="F19" s="1">
        <v>0.75519999999999998</v>
      </c>
      <c r="G19">
        <v>96</v>
      </c>
      <c r="H19">
        <v>1</v>
      </c>
      <c r="I19">
        <v>612</v>
      </c>
      <c r="J19" s="20">
        <v>1</v>
      </c>
      <c r="K19">
        <v>12</v>
      </c>
      <c r="L19">
        <v>37.416666999999997</v>
      </c>
      <c r="M19">
        <v>45</v>
      </c>
      <c r="N19">
        <v>14</v>
      </c>
      <c r="O19">
        <v>449</v>
      </c>
      <c r="P19" s="1">
        <v>0.73365999999999998</v>
      </c>
    </row>
    <row r="20" spans="1:16" x14ac:dyDescent="0.25">
      <c r="A20" t="s">
        <v>16</v>
      </c>
      <c r="B20" s="16">
        <v>1988143766</v>
      </c>
      <c r="C20">
        <v>391</v>
      </c>
      <c r="D20">
        <v>2109</v>
      </c>
      <c r="E20" s="1">
        <v>0.15640000000000001</v>
      </c>
      <c r="F20" s="1">
        <v>0.84360000000000002</v>
      </c>
      <c r="G20">
        <v>100</v>
      </c>
      <c r="H20">
        <v>1</v>
      </c>
      <c r="I20">
        <v>391</v>
      </c>
      <c r="J20" s="20">
        <v>1</v>
      </c>
      <c r="K20">
        <v>7</v>
      </c>
      <c r="L20">
        <v>44</v>
      </c>
      <c r="M20">
        <v>45</v>
      </c>
      <c r="N20">
        <v>38</v>
      </c>
      <c r="O20">
        <v>308</v>
      </c>
      <c r="P20" s="1">
        <v>0.78772399999999998</v>
      </c>
    </row>
    <row r="21" spans="1:16" x14ac:dyDescent="0.25">
      <c r="A21" t="s">
        <v>16</v>
      </c>
      <c r="B21" s="16">
        <v>1943791490</v>
      </c>
      <c r="C21">
        <v>391</v>
      </c>
      <c r="D21">
        <v>2109</v>
      </c>
      <c r="E21" s="1">
        <v>0.15640000000000001</v>
      </c>
      <c r="F21" s="1">
        <v>0.84360000000000002</v>
      </c>
      <c r="G21">
        <v>65</v>
      </c>
      <c r="H21">
        <v>1</v>
      </c>
      <c r="I21">
        <v>391</v>
      </c>
      <c r="J21" s="20">
        <v>1</v>
      </c>
      <c r="K21">
        <v>7</v>
      </c>
      <c r="L21">
        <v>42.857143000000001</v>
      </c>
      <c r="M21">
        <v>45</v>
      </c>
      <c r="N21">
        <v>37</v>
      </c>
      <c r="O21">
        <v>300</v>
      </c>
      <c r="P21" s="1">
        <v>0.76726300000000003</v>
      </c>
    </row>
    <row r="22" spans="1:16" x14ac:dyDescent="0.25">
      <c r="A22" t="s">
        <v>16</v>
      </c>
      <c r="B22" s="16">
        <v>1250837499</v>
      </c>
      <c r="C22">
        <v>518</v>
      </c>
      <c r="D22">
        <v>1982</v>
      </c>
      <c r="E22" s="1">
        <v>0.2072</v>
      </c>
      <c r="F22" s="1">
        <v>0.79279999999999995</v>
      </c>
      <c r="G22">
        <v>83</v>
      </c>
      <c r="H22">
        <v>1</v>
      </c>
      <c r="I22">
        <v>518</v>
      </c>
      <c r="J22" s="20">
        <v>1</v>
      </c>
      <c r="K22">
        <v>6</v>
      </c>
      <c r="L22">
        <v>54.166666999999997</v>
      </c>
      <c r="M22">
        <v>100</v>
      </c>
      <c r="N22">
        <v>45</v>
      </c>
      <c r="O22">
        <v>325</v>
      </c>
      <c r="P22" s="1">
        <v>0.627413</v>
      </c>
    </row>
    <row r="23" spans="1:16" x14ac:dyDescent="0.25">
      <c r="A23" t="s">
        <v>16</v>
      </c>
      <c r="B23" s="16">
        <v>1887711832</v>
      </c>
      <c r="C23">
        <v>917</v>
      </c>
      <c r="D23">
        <v>1583</v>
      </c>
      <c r="E23" s="1">
        <v>0.36680000000000001</v>
      </c>
      <c r="F23" s="1">
        <v>0.63319999999999999</v>
      </c>
      <c r="G23">
        <v>166</v>
      </c>
      <c r="H23">
        <v>1</v>
      </c>
      <c r="I23">
        <v>917</v>
      </c>
      <c r="J23" s="20">
        <v>1</v>
      </c>
      <c r="K23">
        <v>16</v>
      </c>
      <c r="L23">
        <v>45</v>
      </c>
      <c r="M23">
        <v>45</v>
      </c>
      <c r="N23">
        <v>45</v>
      </c>
      <c r="O23">
        <v>720</v>
      </c>
      <c r="P23" s="1">
        <v>0.78516900000000001</v>
      </c>
    </row>
    <row r="24" spans="1:16" x14ac:dyDescent="0.25">
      <c r="A24" t="s">
        <v>16</v>
      </c>
      <c r="B24" s="16">
        <v>1959627326</v>
      </c>
      <c r="C24">
        <v>657</v>
      </c>
      <c r="D24">
        <v>1843</v>
      </c>
      <c r="E24" s="1">
        <v>0.26279999999999998</v>
      </c>
      <c r="F24" s="1">
        <v>0.73719999999999997</v>
      </c>
      <c r="G24">
        <v>156</v>
      </c>
      <c r="H24">
        <v>1</v>
      </c>
      <c r="I24">
        <v>657</v>
      </c>
      <c r="J24" s="20">
        <v>1</v>
      </c>
      <c r="K24">
        <v>11</v>
      </c>
      <c r="L24">
        <v>44.363636</v>
      </c>
      <c r="M24">
        <v>45</v>
      </c>
      <c r="N24">
        <v>38</v>
      </c>
      <c r="O24">
        <v>488</v>
      </c>
      <c r="P24" s="1">
        <v>0.74277000000000004</v>
      </c>
    </row>
    <row r="25" spans="1:16" x14ac:dyDescent="0.25">
      <c r="A25" t="s">
        <v>16</v>
      </c>
      <c r="B25" s="16">
        <v>913426853</v>
      </c>
      <c r="C25">
        <v>191</v>
      </c>
      <c r="D25">
        <v>2309</v>
      </c>
      <c r="E25" s="1">
        <v>7.6399999999999996E-2</v>
      </c>
      <c r="F25" s="1">
        <v>0.92359999999999998</v>
      </c>
      <c r="G25">
        <v>48</v>
      </c>
      <c r="H25">
        <v>1</v>
      </c>
      <c r="I25">
        <v>191</v>
      </c>
      <c r="J25" s="20">
        <v>1</v>
      </c>
      <c r="K25">
        <v>3</v>
      </c>
      <c r="L25">
        <v>45</v>
      </c>
      <c r="M25">
        <v>45</v>
      </c>
      <c r="N25">
        <v>45</v>
      </c>
      <c r="O25">
        <v>135</v>
      </c>
      <c r="P25" s="1">
        <v>0.70680600000000005</v>
      </c>
    </row>
    <row r="26" spans="1:16" x14ac:dyDescent="0.25">
      <c r="A26" t="s">
        <v>16</v>
      </c>
      <c r="B26" s="16">
        <v>632944021</v>
      </c>
      <c r="C26">
        <v>621</v>
      </c>
      <c r="D26">
        <v>1879</v>
      </c>
      <c r="E26" s="1">
        <v>0.24840000000000001</v>
      </c>
      <c r="F26" s="1">
        <v>0.75160000000000005</v>
      </c>
      <c r="G26">
        <v>116</v>
      </c>
      <c r="H26">
        <v>1</v>
      </c>
      <c r="I26">
        <v>621</v>
      </c>
      <c r="J26" s="20">
        <v>1</v>
      </c>
      <c r="K26">
        <v>14</v>
      </c>
      <c r="L26">
        <v>35.071429000000002</v>
      </c>
      <c r="M26">
        <v>45</v>
      </c>
      <c r="N26">
        <v>21</v>
      </c>
      <c r="O26">
        <v>491</v>
      </c>
      <c r="P26" s="1">
        <v>0.79066000000000003</v>
      </c>
    </row>
    <row r="27" spans="1:16" x14ac:dyDescent="0.25">
      <c r="A27" t="s">
        <v>16</v>
      </c>
      <c r="B27" s="16">
        <v>953329759</v>
      </c>
      <c r="C27">
        <v>463</v>
      </c>
      <c r="D27">
        <v>2037</v>
      </c>
      <c r="E27" s="1">
        <v>0.1852</v>
      </c>
      <c r="F27" s="1">
        <v>0.81479999999999997</v>
      </c>
      <c r="G27">
        <v>154</v>
      </c>
      <c r="H27">
        <v>1</v>
      </c>
      <c r="I27">
        <v>463</v>
      </c>
      <c r="J27" s="20">
        <v>1</v>
      </c>
      <c r="K27">
        <v>7</v>
      </c>
      <c r="L27">
        <v>45</v>
      </c>
      <c r="M27">
        <v>45</v>
      </c>
      <c r="N27">
        <v>45</v>
      </c>
      <c r="O27">
        <v>315</v>
      </c>
      <c r="P27" s="1">
        <v>0.68034600000000001</v>
      </c>
    </row>
    <row r="28" spans="1:16" x14ac:dyDescent="0.25">
      <c r="A28" t="s">
        <v>16</v>
      </c>
      <c r="B28" s="16">
        <v>1225373800</v>
      </c>
      <c r="C28">
        <v>681</v>
      </c>
      <c r="D28">
        <v>1819</v>
      </c>
      <c r="E28" s="1">
        <v>0.27239999999999998</v>
      </c>
      <c r="F28" s="1">
        <v>0.72760000000000002</v>
      </c>
      <c r="G28">
        <v>115</v>
      </c>
      <c r="H28">
        <v>1</v>
      </c>
      <c r="I28">
        <v>681</v>
      </c>
      <c r="J28" s="20">
        <v>1</v>
      </c>
      <c r="K28">
        <v>12</v>
      </c>
      <c r="L28">
        <v>45</v>
      </c>
      <c r="M28">
        <v>45</v>
      </c>
      <c r="N28">
        <v>45</v>
      </c>
      <c r="O28">
        <v>540</v>
      </c>
      <c r="P28" s="1">
        <v>0.79295199999999999</v>
      </c>
    </row>
    <row r="29" spans="1:16" x14ac:dyDescent="0.25">
      <c r="A29" t="s">
        <v>16</v>
      </c>
      <c r="B29" s="16">
        <v>1123455443</v>
      </c>
      <c r="C29">
        <v>435</v>
      </c>
      <c r="D29">
        <v>2065</v>
      </c>
      <c r="E29" s="1">
        <v>0.17399999999999999</v>
      </c>
      <c r="F29" s="1">
        <v>0.82599999999999996</v>
      </c>
      <c r="G29">
        <v>92</v>
      </c>
      <c r="H29">
        <v>1</v>
      </c>
      <c r="I29">
        <v>435</v>
      </c>
      <c r="J29" s="20">
        <v>1</v>
      </c>
      <c r="K29">
        <v>8</v>
      </c>
      <c r="L29">
        <v>41.625</v>
      </c>
      <c r="M29">
        <v>45</v>
      </c>
      <c r="N29">
        <v>31</v>
      </c>
      <c r="O29">
        <v>333</v>
      </c>
      <c r="P29" s="1">
        <v>0.765517</v>
      </c>
    </row>
    <row r="30" spans="1:16" x14ac:dyDescent="0.25">
      <c r="A30" t="s">
        <v>16</v>
      </c>
      <c r="B30" s="16">
        <v>1406178163</v>
      </c>
      <c r="C30">
        <v>482</v>
      </c>
      <c r="D30">
        <v>2018</v>
      </c>
      <c r="E30" s="1">
        <v>0.1928</v>
      </c>
      <c r="F30" s="1">
        <v>0.80720000000000003</v>
      </c>
      <c r="G30">
        <v>61</v>
      </c>
      <c r="H30">
        <v>1</v>
      </c>
      <c r="I30">
        <v>482</v>
      </c>
      <c r="J30" s="20">
        <v>1</v>
      </c>
      <c r="K30">
        <v>8</v>
      </c>
      <c r="L30">
        <v>45.125</v>
      </c>
      <c r="M30">
        <v>46</v>
      </c>
      <c r="N30">
        <v>45</v>
      </c>
      <c r="O30">
        <v>361</v>
      </c>
      <c r="P30" s="1">
        <v>0.74896300000000005</v>
      </c>
    </row>
    <row r="31" spans="1:16" x14ac:dyDescent="0.25">
      <c r="A31" t="s">
        <v>16</v>
      </c>
      <c r="B31" s="16">
        <v>119983495</v>
      </c>
      <c r="C31">
        <v>733</v>
      </c>
      <c r="D31">
        <v>1767</v>
      </c>
      <c r="E31" s="1">
        <v>0.29320000000000002</v>
      </c>
      <c r="F31" s="1">
        <v>0.70679999999999998</v>
      </c>
      <c r="G31">
        <v>236</v>
      </c>
      <c r="H31">
        <v>1</v>
      </c>
      <c r="I31">
        <v>733</v>
      </c>
      <c r="J31" s="20">
        <v>1</v>
      </c>
      <c r="K31">
        <v>11</v>
      </c>
      <c r="L31">
        <v>44.363636</v>
      </c>
      <c r="M31">
        <v>45</v>
      </c>
      <c r="N31">
        <v>38</v>
      </c>
      <c r="O31">
        <v>488</v>
      </c>
      <c r="P31" s="1">
        <v>0.66575700000000004</v>
      </c>
    </row>
    <row r="32" spans="1:16" x14ac:dyDescent="0.25">
      <c r="A32" t="s">
        <v>16</v>
      </c>
      <c r="B32" s="16">
        <v>932756236</v>
      </c>
      <c r="C32">
        <v>753</v>
      </c>
      <c r="D32">
        <v>1747</v>
      </c>
      <c r="E32" s="1">
        <v>0.30120000000000002</v>
      </c>
      <c r="F32" s="1">
        <v>0.69879999999999998</v>
      </c>
      <c r="G32">
        <v>118</v>
      </c>
      <c r="H32">
        <v>1</v>
      </c>
      <c r="I32">
        <v>753</v>
      </c>
      <c r="J32" s="20">
        <v>1</v>
      </c>
      <c r="K32">
        <v>13</v>
      </c>
      <c r="L32">
        <v>44.461537999999997</v>
      </c>
      <c r="M32">
        <v>45</v>
      </c>
      <c r="N32">
        <v>38</v>
      </c>
      <c r="O32">
        <v>578</v>
      </c>
      <c r="P32" s="1">
        <v>0.76759599999999995</v>
      </c>
    </row>
    <row r="33" spans="1:16" x14ac:dyDescent="0.25">
      <c r="A33" t="s">
        <v>16</v>
      </c>
      <c r="B33" s="16">
        <v>680314359</v>
      </c>
      <c r="C33">
        <v>423</v>
      </c>
      <c r="D33">
        <v>2077</v>
      </c>
      <c r="E33" s="1">
        <v>0.16919999999999999</v>
      </c>
      <c r="F33" s="1">
        <v>0.83079999999999998</v>
      </c>
      <c r="G33">
        <v>112</v>
      </c>
      <c r="H33">
        <v>1</v>
      </c>
      <c r="I33">
        <v>423</v>
      </c>
      <c r="J33" s="20">
        <v>1</v>
      </c>
      <c r="K33">
        <v>7</v>
      </c>
      <c r="L33">
        <v>45</v>
      </c>
      <c r="M33">
        <v>45</v>
      </c>
      <c r="N33">
        <v>45</v>
      </c>
      <c r="O33">
        <v>315</v>
      </c>
      <c r="P33" s="1">
        <v>0.74468100000000004</v>
      </c>
    </row>
    <row r="34" spans="1:16" x14ac:dyDescent="0.25">
      <c r="A34" t="s">
        <v>16</v>
      </c>
      <c r="B34" s="16">
        <v>1069159812</v>
      </c>
      <c r="C34">
        <v>806</v>
      </c>
      <c r="D34">
        <v>1694</v>
      </c>
      <c r="E34" s="1">
        <v>0.32240000000000002</v>
      </c>
      <c r="F34" s="1">
        <v>0.67759999999999998</v>
      </c>
      <c r="G34">
        <v>179</v>
      </c>
      <c r="H34">
        <v>1</v>
      </c>
      <c r="I34">
        <v>806</v>
      </c>
      <c r="J34" s="20">
        <v>1</v>
      </c>
      <c r="K34">
        <v>15</v>
      </c>
      <c r="L34">
        <v>42.2</v>
      </c>
      <c r="M34">
        <v>45</v>
      </c>
      <c r="N34">
        <v>24</v>
      </c>
      <c r="O34">
        <v>633</v>
      </c>
      <c r="P34" s="1">
        <v>0.78535999999999995</v>
      </c>
    </row>
    <row r="35" spans="1:16" x14ac:dyDescent="0.25">
      <c r="A35" t="s">
        <v>16</v>
      </c>
      <c r="B35" s="16">
        <v>1789339237</v>
      </c>
      <c r="C35">
        <v>488</v>
      </c>
      <c r="D35">
        <v>2012</v>
      </c>
      <c r="E35" s="1">
        <v>0.19520000000000001</v>
      </c>
      <c r="F35" s="1">
        <v>0.80479999999999996</v>
      </c>
      <c r="G35">
        <v>92</v>
      </c>
      <c r="H35">
        <v>1</v>
      </c>
      <c r="I35">
        <v>488</v>
      </c>
      <c r="J35" s="20">
        <v>1</v>
      </c>
      <c r="K35">
        <v>10</v>
      </c>
      <c r="L35">
        <v>39.4</v>
      </c>
      <c r="M35">
        <v>45</v>
      </c>
      <c r="N35">
        <v>31</v>
      </c>
      <c r="O35">
        <v>394</v>
      </c>
      <c r="P35" s="1">
        <v>0.80737700000000001</v>
      </c>
    </row>
    <row r="36" spans="1:16" x14ac:dyDescent="0.25">
      <c r="A36" t="s">
        <v>16</v>
      </c>
      <c r="B36" s="16">
        <v>1110560059</v>
      </c>
      <c r="C36">
        <v>816</v>
      </c>
      <c r="D36">
        <v>1684</v>
      </c>
      <c r="E36" s="1">
        <v>0.32640000000000002</v>
      </c>
      <c r="F36" s="1">
        <v>0.67359999999999998</v>
      </c>
      <c r="G36">
        <v>149</v>
      </c>
      <c r="H36">
        <v>1</v>
      </c>
      <c r="I36">
        <v>816</v>
      </c>
      <c r="J36" s="20">
        <v>1</v>
      </c>
      <c r="K36">
        <v>16</v>
      </c>
      <c r="L36">
        <v>39.875</v>
      </c>
      <c r="M36">
        <v>45</v>
      </c>
      <c r="N36">
        <v>26</v>
      </c>
      <c r="O36">
        <v>638</v>
      </c>
      <c r="P36" s="1">
        <v>0.78186299999999997</v>
      </c>
    </row>
    <row r="37" spans="1:16" x14ac:dyDescent="0.25">
      <c r="A37" t="s">
        <v>16</v>
      </c>
      <c r="B37" s="16">
        <v>768607123</v>
      </c>
      <c r="C37">
        <v>299</v>
      </c>
      <c r="D37">
        <v>2201</v>
      </c>
      <c r="E37" s="1">
        <v>0.1196</v>
      </c>
      <c r="F37" s="1">
        <v>0.88039999999999996</v>
      </c>
      <c r="G37">
        <v>53</v>
      </c>
      <c r="H37">
        <v>1</v>
      </c>
      <c r="I37">
        <v>299</v>
      </c>
      <c r="J37" s="20">
        <v>1</v>
      </c>
      <c r="K37">
        <v>5</v>
      </c>
      <c r="L37">
        <v>44.8</v>
      </c>
      <c r="M37">
        <v>45</v>
      </c>
      <c r="N37">
        <v>44</v>
      </c>
      <c r="O37">
        <v>224</v>
      </c>
      <c r="P37" s="1">
        <v>0.74916400000000005</v>
      </c>
    </row>
    <row r="38" spans="1:16" x14ac:dyDescent="0.25">
      <c r="A38" t="s">
        <v>16</v>
      </c>
      <c r="B38" s="16">
        <v>1245731849</v>
      </c>
      <c r="C38">
        <v>756</v>
      </c>
      <c r="D38">
        <v>1744</v>
      </c>
      <c r="E38" s="1">
        <v>0.3024</v>
      </c>
      <c r="F38" s="1">
        <v>0.6976</v>
      </c>
      <c r="G38">
        <v>150</v>
      </c>
      <c r="H38">
        <v>1</v>
      </c>
      <c r="I38">
        <v>756</v>
      </c>
      <c r="J38" s="20">
        <v>1</v>
      </c>
      <c r="K38">
        <v>16</v>
      </c>
      <c r="L38">
        <v>37.9375</v>
      </c>
      <c r="M38">
        <v>45</v>
      </c>
      <c r="N38">
        <v>16</v>
      </c>
      <c r="O38">
        <v>607</v>
      </c>
      <c r="P38" s="1">
        <v>0.80291000000000001</v>
      </c>
    </row>
    <row r="39" spans="1:16" x14ac:dyDescent="0.25">
      <c r="A39" t="s">
        <v>16</v>
      </c>
      <c r="B39" s="16">
        <v>376503349</v>
      </c>
      <c r="C39">
        <v>536</v>
      </c>
      <c r="D39">
        <v>1964</v>
      </c>
      <c r="E39" s="1">
        <v>0.21440000000000001</v>
      </c>
      <c r="F39" s="1">
        <v>0.78559999999999997</v>
      </c>
      <c r="G39">
        <v>118</v>
      </c>
      <c r="H39">
        <v>1</v>
      </c>
      <c r="I39">
        <v>536</v>
      </c>
      <c r="J39" s="20">
        <v>1</v>
      </c>
      <c r="K39">
        <v>10</v>
      </c>
      <c r="L39">
        <v>42.2</v>
      </c>
      <c r="M39">
        <v>45</v>
      </c>
      <c r="N39">
        <v>31</v>
      </c>
      <c r="O39">
        <v>422</v>
      </c>
      <c r="P39" s="1">
        <v>0.78731300000000004</v>
      </c>
    </row>
    <row r="40" spans="1:16" x14ac:dyDescent="0.25">
      <c r="A40" t="s">
        <v>16</v>
      </c>
      <c r="B40" s="16">
        <v>1203768345</v>
      </c>
      <c r="C40">
        <v>805</v>
      </c>
      <c r="D40">
        <v>1695</v>
      </c>
      <c r="E40" s="1">
        <v>0.32200000000000001</v>
      </c>
      <c r="F40" s="1">
        <v>0.67800000000000005</v>
      </c>
      <c r="G40">
        <v>141</v>
      </c>
      <c r="H40">
        <v>1</v>
      </c>
      <c r="I40">
        <v>805</v>
      </c>
      <c r="J40" s="20">
        <v>1</v>
      </c>
      <c r="K40">
        <v>15</v>
      </c>
      <c r="L40">
        <v>44.066667000000002</v>
      </c>
      <c r="M40">
        <v>45</v>
      </c>
      <c r="N40">
        <v>31</v>
      </c>
      <c r="O40">
        <v>661</v>
      </c>
      <c r="P40" s="1">
        <v>0.82111800000000001</v>
      </c>
    </row>
    <row r="41" spans="1:16" x14ac:dyDescent="0.25">
      <c r="A41" t="s">
        <v>16</v>
      </c>
      <c r="B41" s="16">
        <v>1331040565</v>
      </c>
      <c r="C41">
        <v>640</v>
      </c>
      <c r="D41">
        <v>1860</v>
      </c>
      <c r="E41" s="1">
        <v>0.25600000000000001</v>
      </c>
      <c r="F41" s="1">
        <v>0.74399999999999999</v>
      </c>
      <c r="G41">
        <v>186</v>
      </c>
      <c r="H41">
        <v>1</v>
      </c>
      <c r="I41">
        <v>640</v>
      </c>
      <c r="J41" s="20">
        <v>1</v>
      </c>
      <c r="K41">
        <v>10</v>
      </c>
      <c r="L41">
        <v>42</v>
      </c>
      <c r="M41">
        <v>45</v>
      </c>
      <c r="N41">
        <v>31</v>
      </c>
      <c r="O41">
        <v>420</v>
      </c>
      <c r="P41" s="1">
        <v>0.65625</v>
      </c>
    </row>
    <row r="42" spans="1:16" x14ac:dyDescent="0.25">
      <c r="A42" t="s">
        <v>16</v>
      </c>
      <c r="B42" s="16">
        <v>837353394</v>
      </c>
      <c r="C42">
        <v>795</v>
      </c>
      <c r="D42">
        <v>1705</v>
      </c>
      <c r="E42" s="1">
        <v>0.318</v>
      </c>
      <c r="F42" s="1">
        <v>0.68200000000000005</v>
      </c>
      <c r="G42">
        <v>126</v>
      </c>
      <c r="H42">
        <v>1</v>
      </c>
      <c r="I42">
        <v>795</v>
      </c>
      <c r="J42" s="20">
        <v>1</v>
      </c>
      <c r="K42">
        <v>15</v>
      </c>
      <c r="L42">
        <v>42.333333000000003</v>
      </c>
      <c r="M42">
        <v>45</v>
      </c>
      <c r="N42">
        <v>26</v>
      </c>
      <c r="O42">
        <v>635</v>
      </c>
      <c r="P42" s="1">
        <v>0.79874199999999995</v>
      </c>
    </row>
    <row r="43" spans="1:16" x14ac:dyDescent="0.25">
      <c r="A43" t="s">
        <v>16</v>
      </c>
      <c r="B43" s="16">
        <v>1683115559</v>
      </c>
      <c r="C43">
        <v>231</v>
      </c>
      <c r="D43">
        <v>2269</v>
      </c>
      <c r="E43" s="1">
        <v>9.2399999999999996E-2</v>
      </c>
      <c r="F43" s="1">
        <v>0.90759999999999996</v>
      </c>
      <c r="G43">
        <v>37</v>
      </c>
      <c r="H43">
        <v>1</v>
      </c>
      <c r="I43">
        <v>231</v>
      </c>
      <c r="J43" s="20">
        <v>1</v>
      </c>
      <c r="K43">
        <v>4</v>
      </c>
      <c r="L43">
        <v>41.5</v>
      </c>
      <c r="M43">
        <v>45</v>
      </c>
      <c r="N43">
        <v>31</v>
      </c>
      <c r="O43">
        <v>166</v>
      </c>
      <c r="P43" s="1">
        <v>0.718615</v>
      </c>
    </row>
    <row r="44" spans="1:16" x14ac:dyDescent="0.25">
      <c r="A44" t="s">
        <v>16</v>
      </c>
      <c r="B44" s="16">
        <v>1054312527</v>
      </c>
      <c r="C44">
        <v>510</v>
      </c>
      <c r="D44">
        <v>1990</v>
      </c>
      <c r="E44" s="1">
        <v>0.20399999999999999</v>
      </c>
      <c r="F44" s="1">
        <v>0.79600000000000004</v>
      </c>
      <c r="G44">
        <v>113</v>
      </c>
      <c r="H44">
        <v>1</v>
      </c>
      <c r="I44">
        <v>510</v>
      </c>
      <c r="J44" s="20">
        <v>1</v>
      </c>
      <c r="K44">
        <v>9</v>
      </c>
      <c r="L44">
        <v>43.444443999999997</v>
      </c>
      <c r="M44">
        <v>45</v>
      </c>
      <c r="N44">
        <v>38</v>
      </c>
      <c r="O44">
        <v>391</v>
      </c>
      <c r="P44" s="1">
        <v>0.76666699999999999</v>
      </c>
    </row>
    <row r="45" spans="1:16" x14ac:dyDescent="0.25">
      <c r="A45" t="s">
        <v>16</v>
      </c>
      <c r="B45" s="16">
        <v>272938549</v>
      </c>
      <c r="C45">
        <v>425</v>
      </c>
      <c r="D45">
        <v>2075</v>
      </c>
      <c r="E45" s="1">
        <v>0.17</v>
      </c>
      <c r="F45" s="1">
        <v>0.83</v>
      </c>
      <c r="G45">
        <v>91</v>
      </c>
      <c r="H45">
        <v>1</v>
      </c>
      <c r="I45">
        <v>425</v>
      </c>
      <c r="J45" s="20">
        <v>1</v>
      </c>
      <c r="K45">
        <v>7</v>
      </c>
      <c r="L45">
        <v>45</v>
      </c>
      <c r="M45">
        <v>45</v>
      </c>
      <c r="N45">
        <v>45</v>
      </c>
      <c r="O45">
        <v>315</v>
      </c>
      <c r="P45" s="1">
        <v>0.74117599999999995</v>
      </c>
    </row>
    <row r="46" spans="1:16" x14ac:dyDescent="0.25">
      <c r="A46" t="s">
        <v>16</v>
      </c>
      <c r="B46" s="16">
        <v>1638935401</v>
      </c>
      <c r="C46">
        <v>596</v>
      </c>
      <c r="D46">
        <v>1904</v>
      </c>
      <c r="E46" s="1">
        <v>0.2384</v>
      </c>
      <c r="F46" s="1">
        <v>0.76160000000000005</v>
      </c>
      <c r="G46">
        <v>141</v>
      </c>
      <c r="H46">
        <v>1</v>
      </c>
      <c r="I46">
        <v>596</v>
      </c>
      <c r="J46" s="20">
        <v>1</v>
      </c>
      <c r="K46">
        <v>9</v>
      </c>
      <c r="L46">
        <v>45</v>
      </c>
      <c r="M46">
        <v>45</v>
      </c>
      <c r="N46">
        <v>45</v>
      </c>
      <c r="O46">
        <v>405</v>
      </c>
      <c r="P46" s="1">
        <v>0.67952999999999997</v>
      </c>
    </row>
    <row r="47" spans="1:16" x14ac:dyDescent="0.25">
      <c r="A47" t="s">
        <v>16</v>
      </c>
      <c r="B47" s="16">
        <v>582672548</v>
      </c>
      <c r="C47">
        <v>322</v>
      </c>
      <c r="D47">
        <v>2178</v>
      </c>
      <c r="E47" s="1">
        <v>0.1288</v>
      </c>
      <c r="F47" s="1">
        <v>0.87119999999999997</v>
      </c>
      <c r="G47">
        <v>101</v>
      </c>
      <c r="H47">
        <v>1</v>
      </c>
      <c r="I47">
        <v>322</v>
      </c>
      <c r="J47" s="20">
        <v>1</v>
      </c>
      <c r="K47">
        <v>5</v>
      </c>
      <c r="L47">
        <v>45</v>
      </c>
      <c r="M47">
        <v>45</v>
      </c>
      <c r="N47">
        <v>45</v>
      </c>
      <c r="O47">
        <v>225</v>
      </c>
      <c r="P47" s="1">
        <v>0.69875799999999999</v>
      </c>
    </row>
    <row r="48" spans="1:16" x14ac:dyDescent="0.25">
      <c r="A48" t="s">
        <v>16</v>
      </c>
      <c r="B48" s="16">
        <v>670236249</v>
      </c>
      <c r="C48">
        <v>735</v>
      </c>
      <c r="D48">
        <v>1765</v>
      </c>
      <c r="E48" s="1">
        <v>0.29399999999999998</v>
      </c>
      <c r="F48" s="1">
        <v>0.70599999999999996</v>
      </c>
      <c r="G48">
        <v>158</v>
      </c>
      <c r="H48">
        <v>1</v>
      </c>
      <c r="I48">
        <v>735</v>
      </c>
      <c r="J48" s="20">
        <v>1</v>
      </c>
      <c r="K48">
        <v>13</v>
      </c>
      <c r="L48">
        <v>44.615385000000003</v>
      </c>
      <c r="M48">
        <v>51</v>
      </c>
      <c r="N48">
        <v>38</v>
      </c>
      <c r="O48">
        <v>580</v>
      </c>
      <c r="P48" s="1">
        <v>0.78911600000000004</v>
      </c>
    </row>
    <row r="49" spans="1:16" x14ac:dyDescent="0.25">
      <c r="A49" t="s">
        <v>16</v>
      </c>
      <c r="B49" s="16">
        <v>1623229239</v>
      </c>
      <c r="C49">
        <v>378</v>
      </c>
      <c r="D49">
        <v>2122</v>
      </c>
      <c r="E49" s="1">
        <v>0.1512</v>
      </c>
      <c r="F49" s="1">
        <v>0.8488</v>
      </c>
      <c r="G49">
        <v>99</v>
      </c>
      <c r="H49">
        <v>1</v>
      </c>
      <c r="I49">
        <v>378</v>
      </c>
      <c r="J49" s="20">
        <v>1</v>
      </c>
      <c r="K49">
        <v>7</v>
      </c>
      <c r="L49">
        <v>39.571429000000002</v>
      </c>
      <c r="M49">
        <v>45</v>
      </c>
      <c r="N49">
        <v>21</v>
      </c>
      <c r="O49">
        <v>277</v>
      </c>
      <c r="P49" s="1">
        <v>0.73280400000000001</v>
      </c>
    </row>
    <row r="50" spans="1:16" x14ac:dyDescent="0.25">
      <c r="A50" t="s">
        <v>16</v>
      </c>
      <c r="B50" s="16">
        <v>408950745</v>
      </c>
      <c r="C50">
        <v>482</v>
      </c>
      <c r="D50">
        <v>2018</v>
      </c>
      <c r="E50" s="1">
        <v>0.1928</v>
      </c>
      <c r="F50" s="1">
        <v>0.80720000000000003</v>
      </c>
      <c r="G50">
        <v>107</v>
      </c>
      <c r="H50">
        <v>1</v>
      </c>
      <c r="I50">
        <v>482</v>
      </c>
      <c r="J50" s="20">
        <v>1</v>
      </c>
      <c r="K50">
        <v>9</v>
      </c>
      <c r="L50">
        <v>39.666666999999997</v>
      </c>
      <c r="M50">
        <v>45</v>
      </c>
      <c r="N50">
        <v>18</v>
      </c>
      <c r="O50">
        <v>357</v>
      </c>
      <c r="P50" s="1">
        <v>0.74066399999999999</v>
      </c>
    </row>
    <row r="51" spans="1:16" x14ac:dyDescent="0.25">
      <c r="A51" t="s">
        <v>16</v>
      </c>
      <c r="B51" s="16">
        <v>1994652750</v>
      </c>
      <c r="C51">
        <v>246</v>
      </c>
      <c r="D51">
        <v>2254</v>
      </c>
      <c r="E51" s="1">
        <v>9.8400000000000001E-2</v>
      </c>
      <c r="F51" s="1">
        <v>0.90159999999999996</v>
      </c>
      <c r="G51">
        <v>53</v>
      </c>
      <c r="H51">
        <v>1</v>
      </c>
      <c r="I51">
        <v>246</v>
      </c>
      <c r="J51" s="20">
        <v>1</v>
      </c>
      <c r="K51">
        <v>4</v>
      </c>
      <c r="L51">
        <v>45</v>
      </c>
      <c r="M51">
        <v>45</v>
      </c>
      <c r="N51">
        <v>45</v>
      </c>
      <c r="O51">
        <v>180</v>
      </c>
      <c r="P51" s="1">
        <v>0.731707</v>
      </c>
    </row>
    <row r="52" spans="1:16" x14ac:dyDescent="0.25">
      <c r="A52" t="s">
        <v>26</v>
      </c>
      <c r="B52"/>
      <c r="C52">
        <f>SUBTOTAL(101,AgCon_room7_corr10[floors])</f>
        <v>542.16</v>
      </c>
      <c r="D52">
        <f>SUBTOTAL(101,AgCon_room7_corr10[walls])</f>
        <v>1957.84</v>
      </c>
      <c r="E52" s="2">
        <f>SUBTOTAL(101,AgCon_room7_corr10[floor_percent])</f>
        <v>0.216864</v>
      </c>
      <c r="F52" s="2">
        <f>SUBTOTAL(101,AgCon_room7_corr10[wall_percent])</f>
        <v>0.78313600000000005</v>
      </c>
      <c r="G52">
        <f>SUBTOTAL(101,AgCon_room7_corr10[longest_shortest_path])</f>
        <v>117.58</v>
      </c>
      <c r="H52">
        <f>SUBTOTAL(101,AgCon_room7_corr10[component_count])</f>
        <v>1</v>
      </c>
      <c r="I52">
        <f>SUBTOTAL(101,AgCon_room7_corr10[max_component_size])</f>
        <v>542.16</v>
      </c>
      <c r="J52" s="20">
        <f>SUBTOTAL(101,AgCon_room7_corr10[connectivity_ratio])</f>
        <v>1</v>
      </c>
      <c r="K52">
        <f>SUBTOTAL(101,AgCon_room7_corr10[room_count])</f>
        <v>9.5399999999999991</v>
      </c>
      <c r="L52">
        <f>SUBTOTAL(101,AgCon_room7_corr10[avg_room_size])</f>
        <v>43.038292440000006</v>
      </c>
      <c r="M52">
        <f>SUBTOTAL(101,AgCon_room7_corr10[max_room_size])</f>
        <v>47.44</v>
      </c>
      <c r="N52">
        <f>SUBTOTAL(101,AgCon_room7_corr10[min_room_size])</f>
        <v>35.08</v>
      </c>
      <c r="O52">
        <f>SUBTOTAL(101,AgCon_room7_corr10[room_tiles])</f>
        <v>406.24</v>
      </c>
      <c r="P52" s="2">
        <f>SUBTOTAL(101,AgCon_room7_corr10[room_ratio])</f>
        <v>0.74486354000000021</v>
      </c>
    </row>
    <row r="53" spans="1:16" x14ac:dyDescent="0.25">
      <c r="A53" s="19" t="s">
        <v>29</v>
      </c>
      <c r="B53" s="19"/>
      <c r="C53" s="19"/>
      <c r="D53" s="19"/>
    </row>
  </sheetData>
  <mergeCells count="1">
    <mergeCell ref="A53:D53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A965-5B24-406E-9DD6-09ADEE7E7BAC}">
  <dimension ref="A1:P53"/>
  <sheetViews>
    <sheetView topLeftCell="A22" workbookViewId="0">
      <selection activeCell="J22" sqref="J1:J1048576"/>
    </sheetView>
  </sheetViews>
  <sheetFormatPr defaultRowHeight="15" x14ac:dyDescent="0.25"/>
  <cols>
    <col min="1" max="1" width="32.28515625" bestFit="1" customWidth="1"/>
    <col min="2" max="2" width="11" style="16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6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6">
        <v>216210544</v>
      </c>
      <c r="C2">
        <v>825</v>
      </c>
      <c r="D2">
        <v>1675</v>
      </c>
      <c r="E2" s="1">
        <v>0.33</v>
      </c>
      <c r="F2" s="1">
        <v>0.67</v>
      </c>
      <c r="G2">
        <v>99</v>
      </c>
      <c r="H2">
        <v>1</v>
      </c>
      <c r="I2">
        <v>825</v>
      </c>
      <c r="J2" s="20">
        <v>1</v>
      </c>
      <c r="K2">
        <v>16</v>
      </c>
      <c r="L2">
        <v>43.6875</v>
      </c>
      <c r="M2">
        <v>45</v>
      </c>
      <c r="N2">
        <v>24</v>
      </c>
      <c r="O2">
        <v>699</v>
      </c>
      <c r="P2" s="1">
        <v>0.84727300000000005</v>
      </c>
    </row>
    <row r="3" spans="1:16" x14ac:dyDescent="0.25">
      <c r="A3" t="s">
        <v>16</v>
      </c>
      <c r="B3" s="16">
        <v>2124608864</v>
      </c>
      <c r="C3">
        <v>65</v>
      </c>
      <c r="D3">
        <v>2435</v>
      </c>
      <c r="E3" s="1">
        <v>2.5999999999999999E-2</v>
      </c>
      <c r="F3" s="1">
        <v>0.97399999999999998</v>
      </c>
      <c r="G3">
        <v>20</v>
      </c>
      <c r="H3">
        <v>1</v>
      </c>
      <c r="I3">
        <v>65</v>
      </c>
      <c r="J3" s="20">
        <v>1</v>
      </c>
      <c r="K3">
        <v>1</v>
      </c>
      <c r="L3">
        <v>45</v>
      </c>
      <c r="M3">
        <v>45</v>
      </c>
      <c r="N3">
        <v>45</v>
      </c>
      <c r="O3">
        <v>45</v>
      </c>
      <c r="P3" s="1">
        <v>0.69230800000000003</v>
      </c>
    </row>
    <row r="4" spans="1:16" x14ac:dyDescent="0.25">
      <c r="A4" t="s">
        <v>16</v>
      </c>
      <c r="B4" s="16">
        <v>337261988</v>
      </c>
      <c r="C4">
        <v>469</v>
      </c>
      <c r="D4">
        <v>2031</v>
      </c>
      <c r="E4" s="1">
        <v>0.18759999999999999</v>
      </c>
      <c r="F4" s="1">
        <v>0.81240000000000001</v>
      </c>
      <c r="G4">
        <v>115</v>
      </c>
      <c r="H4">
        <v>1</v>
      </c>
      <c r="I4">
        <v>469</v>
      </c>
      <c r="J4" s="20">
        <v>1</v>
      </c>
      <c r="K4">
        <v>9</v>
      </c>
      <c r="L4">
        <v>40.333333000000003</v>
      </c>
      <c r="M4">
        <v>45</v>
      </c>
      <c r="N4">
        <v>24</v>
      </c>
      <c r="O4">
        <v>363</v>
      </c>
      <c r="P4" s="1">
        <v>0.77398699999999998</v>
      </c>
    </row>
    <row r="5" spans="1:16" x14ac:dyDescent="0.25">
      <c r="A5" t="s">
        <v>16</v>
      </c>
      <c r="B5" s="16">
        <v>1466504863</v>
      </c>
      <c r="C5">
        <v>448</v>
      </c>
      <c r="D5">
        <v>2052</v>
      </c>
      <c r="E5" s="1">
        <v>0.1792</v>
      </c>
      <c r="F5" s="1">
        <v>0.82079999999999997</v>
      </c>
      <c r="G5">
        <v>88</v>
      </c>
      <c r="H5">
        <v>1</v>
      </c>
      <c r="I5">
        <v>448</v>
      </c>
      <c r="J5" s="20">
        <v>1</v>
      </c>
      <c r="K5">
        <v>8</v>
      </c>
      <c r="L5">
        <v>45</v>
      </c>
      <c r="M5">
        <v>45</v>
      </c>
      <c r="N5">
        <v>45</v>
      </c>
      <c r="O5">
        <v>360</v>
      </c>
      <c r="P5" s="1">
        <v>0.80357100000000004</v>
      </c>
    </row>
    <row r="6" spans="1:16" x14ac:dyDescent="0.25">
      <c r="A6" t="s">
        <v>16</v>
      </c>
      <c r="B6" s="16">
        <v>1681326990</v>
      </c>
      <c r="C6">
        <v>438</v>
      </c>
      <c r="D6">
        <v>2062</v>
      </c>
      <c r="E6" s="1">
        <v>0.17519999999999999</v>
      </c>
      <c r="F6" s="1">
        <v>0.82479999999999998</v>
      </c>
      <c r="G6">
        <v>71</v>
      </c>
      <c r="H6">
        <v>1</v>
      </c>
      <c r="I6">
        <v>438</v>
      </c>
      <c r="J6" s="20">
        <v>1</v>
      </c>
      <c r="K6">
        <v>9</v>
      </c>
      <c r="L6">
        <v>41.888888999999999</v>
      </c>
      <c r="M6">
        <v>45</v>
      </c>
      <c r="N6">
        <v>31</v>
      </c>
      <c r="O6">
        <v>377</v>
      </c>
      <c r="P6" s="1">
        <v>0.86073100000000002</v>
      </c>
    </row>
    <row r="7" spans="1:16" x14ac:dyDescent="0.25">
      <c r="A7" t="s">
        <v>16</v>
      </c>
      <c r="B7" s="16">
        <v>1463957189</v>
      </c>
      <c r="C7">
        <v>347</v>
      </c>
      <c r="D7">
        <v>2153</v>
      </c>
      <c r="E7" s="1">
        <v>0.13880000000000001</v>
      </c>
      <c r="F7" s="1">
        <v>0.86119999999999997</v>
      </c>
      <c r="G7">
        <v>44</v>
      </c>
      <c r="H7">
        <v>1</v>
      </c>
      <c r="I7">
        <v>347</v>
      </c>
      <c r="J7" s="20">
        <v>1</v>
      </c>
      <c r="K7">
        <v>7</v>
      </c>
      <c r="L7">
        <v>43</v>
      </c>
      <c r="M7">
        <v>45</v>
      </c>
      <c r="N7">
        <v>31</v>
      </c>
      <c r="O7">
        <v>301</v>
      </c>
      <c r="P7" s="1">
        <v>0.86743499999999996</v>
      </c>
    </row>
    <row r="8" spans="1:16" x14ac:dyDescent="0.25">
      <c r="A8" t="s">
        <v>16</v>
      </c>
      <c r="B8" s="16">
        <v>1148990582</v>
      </c>
      <c r="C8">
        <v>117</v>
      </c>
      <c r="D8">
        <v>2383</v>
      </c>
      <c r="E8" s="1">
        <v>4.6800000000000001E-2</v>
      </c>
      <c r="F8" s="1">
        <v>0.95320000000000005</v>
      </c>
      <c r="G8">
        <v>27</v>
      </c>
      <c r="H8">
        <v>1</v>
      </c>
      <c r="I8">
        <v>117</v>
      </c>
      <c r="J8" s="20">
        <v>1</v>
      </c>
      <c r="K8">
        <v>2</v>
      </c>
      <c r="L8">
        <v>45</v>
      </c>
      <c r="M8">
        <v>45</v>
      </c>
      <c r="N8">
        <v>45</v>
      </c>
      <c r="O8">
        <v>90</v>
      </c>
      <c r="P8" s="1">
        <v>0.769231</v>
      </c>
    </row>
    <row r="9" spans="1:16" x14ac:dyDescent="0.25">
      <c r="A9" t="s">
        <v>16</v>
      </c>
      <c r="B9" s="16">
        <v>589018021</v>
      </c>
      <c r="C9">
        <v>572</v>
      </c>
      <c r="D9">
        <v>1928</v>
      </c>
      <c r="E9" s="1">
        <v>0.2288</v>
      </c>
      <c r="F9" s="1">
        <v>0.7712</v>
      </c>
      <c r="G9">
        <v>76</v>
      </c>
      <c r="H9">
        <v>1</v>
      </c>
      <c r="I9">
        <v>572</v>
      </c>
      <c r="J9" s="20">
        <v>1</v>
      </c>
      <c r="K9">
        <v>12</v>
      </c>
      <c r="L9">
        <v>40.333333000000003</v>
      </c>
      <c r="M9">
        <v>45</v>
      </c>
      <c r="N9">
        <v>31</v>
      </c>
      <c r="O9">
        <v>484</v>
      </c>
      <c r="P9" s="1">
        <v>0.84615399999999996</v>
      </c>
    </row>
    <row r="10" spans="1:16" x14ac:dyDescent="0.25">
      <c r="A10" t="s">
        <v>16</v>
      </c>
      <c r="B10" s="16">
        <v>440334609</v>
      </c>
      <c r="C10">
        <v>866</v>
      </c>
      <c r="D10">
        <v>1634</v>
      </c>
      <c r="E10" s="1">
        <v>0.34639999999999999</v>
      </c>
      <c r="F10" s="1">
        <v>0.65359999999999996</v>
      </c>
      <c r="G10">
        <v>150</v>
      </c>
      <c r="H10">
        <v>1</v>
      </c>
      <c r="I10">
        <v>866</v>
      </c>
      <c r="J10" s="20">
        <v>1</v>
      </c>
      <c r="K10">
        <v>18</v>
      </c>
      <c r="L10">
        <v>39.277777999999998</v>
      </c>
      <c r="M10">
        <v>45</v>
      </c>
      <c r="N10">
        <v>26</v>
      </c>
      <c r="O10">
        <v>707</v>
      </c>
      <c r="P10" s="1">
        <v>0.81639700000000004</v>
      </c>
    </row>
    <row r="11" spans="1:16" x14ac:dyDescent="0.25">
      <c r="A11" t="s">
        <v>16</v>
      </c>
      <c r="B11" s="16">
        <v>270564803</v>
      </c>
      <c r="C11">
        <v>543</v>
      </c>
      <c r="D11">
        <v>1957</v>
      </c>
      <c r="E11" s="1">
        <v>0.2172</v>
      </c>
      <c r="F11" s="1">
        <v>0.78280000000000005</v>
      </c>
      <c r="G11">
        <v>93</v>
      </c>
      <c r="H11">
        <v>1</v>
      </c>
      <c r="I11">
        <v>543</v>
      </c>
      <c r="J11" s="20">
        <v>1</v>
      </c>
      <c r="K11">
        <v>10</v>
      </c>
      <c r="L11">
        <v>45</v>
      </c>
      <c r="M11">
        <v>45</v>
      </c>
      <c r="N11">
        <v>45</v>
      </c>
      <c r="O11">
        <v>450</v>
      </c>
      <c r="P11" s="1">
        <v>0.82872900000000005</v>
      </c>
    </row>
    <row r="12" spans="1:16" x14ac:dyDescent="0.25">
      <c r="A12" t="s">
        <v>16</v>
      </c>
      <c r="B12" s="16">
        <v>845264614</v>
      </c>
      <c r="C12">
        <v>828</v>
      </c>
      <c r="D12">
        <v>1672</v>
      </c>
      <c r="E12" s="1">
        <v>0.33119999999999999</v>
      </c>
      <c r="F12" s="1">
        <v>0.66879999999999995</v>
      </c>
      <c r="G12">
        <v>116</v>
      </c>
      <c r="H12">
        <v>1</v>
      </c>
      <c r="I12">
        <v>828</v>
      </c>
      <c r="J12" s="20">
        <v>1</v>
      </c>
      <c r="K12">
        <v>16</v>
      </c>
      <c r="L12">
        <v>43.6875</v>
      </c>
      <c r="M12">
        <v>45</v>
      </c>
      <c r="N12">
        <v>24</v>
      </c>
      <c r="O12">
        <v>699</v>
      </c>
      <c r="P12" s="1">
        <v>0.84420300000000004</v>
      </c>
    </row>
    <row r="13" spans="1:16" x14ac:dyDescent="0.25">
      <c r="A13" t="s">
        <v>16</v>
      </c>
      <c r="B13" s="16">
        <v>1699414173</v>
      </c>
      <c r="C13">
        <v>601</v>
      </c>
      <c r="D13">
        <v>1899</v>
      </c>
      <c r="E13" s="1">
        <v>0.2404</v>
      </c>
      <c r="F13" s="1">
        <v>0.75960000000000005</v>
      </c>
      <c r="G13">
        <v>89</v>
      </c>
      <c r="H13">
        <v>1</v>
      </c>
      <c r="I13">
        <v>601</v>
      </c>
      <c r="J13" s="20">
        <v>1</v>
      </c>
      <c r="K13">
        <v>12</v>
      </c>
      <c r="L13">
        <v>42.666666999999997</v>
      </c>
      <c r="M13">
        <v>45</v>
      </c>
      <c r="N13">
        <v>31</v>
      </c>
      <c r="O13">
        <v>512</v>
      </c>
      <c r="P13" s="1">
        <v>0.85191300000000003</v>
      </c>
    </row>
    <row r="14" spans="1:16" x14ac:dyDescent="0.25">
      <c r="A14" t="s">
        <v>16</v>
      </c>
      <c r="B14" s="16">
        <v>2042947004</v>
      </c>
      <c r="C14">
        <v>238</v>
      </c>
      <c r="D14">
        <v>2262</v>
      </c>
      <c r="E14" s="1">
        <v>9.5200000000000007E-2</v>
      </c>
      <c r="F14" s="1">
        <v>0.90480000000000005</v>
      </c>
      <c r="G14">
        <v>65</v>
      </c>
      <c r="H14">
        <v>1</v>
      </c>
      <c r="I14">
        <v>238</v>
      </c>
      <c r="J14" s="20">
        <v>1</v>
      </c>
      <c r="K14">
        <v>4</v>
      </c>
      <c r="L14">
        <v>45</v>
      </c>
      <c r="M14">
        <v>45</v>
      </c>
      <c r="N14">
        <v>45</v>
      </c>
      <c r="O14">
        <v>180</v>
      </c>
      <c r="P14" s="1">
        <v>0.75630299999999995</v>
      </c>
    </row>
    <row r="15" spans="1:16" x14ac:dyDescent="0.25">
      <c r="A15" t="s">
        <v>16</v>
      </c>
      <c r="B15" s="16">
        <v>1353034181</v>
      </c>
      <c r="C15">
        <v>769</v>
      </c>
      <c r="D15">
        <v>1731</v>
      </c>
      <c r="E15" s="1">
        <v>0.30759999999999998</v>
      </c>
      <c r="F15" s="1">
        <v>0.69240000000000002</v>
      </c>
      <c r="G15">
        <v>93</v>
      </c>
      <c r="H15">
        <v>1</v>
      </c>
      <c r="I15">
        <v>769</v>
      </c>
      <c r="J15" s="20">
        <v>1</v>
      </c>
      <c r="K15">
        <v>15</v>
      </c>
      <c r="L15">
        <v>41.333333000000003</v>
      </c>
      <c r="M15">
        <v>46</v>
      </c>
      <c r="N15">
        <v>24</v>
      </c>
      <c r="O15">
        <v>620</v>
      </c>
      <c r="P15" s="1">
        <v>0.80624200000000001</v>
      </c>
    </row>
    <row r="16" spans="1:16" x14ac:dyDescent="0.25">
      <c r="A16" t="s">
        <v>16</v>
      </c>
      <c r="B16" s="16">
        <v>760885129</v>
      </c>
      <c r="C16">
        <v>829</v>
      </c>
      <c r="D16">
        <v>1671</v>
      </c>
      <c r="E16" s="1">
        <v>0.33160000000000001</v>
      </c>
      <c r="F16" s="1">
        <v>0.66839999999999999</v>
      </c>
      <c r="G16">
        <v>133</v>
      </c>
      <c r="H16">
        <v>1</v>
      </c>
      <c r="I16">
        <v>829</v>
      </c>
      <c r="J16" s="20">
        <v>1</v>
      </c>
      <c r="K16">
        <v>17</v>
      </c>
      <c r="L16">
        <v>41.176470999999999</v>
      </c>
      <c r="M16">
        <v>45</v>
      </c>
      <c r="N16">
        <v>24</v>
      </c>
      <c r="O16">
        <v>700</v>
      </c>
      <c r="P16" s="1">
        <v>0.844391</v>
      </c>
    </row>
    <row r="17" spans="1:16" x14ac:dyDescent="0.25">
      <c r="A17" t="s">
        <v>16</v>
      </c>
      <c r="B17" s="16">
        <v>1189413441</v>
      </c>
      <c r="C17">
        <v>124</v>
      </c>
      <c r="D17">
        <v>2376</v>
      </c>
      <c r="E17" s="1">
        <v>4.9599999999999998E-2</v>
      </c>
      <c r="F17" s="1">
        <v>0.95040000000000002</v>
      </c>
      <c r="G17">
        <v>34</v>
      </c>
      <c r="H17">
        <v>1</v>
      </c>
      <c r="I17">
        <v>124</v>
      </c>
      <c r="J17" s="20">
        <v>1</v>
      </c>
      <c r="K17">
        <v>2</v>
      </c>
      <c r="L17">
        <v>45</v>
      </c>
      <c r="M17">
        <v>45</v>
      </c>
      <c r="N17">
        <v>45</v>
      </c>
      <c r="O17">
        <v>90</v>
      </c>
      <c r="P17" s="1">
        <v>0.72580599999999995</v>
      </c>
    </row>
    <row r="18" spans="1:16" x14ac:dyDescent="0.25">
      <c r="A18" t="s">
        <v>16</v>
      </c>
      <c r="B18" s="16">
        <v>321841380</v>
      </c>
      <c r="C18">
        <v>951</v>
      </c>
      <c r="D18">
        <v>1549</v>
      </c>
      <c r="E18" s="1">
        <v>0.38040000000000002</v>
      </c>
      <c r="F18" s="1">
        <v>0.61960000000000004</v>
      </c>
      <c r="G18">
        <v>158</v>
      </c>
      <c r="H18">
        <v>1</v>
      </c>
      <c r="I18">
        <v>951</v>
      </c>
      <c r="J18" s="20">
        <v>1</v>
      </c>
      <c r="K18">
        <v>20</v>
      </c>
      <c r="L18">
        <v>40.299999999999997</v>
      </c>
      <c r="M18">
        <v>45</v>
      </c>
      <c r="N18">
        <v>21</v>
      </c>
      <c r="O18">
        <v>806</v>
      </c>
      <c r="P18" s="1">
        <v>0.84752899999999998</v>
      </c>
    </row>
    <row r="19" spans="1:16" x14ac:dyDescent="0.25">
      <c r="A19" t="s">
        <v>16</v>
      </c>
      <c r="B19" s="16">
        <v>1673399448</v>
      </c>
      <c r="C19">
        <v>74</v>
      </c>
      <c r="D19">
        <v>2426</v>
      </c>
      <c r="E19" s="1">
        <v>2.9600000000000001E-2</v>
      </c>
      <c r="F19" s="1">
        <v>0.97040000000000004</v>
      </c>
      <c r="G19">
        <v>18</v>
      </c>
      <c r="H19">
        <v>1</v>
      </c>
      <c r="I19">
        <v>74</v>
      </c>
      <c r="J19" s="20">
        <v>1</v>
      </c>
      <c r="K19">
        <v>1</v>
      </c>
      <c r="L19">
        <v>46</v>
      </c>
      <c r="M19">
        <v>46</v>
      </c>
      <c r="N19">
        <v>46</v>
      </c>
      <c r="O19">
        <v>46</v>
      </c>
      <c r="P19" s="1">
        <v>0.62162200000000001</v>
      </c>
    </row>
    <row r="20" spans="1:16" x14ac:dyDescent="0.25">
      <c r="A20" t="s">
        <v>16</v>
      </c>
      <c r="B20" s="16">
        <v>714235641</v>
      </c>
      <c r="C20">
        <v>334</v>
      </c>
      <c r="D20">
        <v>2166</v>
      </c>
      <c r="E20" s="1">
        <v>0.1336</v>
      </c>
      <c r="F20" s="1">
        <v>0.86639999999999995</v>
      </c>
      <c r="G20">
        <v>71</v>
      </c>
      <c r="H20">
        <v>1</v>
      </c>
      <c r="I20">
        <v>334</v>
      </c>
      <c r="J20" s="20">
        <v>1</v>
      </c>
      <c r="K20">
        <v>6</v>
      </c>
      <c r="L20">
        <v>45</v>
      </c>
      <c r="M20">
        <v>45</v>
      </c>
      <c r="N20">
        <v>45</v>
      </c>
      <c r="O20">
        <v>270</v>
      </c>
      <c r="P20" s="1">
        <v>0.80838299999999996</v>
      </c>
    </row>
    <row r="21" spans="1:16" x14ac:dyDescent="0.25">
      <c r="A21" t="s">
        <v>16</v>
      </c>
      <c r="B21" s="16">
        <v>1113635811</v>
      </c>
      <c r="C21">
        <v>174</v>
      </c>
      <c r="D21">
        <v>2326</v>
      </c>
      <c r="E21" s="1">
        <v>6.9599999999999995E-2</v>
      </c>
      <c r="F21" s="1">
        <v>0.9304</v>
      </c>
      <c r="G21">
        <v>46</v>
      </c>
      <c r="H21">
        <v>1</v>
      </c>
      <c r="I21">
        <v>174</v>
      </c>
      <c r="J21" s="20">
        <v>1</v>
      </c>
      <c r="K21">
        <v>3</v>
      </c>
      <c r="L21">
        <v>45</v>
      </c>
      <c r="M21">
        <v>45</v>
      </c>
      <c r="N21">
        <v>45</v>
      </c>
      <c r="O21">
        <v>135</v>
      </c>
      <c r="P21" s="1">
        <v>0.77586200000000005</v>
      </c>
    </row>
    <row r="22" spans="1:16" x14ac:dyDescent="0.25">
      <c r="A22" t="s">
        <v>16</v>
      </c>
      <c r="B22" s="16">
        <v>864277540</v>
      </c>
      <c r="C22">
        <v>837</v>
      </c>
      <c r="D22">
        <v>1663</v>
      </c>
      <c r="E22" s="1">
        <v>0.33479999999999999</v>
      </c>
      <c r="F22" s="1">
        <v>0.66520000000000001</v>
      </c>
      <c r="G22">
        <v>174</v>
      </c>
      <c r="H22">
        <v>1</v>
      </c>
      <c r="I22">
        <v>837</v>
      </c>
      <c r="J22" s="20">
        <v>1</v>
      </c>
      <c r="K22">
        <v>17</v>
      </c>
      <c r="L22">
        <v>39.294117999999997</v>
      </c>
      <c r="M22">
        <v>46</v>
      </c>
      <c r="N22">
        <v>31</v>
      </c>
      <c r="O22">
        <v>668</v>
      </c>
      <c r="P22" s="1">
        <v>0.79808800000000002</v>
      </c>
    </row>
    <row r="23" spans="1:16" x14ac:dyDescent="0.25">
      <c r="A23" t="s">
        <v>16</v>
      </c>
      <c r="B23" s="16">
        <v>1395210222</v>
      </c>
      <c r="C23">
        <v>235</v>
      </c>
      <c r="D23">
        <v>2265</v>
      </c>
      <c r="E23" s="1">
        <v>9.4E-2</v>
      </c>
      <c r="F23" s="1">
        <v>0.90600000000000003</v>
      </c>
      <c r="G23">
        <v>56</v>
      </c>
      <c r="H23">
        <v>1</v>
      </c>
      <c r="I23">
        <v>235</v>
      </c>
      <c r="J23" s="20">
        <v>1</v>
      </c>
      <c r="K23">
        <v>4</v>
      </c>
      <c r="L23">
        <v>45</v>
      </c>
      <c r="M23">
        <v>45</v>
      </c>
      <c r="N23">
        <v>45</v>
      </c>
      <c r="O23">
        <v>180</v>
      </c>
      <c r="P23" s="1">
        <v>0.765957</v>
      </c>
    </row>
    <row r="24" spans="1:16" x14ac:dyDescent="0.25">
      <c r="A24" t="s">
        <v>16</v>
      </c>
      <c r="B24" s="16">
        <v>1482574445</v>
      </c>
      <c r="C24">
        <v>176</v>
      </c>
      <c r="D24">
        <v>2324</v>
      </c>
      <c r="E24" s="1">
        <v>7.0400000000000004E-2</v>
      </c>
      <c r="F24" s="1">
        <v>0.92959999999999998</v>
      </c>
      <c r="G24">
        <v>48</v>
      </c>
      <c r="H24">
        <v>1</v>
      </c>
      <c r="I24">
        <v>176</v>
      </c>
      <c r="J24" s="20">
        <v>1</v>
      </c>
      <c r="K24">
        <v>3</v>
      </c>
      <c r="L24">
        <v>45</v>
      </c>
      <c r="M24">
        <v>45</v>
      </c>
      <c r="N24">
        <v>45</v>
      </c>
      <c r="O24">
        <v>135</v>
      </c>
      <c r="P24" s="1">
        <v>0.76704499999999998</v>
      </c>
    </row>
    <row r="25" spans="1:16" x14ac:dyDescent="0.25">
      <c r="A25" t="s">
        <v>16</v>
      </c>
      <c r="B25" s="16">
        <v>249294786</v>
      </c>
      <c r="C25">
        <v>816</v>
      </c>
      <c r="D25">
        <v>1684</v>
      </c>
      <c r="E25" s="1">
        <v>0.32640000000000002</v>
      </c>
      <c r="F25" s="1">
        <v>0.67359999999999998</v>
      </c>
      <c r="G25">
        <v>178</v>
      </c>
      <c r="H25">
        <v>1</v>
      </c>
      <c r="I25">
        <v>816</v>
      </c>
      <c r="J25" s="20">
        <v>1</v>
      </c>
      <c r="K25">
        <v>15</v>
      </c>
      <c r="L25">
        <v>43.2</v>
      </c>
      <c r="M25">
        <v>45</v>
      </c>
      <c r="N25">
        <v>25</v>
      </c>
      <c r="O25">
        <v>648</v>
      </c>
      <c r="P25" s="1">
        <v>0.79411799999999999</v>
      </c>
    </row>
    <row r="26" spans="1:16" x14ac:dyDescent="0.25">
      <c r="A26" t="s">
        <v>16</v>
      </c>
      <c r="B26" s="16">
        <v>615695933</v>
      </c>
      <c r="C26">
        <v>684</v>
      </c>
      <c r="D26">
        <v>1816</v>
      </c>
      <c r="E26" s="1">
        <v>0.27360000000000001</v>
      </c>
      <c r="F26" s="1">
        <v>0.72640000000000005</v>
      </c>
      <c r="G26">
        <v>113</v>
      </c>
      <c r="H26">
        <v>1</v>
      </c>
      <c r="I26">
        <v>684</v>
      </c>
      <c r="J26" s="20">
        <v>1</v>
      </c>
      <c r="K26">
        <v>13</v>
      </c>
      <c r="L26">
        <v>43.923076999999999</v>
      </c>
      <c r="M26">
        <v>45</v>
      </c>
      <c r="N26">
        <v>31</v>
      </c>
      <c r="O26">
        <v>571</v>
      </c>
      <c r="P26" s="1">
        <v>0.83479499999999995</v>
      </c>
    </row>
    <row r="27" spans="1:16" x14ac:dyDescent="0.25">
      <c r="A27" t="s">
        <v>16</v>
      </c>
      <c r="B27" s="16">
        <v>1039227942</v>
      </c>
      <c r="C27">
        <v>542</v>
      </c>
      <c r="D27">
        <v>1958</v>
      </c>
      <c r="E27" s="1">
        <v>0.21679999999999999</v>
      </c>
      <c r="F27" s="1">
        <v>0.78320000000000001</v>
      </c>
      <c r="G27">
        <v>100</v>
      </c>
      <c r="H27">
        <v>1</v>
      </c>
      <c r="I27">
        <v>542</v>
      </c>
      <c r="J27" s="20">
        <v>1</v>
      </c>
      <c r="K27">
        <v>10</v>
      </c>
      <c r="L27">
        <v>45</v>
      </c>
      <c r="M27">
        <v>45</v>
      </c>
      <c r="N27">
        <v>45</v>
      </c>
      <c r="O27">
        <v>450</v>
      </c>
      <c r="P27" s="1">
        <v>0.83025800000000005</v>
      </c>
    </row>
    <row r="28" spans="1:16" x14ac:dyDescent="0.25">
      <c r="A28" t="s">
        <v>16</v>
      </c>
      <c r="B28" s="16">
        <v>1886862219</v>
      </c>
      <c r="C28">
        <v>588</v>
      </c>
      <c r="D28">
        <v>1912</v>
      </c>
      <c r="E28" s="1">
        <v>0.23519999999999999</v>
      </c>
      <c r="F28" s="1">
        <v>0.76480000000000004</v>
      </c>
      <c r="G28">
        <v>115</v>
      </c>
      <c r="H28">
        <v>1</v>
      </c>
      <c r="I28">
        <v>588</v>
      </c>
      <c r="J28" s="20">
        <v>1</v>
      </c>
      <c r="K28">
        <v>11</v>
      </c>
      <c r="L28">
        <v>43.090909000000003</v>
      </c>
      <c r="M28">
        <v>45</v>
      </c>
      <c r="N28">
        <v>38</v>
      </c>
      <c r="O28">
        <v>474</v>
      </c>
      <c r="P28" s="1">
        <v>0.80612200000000001</v>
      </c>
    </row>
    <row r="29" spans="1:16" x14ac:dyDescent="0.25">
      <c r="A29" t="s">
        <v>16</v>
      </c>
      <c r="B29" s="16">
        <v>338495357</v>
      </c>
      <c r="C29">
        <v>221</v>
      </c>
      <c r="D29">
        <v>2279</v>
      </c>
      <c r="E29" s="1">
        <v>8.8400000000000006E-2</v>
      </c>
      <c r="F29" s="1">
        <v>0.91159999999999997</v>
      </c>
      <c r="G29">
        <v>51</v>
      </c>
      <c r="H29">
        <v>1</v>
      </c>
      <c r="I29">
        <v>221</v>
      </c>
      <c r="J29" s="20">
        <v>1</v>
      </c>
      <c r="K29">
        <v>4</v>
      </c>
      <c r="L29">
        <v>45</v>
      </c>
      <c r="M29">
        <v>45</v>
      </c>
      <c r="N29">
        <v>45</v>
      </c>
      <c r="O29">
        <v>180</v>
      </c>
      <c r="P29" s="1">
        <v>0.81447999999999998</v>
      </c>
    </row>
    <row r="30" spans="1:16" x14ac:dyDescent="0.25">
      <c r="A30" t="s">
        <v>16</v>
      </c>
      <c r="B30" s="16">
        <v>1899431957</v>
      </c>
      <c r="C30">
        <v>167</v>
      </c>
      <c r="D30">
        <v>2333</v>
      </c>
      <c r="E30" s="1">
        <v>6.6799999999999998E-2</v>
      </c>
      <c r="F30" s="1">
        <v>0.93320000000000003</v>
      </c>
      <c r="G30">
        <v>39</v>
      </c>
      <c r="H30">
        <v>1</v>
      </c>
      <c r="I30">
        <v>167</v>
      </c>
      <c r="J30" s="20">
        <v>1</v>
      </c>
      <c r="K30">
        <v>3</v>
      </c>
      <c r="L30">
        <v>45</v>
      </c>
      <c r="M30">
        <v>45</v>
      </c>
      <c r="N30">
        <v>45</v>
      </c>
      <c r="O30">
        <v>135</v>
      </c>
      <c r="P30" s="1">
        <v>0.80838299999999996</v>
      </c>
    </row>
    <row r="31" spans="1:16" x14ac:dyDescent="0.25">
      <c r="A31" t="s">
        <v>16</v>
      </c>
      <c r="B31" s="16">
        <v>111000296</v>
      </c>
      <c r="C31">
        <v>115</v>
      </c>
      <c r="D31">
        <v>2385</v>
      </c>
      <c r="E31" s="1">
        <v>4.5999999999999999E-2</v>
      </c>
      <c r="F31" s="1">
        <v>0.95399999999999996</v>
      </c>
      <c r="G31">
        <v>25</v>
      </c>
      <c r="H31">
        <v>1</v>
      </c>
      <c r="I31">
        <v>115</v>
      </c>
      <c r="J31" s="20">
        <v>1</v>
      </c>
      <c r="K31">
        <v>2</v>
      </c>
      <c r="L31">
        <v>45</v>
      </c>
      <c r="M31">
        <v>45</v>
      </c>
      <c r="N31">
        <v>45</v>
      </c>
      <c r="O31">
        <v>90</v>
      </c>
      <c r="P31" s="1">
        <v>0.782609</v>
      </c>
    </row>
    <row r="32" spans="1:16" x14ac:dyDescent="0.25">
      <c r="A32" t="s">
        <v>16</v>
      </c>
      <c r="B32" s="16">
        <v>952555374</v>
      </c>
      <c r="C32">
        <v>516</v>
      </c>
      <c r="D32">
        <v>1984</v>
      </c>
      <c r="E32" s="1">
        <v>0.2064</v>
      </c>
      <c r="F32" s="1">
        <v>0.79359999999999997</v>
      </c>
      <c r="G32">
        <v>70</v>
      </c>
      <c r="H32">
        <v>1</v>
      </c>
      <c r="I32">
        <v>516</v>
      </c>
      <c r="J32" s="20">
        <v>1</v>
      </c>
      <c r="K32">
        <v>12</v>
      </c>
      <c r="L32">
        <v>35.666666999999997</v>
      </c>
      <c r="M32">
        <v>45</v>
      </c>
      <c r="N32">
        <v>24</v>
      </c>
      <c r="O32">
        <v>428</v>
      </c>
      <c r="P32" s="1">
        <v>0.829457</v>
      </c>
    </row>
    <row r="33" spans="1:16" x14ac:dyDescent="0.25">
      <c r="A33" t="s">
        <v>16</v>
      </c>
      <c r="B33" s="16">
        <v>1499703954</v>
      </c>
      <c r="C33">
        <v>529</v>
      </c>
      <c r="D33">
        <v>1971</v>
      </c>
      <c r="E33" s="1">
        <v>0.21160000000000001</v>
      </c>
      <c r="F33" s="1">
        <v>0.78839999999999999</v>
      </c>
      <c r="G33">
        <v>57</v>
      </c>
      <c r="H33">
        <v>1</v>
      </c>
      <c r="I33">
        <v>529</v>
      </c>
      <c r="J33" s="20">
        <v>1</v>
      </c>
      <c r="K33">
        <v>10</v>
      </c>
      <c r="L33">
        <v>42.3</v>
      </c>
      <c r="M33">
        <v>46</v>
      </c>
      <c r="N33">
        <v>31</v>
      </c>
      <c r="O33">
        <v>423</v>
      </c>
      <c r="P33" s="1">
        <v>0.79962200000000005</v>
      </c>
    </row>
    <row r="34" spans="1:16" x14ac:dyDescent="0.25">
      <c r="A34" t="s">
        <v>16</v>
      </c>
      <c r="B34" s="16">
        <v>1555697014</v>
      </c>
      <c r="C34">
        <v>450</v>
      </c>
      <c r="D34">
        <v>2050</v>
      </c>
      <c r="E34" s="1">
        <v>0.18</v>
      </c>
      <c r="F34" s="1">
        <v>0.82</v>
      </c>
      <c r="G34">
        <v>101</v>
      </c>
      <c r="H34">
        <v>1</v>
      </c>
      <c r="I34">
        <v>450</v>
      </c>
      <c r="J34" s="20">
        <v>1</v>
      </c>
      <c r="K34">
        <v>8</v>
      </c>
      <c r="L34">
        <v>43.25</v>
      </c>
      <c r="M34">
        <v>45</v>
      </c>
      <c r="N34">
        <v>38</v>
      </c>
      <c r="O34">
        <v>346</v>
      </c>
      <c r="P34" s="1">
        <v>0.76888900000000004</v>
      </c>
    </row>
    <row r="35" spans="1:16" x14ac:dyDescent="0.25">
      <c r="A35" t="s">
        <v>16</v>
      </c>
      <c r="B35" s="16">
        <v>605985011</v>
      </c>
      <c r="C35">
        <v>535</v>
      </c>
      <c r="D35">
        <v>1965</v>
      </c>
      <c r="E35" s="1">
        <v>0.214</v>
      </c>
      <c r="F35" s="1">
        <v>0.78600000000000003</v>
      </c>
      <c r="G35">
        <v>75</v>
      </c>
      <c r="H35">
        <v>1</v>
      </c>
      <c r="I35">
        <v>535</v>
      </c>
      <c r="J35" s="20">
        <v>1</v>
      </c>
      <c r="K35">
        <v>10</v>
      </c>
      <c r="L35">
        <v>45</v>
      </c>
      <c r="M35">
        <v>45</v>
      </c>
      <c r="N35">
        <v>45</v>
      </c>
      <c r="O35">
        <v>450</v>
      </c>
      <c r="P35" s="1">
        <v>0.84112100000000001</v>
      </c>
    </row>
    <row r="36" spans="1:16" x14ac:dyDescent="0.25">
      <c r="A36" t="s">
        <v>16</v>
      </c>
      <c r="B36" s="16">
        <v>1494022637</v>
      </c>
      <c r="C36">
        <v>451</v>
      </c>
      <c r="D36">
        <v>2049</v>
      </c>
      <c r="E36" s="1">
        <v>0.1804</v>
      </c>
      <c r="F36" s="1">
        <v>0.8196</v>
      </c>
      <c r="G36">
        <v>75</v>
      </c>
      <c r="H36">
        <v>1</v>
      </c>
      <c r="I36">
        <v>451</v>
      </c>
      <c r="J36" s="20">
        <v>1</v>
      </c>
      <c r="K36">
        <v>9</v>
      </c>
      <c r="L36">
        <v>41.888888999999999</v>
      </c>
      <c r="M36">
        <v>45</v>
      </c>
      <c r="N36">
        <v>17</v>
      </c>
      <c r="O36">
        <v>377</v>
      </c>
      <c r="P36" s="1">
        <v>0.83592</v>
      </c>
    </row>
    <row r="37" spans="1:16" x14ac:dyDescent="0.25">
      <c r="A37" t="s">
        <v>16</v>
      </c>
      <c r="B37" s="16">
        <v>669796286</v>
      </c>
      <c r="C37">
        <v>538</v>
      </c>
      <c r="D37">
        <v>1962</v>
      </c>
      <c r="E37" s="1">
        <v>0.2152</v>
      </c>
      <c r="F37" s="1">
        <v>0.78480000000000005</v>
      </c>
      <c r="G37">
        <v>78</v>
      </c>
      <c r="H37">
        <v>1</v>
      </c>
      <c r="I37">
        <v>538</v>
      </c>
      <c r="J37" s="20">
        <v>1</v>
      </c>
      <c r="K37">
        <v>11</v>
      </c>
      <c r="L37">
        <v>41.181818</v>
      </c>
      <c r="M37">
        <v>45</v>
      </c>
      <c r="N37">
        <v>24</v>
      </c>
      <c r="O37">
        <v>453</v>
      </c>
      <c r="P37" s="1">
        <v>0.84200699999999995</v>
      </c>
    </row>
    <row r="38" spans="1:16" x14ac:dyDescent="0.25">
      <c r="A38" t="s">
        <v>16</v>
      </c>
      <c r="B38" s="16">
        <v>944808380</v>
      </c>
      <c r="C38">
        <v>458</v>
      </c>
      <c r="D38">
        <v>2042</v>
      </c>
      <c r="E38" s="1">
        <v>0.1832</v>
      </c>
      <c r="F38" s="1">
        <v>0.81679999999999997</v>
      </c>
      <c r="G38">
        <v>91</v>
      </c>
      <c r="H38">
        <v>1</v>
      </c>
      <c r="I38">
        <v>458</v>
      </c>
      <c r="J38" s="20">
        <v>1</v>
      </c>
      <c r="K38">
        <v>9</v>
      </c>
      <c r="L38">
        <v>39.555556000000003</v>
      </c>
      <c r="M38">
        <v>45</v>
      </c>
      <c r="N38">
        <v>31</v>
      </c>
      <c r="O38">
        <v>356</v>
      </c>
      <c r="P38" s="1">
        <v>0.77729300000000001</v>
      </c>
    </row>
    <row r="39" spans="1:16" x14ac:dyDescent="0.25">
      <c r="A39" t="s">
        <v>16</v>
      </c>
      <c r="B39" s="16">
        <v>1842411060</v>
      </c>
      <c r="C39">
        <v>248</v>
      </c>
      <c r="D39">
        <v>2252</v>
      </c>
      <c r="E39" s="1">
        <v>9.9199999999999997E-2</v>
      </c>
      <c r="F39" s="1">
        <v>0.90080000000000005</v>
      </c>
      <c r="G39">
        <v>43</v>
      </c>
      <c r="H39">
        <v>1</v>
      </c>
      <c r="I39">
        <v>248</v>
      </c>
      <c r="J39" s="20">
        <v>1</v>
      </c>
      <c r="K39">
        <v>4</v>
      </c>
      <c r="L39">
        <v>48</v>
      </c>
      <c r="M39">
        <v>57</v>
      </c>
      <c r="N39">
        <v>45</v>
      </c>
      <c r="O39">
        <v>192</v>
      </c>
      <c r="P39" s="1">
        <v>0.77419400000000005</v>
      </c>
    </row>
    <row r="40" spans="1:16" x14ac:dyDescent="0.25">
      <c r="A40" t="s">
        <v>16</v>
      </c>
      <c r="B40" s="16">
        <v>959759131</v>
      </c>
      <c r="C40">
        <v>443</v>
      </c>
      <c r="D40">
        <v>2057</v>
      </c>
      <c r="E40" s="1">
        <v>0.1772</v>
      </c>
      <c r="F40" s="1">
        <v>0.82279999999999998</v>
      </c>
      <c r="G40">
        <v>55</v>
      </c>
      <c r="H40">
        <v>1</v>
      </c>
      <c r="I40">
        <v>443</v>
      </c>
      <c r="J40" s="20">
        <v>1</v>
      </c>
      <c r="K40">
        <v>8</v>
      </c>
      <c r="L40">
        <v>45.125</v>
      </c>
      <c r="M40">
        <v>46</v>
      </c>
      <c r="N40">
        <v>45</v>
      </c>
      <c r="O40">
        <v>361</v>
      </c>
      <c r="P40" s="1">
        <v>0.81489800000000001</v>
      </c>
    </row>
    <row r="41" spans="1:16" x14ac:dyDescent="0.25">
      <c r="A41" t="s">
        <v>16</v>
      </c>
      <c r="B41" s="16">
        <v>1603534397</v>
      </c>
      <c r="C41">
        <v>635</v>
      </c>
      <c r="D41">
        <v>1865</v>
      </c>
      <c r="E41" s="1">
        <v>0.254</v>
      </c>
      <c r="F41" s="1">
        <v>0.746</v>
      </c>
      <c r="G41">
        <v>112</v>
      </c>
      <c r="H41">
        <v>1</v>
      </c>
      <c r="I41">
        <v>635</v>
      </c>
      <c r="J41" s="20">
        <v>1</v>
      </c>
      <c r="K41">
        <v>12</v>
      </c>
      <c r="L41">
        <v>45</v>
      </c>
      <c r="M41">
        <v>45</v>
      </c>
      <c r="N41">
        <v>45</v>
      </c>
      <c r="O41">
        <v>540</v>
      </c>
      <c r="P41" s="1">
        <v>0.85039399999999998</v>
      </c>
    </row>
    <row r="42" spans="1:16" x14ac:dyDescent="0.25">
      <c r="A42" t="s">
        <v>16</v>
      </c>
      <c r="B42" s="16">
        <v>152607895</v>
      </c>
      <c r="C42">
        <v>221</v>
      </c>
      <c r="D42">
        <v>2279</v>
      </c>
      <c r="E42" s="1">
        <v>8.8400000000000006E-2</v>
      </c>
      <c r="F42" s="1">
        <v>0.91159999999999997</v>
      </c>
      <c r="G42">
        <v>47</v>
      </c>
      <c r="H42">
        <v>1</v>
      </c>
      <c r="I42">
        <v>221</v>
      </c>
      <c r="J42" s="20">
        <v>1</v>
      </c>
      <c r="K42">
        <v>4</v>
      </c>
      <c r="L42">
        <v>45</v>
      </c>
      <c r="M42">
        <v>45</v>
      </c>
      <c r="N42">
        <v>45</v>
      </c>
      <c r="O42">
        <v>180</v>
      </c>
      <c r="P42" s="1">
        <v>0.81447999999999998</v>
      </c>
    </row>
    <row r="43" spans="1:16" x14ac:dyDescent="0.25">
      <c r="A43" t="s">
        <v>16</v>
      </c>
      <c r="B43" s="16">
        <v>989524428</v>
      </c>
      <c r="C43">
        <v>470</v>
      </c>
      <c r="D43">
        <v>2030</v>
      </c>
      <c r="E43" s="1">
        <v>0.188</v>
      </c>
      <c r="F43" s="1">
        <v>0.81200000000000006</v>
      </c>
      <c r="G43">
        <v>55</v>
      </c>
      <c r="H43">
        <v>1</v>
      </c>
      <c r="I43">
        <v>470</v>
      </c>
      <c r="J43" s="20">
        <v>1</v>
      </c>
      <c r="K43">
        <v>9</v>
      </c>
      <c r="L43">
        <v>45</v>
      </c>
      <c r="M43">
        <v>45</v>
      </c>
      <c r="N43">
        <v>45</v>
      </c>
      <c r="O43">
        <v>405</v>
      </c>
      <c r="P43" s="1">
        <v>0.86170199999999997</v>
      </c>
    </row>
    <row r="44" spans="1:16" x14ac:dyDescent="0.25">
      <c r="A44" t="s">
        <v>16</v>
      </c>
      <c r="B44" s="16">
        <v>736135603</v>
      </c>
      <c r="C44">
        <v>468</v>
      </c>
      <c r="D44">
        <v>2032</v>
      </c>
      <c r="E44" s="1">
        <v>0.18720000000000001</v>
      </c>
      <c r="F44" s="1">
        <v>0.81279999999999997</v>
      </c>
      <c r="G44">
        <v>82</v>
      </c>
      <c r="H44">
        <v>1</v>
      </c>
      <c r="I44">
        <v>468</v>
      </c>
      <c r="J44" s="20">
        <v>1</v>
      </c>
      <c r="K44">
        <v>9</v>
      </c>
      <c r="L44">
        <v>41.888888999999999</v>
      </c>
      <c r="M44">
        <v>45</v>
      </c>
      <c r="N44">
        <v>31</v>
      </c>
      <c r="O44">
        <v>377</v>
      </c>
      <c r="P44" s="1">
        <v>0.80555600000000005</v>
      </c>
    </row>
    <row r="45" spans="1:16" x14ac:dyDescent="0.25">
      <c r="A45" t="s">
        <v>16</v>
      </c>
      <c r="B45" s="16">
        <v>570171630</v>
      </c>
      <c r="C45">
        <v>378</v>
      </c>
      <c r="D45">
        <v>2122</v>
      </c>
      <c r="E45" s="1">
        <v>0.1512</v>
      </c>
      <c r="F45" s="1">
        <v>0.8488</v>
      </c>
      <c r="G45">
        <v>62</v>
      </c>
      <c r="H45">
        <v>1</v>
      </c>
      <c r="I45">
        <v>378</v>
      </c>
      <c r="J45" s="20">
        <v>1</v>
      </c>
      <c r="K45">
        <v>7</v>
      </c>
      <c r="L45">
        <v>45</v>
      </c>
      <c r="M45">
        <v>45</v>
      </c>
      <c r="N45">
        <v>45</v>
      </c>
      <c r="O45">
        <v>315</v>
      </c>
      <c r="P45" s="1">
        <v>0.83333299999999999</v>
      </c>
    </row>
    <row r="46" spans="1:16" x14ac:dyDescent="0.25">
      <c r="A46" t="s">
        <v>16</v>
      </c>
      <c r="B46" s="16">
        <v>988799343</v>
      </c>
      <c r="C46">
        <v>762</v>
      </c>
      <c r="D46">
        <v>1738</v>
      </c>
      <c r="E46" s="1">
        <v>0.30480000000000002</v>
      </c>
      <c r="F46" s="1">
        <v>0.69520000000000004</v>
      </c>
      <c r="G46">
        <v>127</v>
      </c>
      <c r="H46">
        <v>1</v>
      </c>
      <c r="I46">
        <v>762</v>
      </c>
      <c r="J46" s="20">
        <v>1</v>
      </c>
      <c r="K46">
        <v>14</v>
      </c>
      <c r="L46">
        <v>45</v>
      </c>
      <c r="M46">
        <v>45</v>
      </c>
      <c r="N46">
        <v>45</v>
      </c>
      <c r="O46">
        <v>630</v>
      </c>
      <c r="P46" s="1">
        <v>0.82677199999999995</v>
      </c>
    </row>
    <row r="47" spans="1:16" x14ac:dyDescent="0.25">
      <c r="A47" t="s">
        <v>16</v>
      </c>
      <c r="B47" s="16">
        <v>470864496</v>
      </c>
      <c r="C47">
        <v>578</v>
      </c>
      <c r="D47">
        <v>1922</v>
      </c>
      <c r="E47" s="1">
        <v>0.23119999999999999</v>
      </c>
      <c r="F47" s="1">
        <v>0.76880000000000004</v>
      </c>
      <c r="G47">
        <v>137</v>
      </c>
      <c r="H47">
        <v>1</v>
      </c>
      <c r="I47">
        <v>578</v>
      </c>
      <c r="J47" s="20">
        <v>1</v>
      </c>
      <c r="K47">
        <v>10</v>
      </c>
      <c r="L47">
        <v>42.2</v>
      </c>
      <c r="M47">
        <v>45</v>
      </c>
      <c r="N47">
        <v>24</v>
      </c>
      <c r="O47">
        <v>422</v>
      </c>
      <c r="P47" s="1">
        <v>0.73010399999999998</v>
      </c>
    </row>
    <row r="48" spans="1:16" x14ac:dyDescent="0.25">
      <c r="A48" t="s">
        <v>16</v>
      </c>
      <c r="B48" s="16">
        <v>1464481574</v>
      </c>
      <c r="C48">
        <v>699</v>
      </c>
      <c r="D48">
        <v>1801</v>
      </c>
      <c r="E48" s="1">
        <v>0.27960000000000002</v>
      </c>
      <c r="F48" s="1">
        <v>0.72040000000000004</v>
      </c>
      <c r="G48">
        <v>133</v>
      </c>
      <c r="H48">
        <v>1</v>
      </c>
      <c r="I48">
        <v>699</v>
      </c>
      <c r="J48" s="20">
        <v>1</v>
      </c>
      <c r="K48">
        <v>13</v>
      </c>
      <c r="L48">
        <v>43.923076999999999</v>
      </c>
      <c r="M48">
        <v>45</v>
      </c>
      <c r="N48">
        <v>38</v>
      </c>
      <c r="O48">
        <v>571</v>
      </c>
      <c r="P48" s="1">
        <v>0.81688099999999997</v>
      </c>
    </row>
    <row r="49" spans="1:16" x14ac:dyDescent="0.25">
      <c r="A49" t="s">
        <v>16</v>
      </c>
      <c r="B49" s="16">
        <v>193719538</v>
      </c>
      <c r="C49">
        <v>750</v>
      </c>
      <c r="D49">
        <v>1750</v>
      </c>
      <c r="E49" s="1">
        <v>0.3</v>
      </c>
      <c r="F49" s="1">
        <v>0.7</v>
      </c>
      <c r="G49">
        <v>126</v>
      </c>
      <c r="H49">
        <v>1</v>
      </c>
      <c r="I49">
        <v>750</v>
      </c>
      <c r="J49" s="20">
        <v>1</v>
      </c>
      <c r="K49">
        <v>17</v>
      </c>
      <c r="L49">
        <v>36.294117999999997</v>
      </c>
      <c r="M49">
        <v>45</v>
      </c>
      <c r="N49">
        <v>20</v>
      </c>
      <c r="O49">
        <v>617</v>
      </c>
      <c r="P49" s="1">
        <v>0.82266700000000004</v>
      </c>
    </row>
    <row r="50" spans="1:16" x14ac:dyDescent="0.25">
      <c r="A50" t="s">
        <v>16</v>
      </c>
      <c r="B50" s="16">
        <v>11870153</v>
      </c>
      <c r="C50">
        <v>383</v>
      </c>
      <c r="D50">
        <v>2117</v>
      </c>
      <c r="E50" s="1">
        <v>0.1532</v>
      </c>
      <c r="F50" s="1">
        <v>0.8468</v>
      </c>
      <c r="G50">
        <v>60</v>
      </c>
      <c r="H50">
        <v>1</v>
      </c>
      <c r="I50">
        <v>383</v>
      </c>
      <c r="J50" s="20">
        <v>1</v>
      </c>
      <c r="K50">
        <v>7</v>
      </c>
      <c r="L50">
        <v>45</v>
      </c>
      <c r="M50">
        <v>45</v>
      </c>
      <c r="N50">
        <v>45</v>
      </c>
      <c r="O50">
        <v>315</v>
      </c>
      <c r="P50" s="1">
        <v>0.82245400000000002</v>
      </c>
    </row>
    <row r="51" spans="1:16" x14ac:dyDescent="0.25">
      <c r="A51" t="s">
        <v>16</v>
      </c>
      <c r="B51" s="16">
        <v>1096138121</v>
      </c>
      <c r="C51">
        <v>879</v>
      </c>
      <c r="D51">
        <v>1621</v>
      </c>
      <c r="E51" s="1">
        <v>0.35160000000000002</v>
      </c>
      <c r="F51" s="1">
        <v>0.64839999999999998</v>
      </c>
      <c r="G51">
        <v>135</v>
      </c>
      <c r="H51">
        <v>1</v>
      </c>
      <c r="I51">
        <v>879</v>
      </c>
      <c r="J51" s="20">
        <v>1</v>
      </c>
      <c r="K51">
        <v>17</v>
      </c>
      <c r="L51">
        <v>42.117646999999998</v>
      </c>
      <c r="M51">
        <v>45</v>
      </c>
      <c r="N51">
        <v>24</v>
      </c>
      <c r="O51">
        <v>716</v>
      </c>
      <c r="P51" s="1">
        <v>0.81456200000000001</v>
      </c>
    </row>
    <row r="52" spans="1:16" x14ac:dyDescent="0.25">
      <c r="A52" t="s">
        <v>26</v>
      </c>
      <c r="B52"/>
      <c r="C52">
        <f>SUBTOTAL(101,AgCon_room7_corr7[floors])</f>
        <v>487.68</v>
      </c>
      <c r="D52">
        <f>SUBTOTAL(101,AgCon_room7_corr7[walls])</f>
        <v>2012.32</v>
      </c>
      <c r="E52" s="2">
        <f>SUBTOTAL(101,AgCon_room7_corr7[floor_percent])</f>
        <v>0.19507200000000002</v>
      </c>
      <c r="F52" s="2">
        <f>SUBTOTAL(101,AgCon_room7_corr7[wall_percent])</f>
        <v>0.8049280000000002</v>
      </c>
      <c r="G52">
        <f>SUBTOTAL(101,AgCon_room7_corr7[longest_shortest_path])</f>
        <v>84.52</v>
      </c>
      <c r="H52">
        <f>SUBTOTAL(101,AgCon_room7_corr7[component_count])</f>
        <v>1</v>
      </c>
      <c r="I52">
        <f>SUBTOTAL(101,AgCon_room7_corr7[max_component_size])</f>
        <v>487.68</v>
      </c>
      <c r="J52" s="20">
        <f>SUBTOTAL(101,AgCon_room7_corr7[connectivity_ratio])</f>
        <v>1</v>
      </c>
      <c r="K52">
        <f>SUBTOTAL(101,AgCon_room7_corr7[room_count])</f>
        <v>9.4</v>
      </c>
      <c r="L52">
        <f>SUBTOTAL(101,AgCon_room7_corr7[avg_room_size])</f>
        <v>43.231691380000001</v>
      </c>
      <c r="M52">
        <f>SUBTOTAL(101,AgCon_room7_corr7[max_room_size])</f>
        <v>45.34</v>
      </c>
      <c r="N52">
        <f>SUBTOTAL(101,AgCon_room7_corr7[min_room_size])</f>
        <v>35.979999999999997</v>
      </c>
      <c r="O52">
        <f>SUBTOTAL(101,AgCon_room7_corr7[room_tiles])</f>
        <v>398.78</v>
      </c>
      <c r="P52" s="2">
        <f>SUBTOTAL(101,AgCon_room7_corr7[room_ratio])</f>
        <v>0.80544462000000039</v>
      </c>
    </row>
    <row r="53" spans="1:16" x14ac:dyDescent="0.25">
      <c r="A53" s="19" t="s">
        <v>30</v>
      </c>
      <c r="B53" s="19"/>
      <c r="C53" s="19"/>
      <c r="D53" s="19"/>
    </row>
  </sheetData>
  <mergeCells count="1">
    <mergeCell ref="A53:D53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A1FE-D978-41A5-A8BE-E1F02945E2D6}">
  <dimension ref="A1:P53"/>
  <sheetViews>
    <sheetView topLeftCell="A25" workbookViewId="0">
      <selection activeCell="J25" sqref="J1:J1048576"/>
    </sheetView>
  </sheetViews>
  <sheetFormatPr defaultRowHeight="15" x14ac:dyDescent="0.25"/>
  <cols>
    <col min="1" max="1" width="32.28515625" bestFit="1" customWidth="1"/>
    <col min="2" max="2" width="11" style="16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6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6">
        <v>1158267879</v>
      </c>
      <c r="C2">
        <v>155</v>
      </c>
      <c r="D2">
        <v>2345</v>
      </c>
      <c r="E2" s="1">
        <v>6.2E-2</v>
      </c>
      <c r="F2" s="1">
        <v>0.93799999999999994</v>
      </c>
      <c r="G2">
        <v>24</v>
      </c>
      <c r="H2">
        <v>1</v>
      </c>
      <c r="I2">
        <v>155</v>
      </c>
      <c r="J2" s="20">
        <v>1</v>
      </c>
      <c r="K2">
        <v>4</v>
      </c>
      <c r="L2">
        <v>33.25</v>
      </c>
      <c r="M2">
        <v>45</v>
      </c>
      <c r="N2">
        <v>26</v>
      </c>
      <c r="O2">
        <v>133</v>
      </c>
      <c r="P2" s="1">
        <v>0.85806499999999997</v>
      </c>
    </row>
    <row r="3" spans="1:16" x14ac:dyDescent="0.25">
      <c r="A3" t="s">
        <v>16</v>
      </c>
      <c r="B3" s="16">
        <v>1031380491</v>
      </c>
      <c r="C3">
        <v>130</v>
      </c>
      <c r="D3">
        <v>2370</v>
      </c>
      <c r="E3" s="1">
        <v>5.1999999999999998E-2</v>
      </c>
      <c r="F3" s="1">
        <v>0.94799999999999995</v>
      </c>
      <c r="G3">
        <v>18</v>
      </c>
      <c r="H3">
        <v>1</v>
      </c>
      <c r="I3">
        <v>130</v>
      </c>
      <c r="J3" s="20">
        <v>1</v>
      </c>
      <c r="K3">
        <v>3</v>
      </c>
      <c r="L3">
        <v>38</v>
      </c>
      <c r="M3">
        <v>45</v>
      </c>
      <c r="N3">
        <v>31</v>
      </c>
      <c r="O3">
        <v>114</v>
      </c>
      <c r="P3" s="1">
        <v>0.87692300000000001</v>
      </c>
    </row>
    <row r="4" spans="1:16" x14ac:dyDescent="0.25">
      <c r="A4" t="s">
        <v>16</v>
      </c>
      <c r="B4" s="16">
        <v>163317630</v>
      </c>
      <c r="C4">
        <v>95</v>
      </c>
      <c r="D4">
        <v>2405</v>
      </c>
      <c r="E4" s="1">
        <v>3.7999999999999999E-2</v>
      </c>
      <c r="F4" s="1">
        <v>0.96199999999999997</v>
      </c>
      <c r="G4">
        <v>19</v>
      </c>
      <c r="H4">
        <v>1</v>
      </c>
      <c r="I4">
        <v>95</v>
      </c>
      <c r="J4" s="20">
        <v>1</v>
      </c>
      <c r="K4">
        <v>2</v>
      </c>
      <c r="L4">
        <v>38</v>
      </c>
      <c r="M4">
        <v>45</v>
      </c>
      <c r="N4">
        <v>31</v>
      </c>
      <c r="O4">
        <v>76</v>
      </c>
      <c r="P4" s="1">
        <v>0.8</v>
      </c>
    </row>
    <row r="5" spans="1:16" x14ac:dyDescent="0.25">
      <c r="A5" t="s">
        <v>16</v>
      </c>
      <c r="B5" s="16">
        <v>1140053110</v>
      </c>
      <c r="C5">
        <v>257</v>
      </c>
      <c r="D5">
        <v>2243</v>
      </c>
      <c r="E5" s="1">
        <v>0.1028</v>
      </c>
      <c r="F5" s="1">
        <v>0.8972</v>
      </c>
      <c r="G5">
        <v>34</v>
      </c>
      <c r="H5">
        <v>1</v>
      </c>
      <c r="I5">
        <v>257</v>
      </c>
      <c r="J5" s="20">
        <v>1</v>
      </c>
      <c r="K5">
        <v>6</v>
      </c>
      <c r="L5">
        <v>35.666666999999997</v>
      </c>
      <c r="M5">
        <v>45</v>
      </c>
      <c r="N5">
        <v>31</v>
      </c>
      <c r="O5">
        <v>214</v>
      </c>
      <c r="P5" s="1">
        <v>0.83268500000000001</v>
      </c>
    </row>
    <row r="6" spans="1:16" x14ac:dyDescent="0.25">
      <c r="A6" t="s">
        <v>16</v>
      </c>
      <c r="B6" s="16">
        <v>679773916</v>
      </c>
      <c r="C6">
        <v>325</v>
      </c>
      <c r="D6">
        <v>2175</v>
      </c>
      <c r="E6" s="1">
        <v>0.13</v>
      </c>
      <c r="F6" s="1">
        <v>0.87</v>
      </c>
      <c r="G6">
        <v>56</v>
      </c>
      <c r="H6">
        <v>1</v>
      </c>
      <c r="I6">
        <v>325</v>
      </c>
      <c r="J6" s="20">
        <v>1</v>
      </c>
      <c r="K6">
        <v>10</v>
      </c>
      <c r="L6">
        <v>26.6</v>
      </c>
      <c r="M6">
        <v>45</v>
      </c>
      <c r="N6">
        <v>16</v>
      </c>
      <c r="O6">
        <v>266</v>
      </c>
      <c r="P6" s="1">
        <v>0.81846200000000002</v>
      </c>
    </row>
    <row r="7" spans="1:16" x14ac:dyDescent="0.25">
      <c r="A7" t="s">
        <v>16</v>
      </c>
      <c r="B7" s="16">
        <v>1823157170</v>
      </c>
      <c r="C7">
        <v>438</v>
      </c>
      <c r="D7">
        <v>2062</v>
      </c>
      <c r="E7" s="1">
        <v>0.17519999999999999</v>
      </c>
      <c r="F7" s="1">
        <v>0.82479999999999998</v>
      </c>
      <c r="G7">
        <v>62</v>
      </c>
      <c r="H7">
        <v>1</v>
      </c>
      <c r="I7">
        <v>438</v>
      </c>
      <c r="J7" s="20">
        <v>1</v>
      </c>
      <c r="K7">
        <v>11</v>
      </c>
      <c r="L7">
        <v>34</v>
      </c>
      <c r="M7">
        <v>38</v>
      </c>
      <c r="N7">
        <v>21</v>
      </c>
      <c r="O7">
        <v>374</v>
      </c>
      <c r="P7" s="1">
        <v>0.853881</v>
      </c>
    </row>
    <row r="8" spans="1:16" x14ac:dyDescent="0.25">
      <c r="A8" t="s">
        <v>16</v>
      </c>
      <c r="B8" s="16">
        <v>1323538885</v>
      </c>
      <c r="C8">
        <v>137</v>
      </c>
      <c r="D8">
        <v>2363</v>
      </c>
      <c r="E8" s="1">
        <v>5.4800000000000001E-2</v>
      </c>
      <c r="F8" s="1">
        <v>0.94520000000000004</v>
      </c>
      <c r="G8">
        <v>22</v>
      </c>
      <c r="H8">
        <v>1</v>
      </c>
      <c r="I8">
        <v>137</v>
      </c>
      <c r="J8" s="20">
        <v>1</v>
      </c>
      <c r="K8">
        <v>3</v>
      </c>
      <c r="L8">
        <v>40.333333000000003</v>
      </c>
      <c r="M8">
        <v>45</v>
      </c>
      <c r="N8">
        <v>38</v>
      </c>
      <c r="O8">
        <v>121</v>
      </c>
      <c r="P8" s="1">
        <v>0.883212</v>
      </c>
    </row>
    <row r="9" spans="1:16" x14ac:dyDescent="0.25">
      <c r="A9" t="s">
        <v>16</v>
      </c>
      <c r="B9" s="16">
        <v>1217930518</v>
      </c>
      <c r="C9">
        <v>153</v>
      </c>
      <c r="D9">
        <v>2347</v>
      </c>
      <c r="E9" s="1">
        <v>6.1199999999999997E-2</v>
      </c>
      <c r="F9" s="1">
        <v>0.93879999999999997</v>
      </c>
      <c r="G9">
        <v>25</v>
      </c>
      <c r="H9">
        <v>1</v>
      </c>
      <c r="I9">
        <v>153</v>
      </c>
      <c r="J9" s="20">
        <v>1</v>
      </c>
      <c r="K9">
        <v>4</v>
      </c>
      <c r="L9">
        <v>31.5</v>
      </c>
      <c r="M9">
        <v>38</v>
      </c>
      <c r="N9">
        <v>26</v>
      </c>
      <c r="O9">
        <v>126</v>
      </c>
      <c r="P9" s="1">
        <v>0.82352899999999996</v>
      </c>
    </row>
    <row r="10" spans="1:16" x14ac:dyDescent="0.25">
      <c r="A10" t="s">
        <v>16</v>
      </c>
      <c r="B10" s="16">
        <v>254784045</v>
      </c>
      <c r="C10">
        <v>253</v>
      </c>
      <c r="D10">
        <v>2247</v>
      </c>
      <c r="E10" s="1">
        <v>0.1012</v>
      </c>
      <c r="F10" s="1">
        <v>0.89880000000000004</v>
      </c>
      <c r="G10">
        <v>40</v>
      </c>
      <c r="H10">
        <v>1</v>
      </c>
      <c r="I10">
        <v>253</v>
      </c>
      <c r="J10" s="20">
        <v>1</v>
      </c>
      <c r="K10">
        <v>6</v>
      </c>
      <c r="L10">
        <v>35.666666999999997</v>
      </c>
      <c r="M10">
        <v>45</v>
      </c>
      <c r="N10">
        <v>31</v>
      </c>
      <c r="O10">
        <v>214</v>
      </c>
      <c r="P10" s="1">
        <v>0.84584999999999999</v>
      </c>
    </row>
    <row r="11" spans="1:16" x14ac:dyDescent="0.25">
      <c r="A11" t="s">
        <v>16</v>
      </c>
      <c r="B11" s="16">
        <v>1442549872</v>
      </c>
      <c r="C11">
        <v>42</v>
      </c>
      <c r="D11">
        <v>2458</v>
      </c>
      <c r="E11" s="1">
        <v>1.6799999999999999E-2</v>
      </c>
      <c r="F11" s="1">
        <v>0.98319999999999996</v>
      </c>
      <c r="G11">
        <v>6</v>
      </c>
      <c r="H11">
        <v>1</v>
      </c>
      <c r="I11">
        <v>42</v>
      </c>
      <c r="J11" s="20">
        <v>1</v>
      </c>
      <c r="K11">
        <v>1</v>
      </c>
      <c r="L11">
        <v>38</v>
      </c>
      <c r="M11">
        <v>38</v>
      </c>
      <c r="N11">
        <v>38</v>
      </c>
      <c r="O11">
        <v>38</v>
      </c>
      <c r="P11" s="1">
        <v>0.90476199999999996</v>
      </c>
    </row>
    <row r="12" spans="1:16" x14ac:dyDescent="0.25">
      <c r="A12" t="s">
        <v>16</v>
      </c>
      <c r="B12" s="16">
        <v>1920765211</v>
      </c>
      <c r="C12">
        <v>42</v>
      </c>
      <c r="D12">
        <v>2458</v>
      </c>
      <c r="E12" s="1">
        <v>1.6799999999999999E-2</v>
      </c>
      <c r="F12" s="1">
        <v>0.98319999999999996</v>
      </c>
      <c r="G12">
        <v>6</v>
      </c>
      <c r="H12">
        <v>1</v>
      </c>
      <c r="I12">
        <v>42</v>
      </c>
      <c r="J12" s="20">
        <v>1</v>
      </c>
      <c r="K12">
        <v>1</v>
      </c>
      <c r="L12">
        <v>38</v>
      </c>
      <c r="M12">
        <v>38</v>
      </c>
      <c r="N12">
        <v>38</v>
      </c>
      <c r="O12">
        <v>38</v>
      </c>
      <c r="P12" s="1">
        <v>0.90476199999999996</v>
      </c>
    </row>
    <row r="13" spans="1:16" x14ac:dyDescent="0.25">
      <c r="A13" t="s">
        <v>16</v>
      </c>
      <c r="B13" s="16">
        <v>936403400</v>
      </c>
      <c r="C13">
        <v>414</v>
      </c>
      <c r="D13">
        <v>2086</v>
      </c>
      <c r="E13" s="1">
        <v>0.1656</v>
      </c>
      <c r="F13" s="1">
        <v>0.83440000000000003</v>
      </c>
      <c r="G13">
        <v>67</v>
      </c>
      <c r="H13">
        <v>1</v>
      </c>
      <c r="I13">
        <v>414</v>
      </c>
      <c r="J13" s="20">
        <v>1</v>
      </c>
      <c r="K13">
        <v>11</v>
      </c>
      <c r="L13">
        <v>31.818182</v>
      </c>
      <c r="M13">
        <v>45</v>
      </c>
      <c r="N13">
        <v>16</v>
      </c>
      <c r="O13">
        <v>350</v>
      </c>
      <c r="P13" s="1">
        <v>0.84541100000000002</v>
      </c>
    </row>
    <row r="14" spans="1:16" x14ac:dyDescent="0.25">
      <c r="A14" t="s">
        <v>16</v>
      </c>
      <c r="B14" s="16">
        <v>1071875533</v>
      </c>
      <c r="C14">
        <v>49</v>
      </c>
      <c r="D14">
        <v>2451</v>
      </c>
      <c r="E14" s="1">
        <v>1.9599999999999999E-2</v>
      </c>
      <c r="F14" s="1">
        <v>0.98040000000000005</v>
      </c>
      <c r="G14">
        <v>6</v>
      </c>
      <c r="H14">
        <v>1</v>
      </c>
      <c r="I14">
        <v>49</v>
      </c>
      <c r="J14" s="20">
        <v>1</v>
      </c>
      <c r="K14">
        <v>1</v>
      </c>
      <c r="L14">
        <v>45</v>
      </c>
      <c r="M14">
        <v>45</v>
      </c>
      <c r="N14">
        <v>45</v>
      </c>
      <c r="O14">
        <v>45</v>
      </c>
      <c r="P14" s="1">
        <v>0.91836700000000004</v>
      </c>
    </row>
    <row r="15" spans="1:16" x14ac:dyDescent="0.25">
      <c r="A15" t="s">
        <v>16</v>
      </c>
      <c r="B15" s="16">
        <v>117706503</v>
      </c>
      <c r="C15">
        <v>289</v>
      </c>
      <c r="D15">
        <v>2211</v>
      </c>
      <c r="E15" s="1">
        <v>0.11559999999999999</v>
      </c>
      <c r="F15" s="1">
        <v>0.88439999999999996</v>
      </c>
      <c r="G15">
        <v>40</v>
      </c>
      <c r="H15">
        <v>1</v>
      </c>
      <c r="I15">
        <v>289</v>
      </c>
      <c r="J15" s="20">
        <v>1</v>
      </c>
      <c r="K15">
        <v>7</v>
      </c>
      <c r="L15">
        <v>35.571429000000002</v>
      </c>
      <c r="M15">
        <v>45</v>
      </c>
      <c r="N15">
        <v>21</v>
      </c>
      <c r="O15">
        <v>249</v>
      </c>
      <c r="P15" s="1">
        <v>0.86159200000000002</v>
      </c>
    </row>
    <row r="16" spans="1:16" x14ac:dyDescent="0.25">
      <c r="A16" t="s">
        <v>16</v>
      </c>
      <c r="B16" s="16">
        <v>1018202121</v>
      </c>
      <c r="C16">
        <v>361</v>
      </c>
      <c r="D16">
        <v>2139</v>
      </c>
      <c r="E16" s="1">
        <v>0.1444</v>
      </c>
      <c r="F16" s="1">
        <v>0.85560000000000003</v>
      </c>
      <c r="G16">
        <v>40</v>
      </c>
      <c r="H16">
        <v>1</v>
      </c>
      <c r="I16">
        <v>361</v>
      </c>
      <c r="J16" s="20">
        <v>1</v>
      </c>
      <c r="K16">
        <v>9</v>
      </c>
      <c r="L16">
        <v>34.333333000000003</v>
      </c>
      <c r="M16">
        <v>45</v>
      </c>
      <c r="N16">
        <v>26</v>
      </c>
      <c r="O16">
        <v>309</v>
      </c>
      <c r="P16" s="1">
        <v>0.85595600000000005</v>
      </c>
    </row>
    <row r="17" spans="1:16" x14ac:dyDescent="0.25">
      <c r="A17" t="s">
        <v>16</v>
      </c>
      <c r="B17" s="16">
        <v>604333439</v>
      </c>
      <c r="C17">
        <v>216</v>
      </c>
      <c r="D17">
        <v>2284</v>
      </c>
      <c r="E17" s="1">
        <v>8.6400000000000005E-2</v>
      </c>
      <c r="F17" s="1">
        <v>0.91359999999999997</v>
      </c>
      <c r="G17">
        <v>37</v>
      </c>
      <c r="H17">
        <v>1</v>
      </c>
      <c r="I17">
        <v>216</v>
      </c>
      <c r="J17" s="20">
        <v>1</v>
      </c>
      <c r="K17">
        <v>5</v>
      </c>
      <c r="L17">
        <v>36.6</v>
      </c>
      <c r="M17">
        <v>45</v>
      </c>
      <c r="N17">
        <v>24</v>
      </c>
      <c r="O17">
        <v>183</v>
      </c>
      <c r="P17" s="1">
        <v>0.84722200000000003</v>
      </c>
    </row>
    <row r="18" spans="1:16" x14ac:dyDescent="0.25">
      <c r="A18" t="s">
        <v>16</v>
      </c>
      <c r="B18" s="16">
        <v>375125457</v>
      </c>
      <c r="C18">
        <v>214</v>
      </c>
      <c r="D18">
        <v>2286</v>
      </c>
      <c r="E18" s="1">
        <v>8.5599999999999996E-2</v>
      </c>
      <c r="F18" s="1">
        <v>0.91439999999999999</v>
      </c>
      <c r="G18">
        <v>43</v>
      </c>
      <c r="H18">
        <v>1</v>
      </c>
      <c r="I18">
        <v>214</v>
      </c>
      <c r="J18" s="20">
        <v>1</v>
      </c>
      <c r="K18">
        <v>6</v>
      </c>
      <c r="L18">
        <v>30</v>
      </c>
      <c r="M18">
        <v>38</v>
      </c>
      <c r="N18">
        <v>26</v>
      </c>
      <c r="O18">
        <v>180</v>
      </c>
      <c r="P18" s="1">
        <v>0.84112100000000001</v>
      </c>
    </row>
    <row r="19" spans="1:16" x14ac:dyDescent="0.25">
      <c r="A19" t="s">
        <v>16</v>
      </c>
      <c r="B19" s="16">
        <v>665228870</v>
      </c>
      <c r="C19">
        <v>54</v>
      </c>
      <c r="D19">
        <v>2446</v>
      </c>
      <c r="E19" s="1">
        <v>2.1600000000000001E-2</v>
      </c>
      <c r="F19" s="1">
        <v>0.97840000000000005</v>
      </c>
      <c r="G19">
        <v>11</v>
      </c>
      <c r="H19">
        <v>1</v>
      </c>
      <c r="I19">
        <v>54</v>
      </c>
      <c r="J19" s="20">
        <v>1</v>
      </c>
      <c r="K19">
        <v>1</v>
      </c>
      <c r="L19">
        <v>45</v>
      </c>
      <c r="M19">
        <v>45</v>
      </c>
      <c r="N19">
        <v>45</v>
      </c>
      <c r="O19">
        <v>45</v>
      </c>
      <c r="P19" s="1">
        <v>0.83333299999999999</v>
      </c>
    </row>
    <row r="20" spans="1:16" x14ac:dyDescent="0.25">
      <c r="A20" t="s">
        <v>16</v>
      </c>
      <c r="B20" s="16">
        <v>1915120793</v>
      </c>
      <c r="C20">
        <v>283</v>
      </c>
      <c r="D20">
        <v>2217</v>
      </c>
      <c r="E20" s="1">
        <v>0.1132</v>
      </c>
      <c r="F20" s="1">
        <v>0.88680000000000003</v>
      </c>
      <c r="G20">
        <v>50</v>
      </c>
      <c r="H20">
        <v>1</v>
      </c>
      <c r="I20">
        <v>283</v>
      </c>
      <c r="J20" s="20">
        <v>1</v>
      </c>
      <c r="K20">
        <v>7</v>
      </c>
      <c r="L20">
        <v>34</v>
      </c>
      <c r="M20">
        <v>45</v>
      </c>
      <c r="N20">
        <v>31</v>
      </c>
      <c r="O20">
        <v>238</v>
      </c>
      <c r="P20" s="1">
        <v>0.84098899999999999</v>
      </c>
    </row>
    <row r="21" spans="1:16" x14ac:dyDescent="0.25">
      <c r="A21" t="s">
        <v>16</v>
      </c>
      <c r="B21" s="16">
        <v>260268741</v>
      </c>
      <c r="C21">
        <v>294</v>
      </c>
      <c r="D21">
        <v>2206</v>
      </c>
      <c r="E21" s="1">
        <v>0.1176</v>
      </c>
      <c r="F21" s="1">
        <v>0.88239999999999996</v>
      </c>
      <c r="G21">
        <v>36</v>
      </c>
      <c r="H21">
        <v>1</v>
      </c>
      <c r="I21">
        <v>294</v>
      </c>
      <c r="J21" s="20">
        <v>1</v>
      </c>
      <c r="K21">
        <v>7</v>
      </c>
      <c r="L21">
        <v>36.285713999999999</v>
      </c>
      <c r="M21">
        <v>45</v>
      </c>
      <c r="N21">
        <v>26</v>
      </c>
      <c r="O21">
        <v>254</v>
      </c>
      <c r="P21" s="1">
        <v>0.86394599999999999</v>
      </c>
    </row>
    <row r="22" spans="1:16" x14ac:dyDescent="0.25">
      <c r="A22" t="s">
        <v>16</v>
      </c>
      <c r="B22" s="16">
        <v>1252408029</v>
      </c>
      <c r="C22">
        <v>174</v>
      </c>
      <c r="D22">
        <v>2326</v>
      </c>
      <c r="E22" s="1">
        <v>6.9599999999999995E-2</v>
      </c>
      <c r="F22" s="1">
        <v>0.9304</v>
      </c>
      <c r="G22">
        <v>29</v>
      </c>
      <c r="H22">
        <v>1</v>
      </c>
      <c r="I22">
        <v>174</v>
      </c>
      <c r="J22" s="20">
        <v>1</v>
      </c>
      <c r="K22">
        <v>4</v>
      </c>
      <c r="L22">
        <v>38</v>
      </c>
      <c r="M22">
        <v>45</v>
      </c>
      <c r="N22">
        <v>31</v>
      </c>
      <c r="O22">
        <v>152</v>
      </c>
      <c r="P22" s="1">
        <v>0.87356299999999998</v>
      </c>
    </row>
    <row r="23" spans="1:16" x14ac:dyDescent="0.25">
      <c r="A23" t="s">
        <v>16</v>
      </c>
      <c r="B23" s="16">
        <v>1770398075</v>
      </c>
      <c r="C23">
        <v>451</v>
      </c>
      <c r="D23">
        <v>2049</v>
      </c>
      <c r="E23" s="1">
        <v>0.1804</v>
      </c>
      <c r="F23" s="1">
        <v>0.8196</v>
      </c>
      <c r="G23">
        <v>61</v>
      </c>
      <c r="H23">
        <v>1</v>
      </c>
      <c r="I23">
        <v>451</v>
      </c>
      <c r="J23" s="20">
        <v>1</v>
      </c>
      <c r="K23">
        <v>11</v>
      </c>
      <c r="L23">
        <v>34.727272999999997</v>
      </c>
      <c r="M23">
        <v>45</v>
      </c>
      <c r="N23">
        <v>26</v>
      </c>
      <c r="O23">
        <v>382</v>
      </c>
      <c r="P23" s="1">
        <v>0.84700699999999995</v>
      </c>
    </row>
    <row r="24" spans="1:16" x14ac:dyDescent="0.25">
      <c r="A24" t="s">
        <v>16</v>
      </c>
      <c r="B24" s="16">
        <v>645263905</v>
      </c>
      <c r="C24">
        <v>98</v>
      </c>
      <c r="D24">
        <v>2402</v>
      </c>
      <c r="E24" s="1">
        <v>3.9199999999999999E-2</v>
      </c>
      <c r="F24" s="1">
        <v>0.96079999999999999</v>
      </c>
      <c r="G24">
        <v>16</v>
      </c>
      <c r="H24">
        <v>1</v>
      </c>
      <c r="I24">
        <v>98</v>
      </c>
      <c r="J24" s="20">
        <v>1</v>
      </c>
      <c r="K24">
        <v>2</v>
      </c>
      <c r="L24">
        <v>41.5</v>
      </c>
      <c r="M24">
        <v>45</v>
      </c>
      <c r="N24">
        <v>38</v>
      </c>
      <c r="O24">
        <v>83</v>
      </c>
      <c r="P24" s="1">
        <v>0.846939</v>
      </c>
    </row>
    <row r="25" spans="1:16" x14ac:dyDescent="0.25">
      <c r="A25" t="s">
        <v>16</v>
      </c>
      <c r="B25" s="16">
        <v>411789633</v>
      </c>
      <c r="C25">
        <v>426</v>
      </c>
      <c r="D25">
        <v>2074</v>
      </c>
      <c r="E25" s="1">
        <v>0.1704</v>
      </c>
      <c r="F25" s="1">
        <v>0.8296</v>
      </c>
      <c r="G25">
        <v>58</v>
      </c>
      <c r="H25">
        <v>1</v>
      </c>
      <c r="I25">
        <v>426</v>
      </c>
      <c r="J25" s="20">
        <v>1</v>
      </c>
      <c r="K25">
        <v>10</v>
      </c>
      <c r="L25">
        <v>35.9</v>
      </c>
      <c r="M25">
        <v>45</v>
      </c>
      <c r="N25">
        <v>31</v>
      </c>
      <c r="O25">
        <v>359</v>
      </c>
      <c r="P25" s="1">
        <v>0.842723</v>
      </c>
    </row>
    <row r="26" spans="1:16" x14ac:dyDescent="0.25">
      <c r="A26" t="s">
        <v>16</v>
      </c>
      <c r="B26" s="16">
        <v>1441255388</v>
      </c>
      <c r="C26">
        <v>49</v>
      </c>
      <c r="D26">
        <v>2451</v>
      </c>
      <c r="E26" s="1">
        <v>1.9599999999999999E-2</v>
      </c>
      <c r="F26" s="1">
        <v>0.98040000000000005</v>
      </c>
      <c r="G26">
        <v>6</v>
      </c>
      <c r="H26">
        <v>1</v>
      </c>
      <c r="I26">
        <v>49</v>
      </c>
      <c r="J26" s="20">
        <v>1</v>
      </c>
      <c r="K26">
        <v>1</v>
      </c>
      <c r="L26">
        <v>45</v>
      </c>
      <c r="M26">
        <v>45</v>
      </c>
      <c r="N26">
        <v>45</v>
      </c>
      <c r="O26">
        <v>45</v>
      </c>
      <c r="P26" s="1">
        <v>0.91836700000000004</v>
      </c>
    </row>
    <row r="27" spans="1:16" x14ac:dyDescent="0.25">
      <c r="A27" t="s">
        <v>16</v>
      </c>
      <c r="B27" s="16">
        <v>1642573657</v>
      </c>
      <c r="C27">
        <v>264</v>
      </c>
      <c r="D27">
        <v>2236</v>
      </c>
      <c r="E27" s="1">
        <v>0.1056</v>
      </c>
      <c r="F27" s="1">
        <v>0.89439999999999997</v>
      </c>
      <c r="G27">
        <v>46</v>
      </c>
      <c r="H27">
        <v>1</v>
      </c>
      <c r="I27">
        <v>264</v>
      </c>
      <c r="J27" s="20">
        <v>1</v>
      </c>
      <c r="K27">
        <v>8</v>
      </c>
      <c r="L27">
        <v>27.25</v>
      </c>
      <c r="M27">
        <v>45</v>
      </c>
      <c r="N27">
        <v>16</v>
      </c>
      <c r="O27">
        <v>218</v>
      </c>
      <c r="P27" s="1">
        <v>0.82575799999999999</v>
      </c>
    </row>
    <row r="28" spans="1:16" x14ac:dyDescent="0.25">
      <c r="A28" t="s">
        <v>16</v>
      </c>
      <c r="B28" s="16">
        <v>1551851722</v>
      </c>
      <c r="C28">
        <v>127</v>
      </c>
      <c r="D28">
        <v>2373</v>
      </c>
      <c r="E28" s="1">
        <v>5.0799999999999998E-2</v>
      </c>
      <c r="F28" s="1">
        <v>0.94920000000000004</v>
      </c>
      <c r="G28">
        <v>21</v>
      </c>
      <c r="H28">
        <v>1</v>
      </c>
      <c r="I28">
        <v>127</v>
      </c>
      <c r="J28" s="20">
        <v>1</v>
      </c>
      <c r="K28">
        <v>4</v>
      </c>
      <c r="L28">
        <v>26.25</v>
      </c>
      <c r="M28">
        <v>45</v>
      </c>
      <c r="N28">
        <v>16</v>
      </c>
      <c r="O28">
        <v>105</v>
      </c>
      <c r="P28" s="1">
        <v>0.82677199999999995</v>
      </c>
    </row>
    <row r="29" spans="1:16" x14ac:dyDescent="0.25">
      <c r="A29" t="s">
        <v>16</v>
      </c>
      <c r="B29" s="16">
        <v>1792859230</v>
      </c>
      <c r="C29">
        <v>418</v>
      </c>
      <c r="D29">
        <v>2082</v>
      </c>
      <c r="E29" s="1">
        <v>0.16719999999999999</v>
      </c>
      <c r="F29" s="1">
        <v>0.83279999999999998</v>
      </c>
      <c r="G29">
        <v>43</v>
      </c>
      <c r="H29">
        <v>1</v>
      </c>
      <c r="I29">
        <v>418</v>
      </c>
      <c r="J29" s="20">
        <v>1</v>
      </c>
      <c r="K29">
        <v>10</v>
      </c>
      <c r="L29">
        <v>35.5</v>
      </c>
      <c r="M29">
        <v>45</v>
      </c>
      <c r="N29">
        <v>26</v>
      </c>
      <c r="O29">
        <v>355</v>
      </c>
      <c r="P29" s="1">
        <v>0.84928199999999998</v>
      </c>
    </row>
    <row r="30" spans="1:16" x14ac:dyDescent="0.25">
      <c r="A30" t="s">
        <v>16</v>
      </c>
      <c r="B30" s="16">
        <v>1052274907</v>
      </c>
      <c r="C30">
        <v>303</v>
      </c>
      <c r="D30">
        <v>2197</v>
      </c>
      <c r="E30" s="1">
        <v>0.1212</v>
      </c>
      <c r="F30" s="1">
        <v>0.87880000000000003</v>
      </c>
      <c r="G30">
        <v>45</v>
      </c>
      <c r="H30">
        <v>1</v>
      </c>
      <c r="I30">
        <v>303</v>
      </c>
      <c r="J30" s="20">
        <v>1</v>
      </c>
      <c r="K30">
        <v>8</v>
      </c>
      <c r="L30">
        <v>32.125</v>
      </c>
      <c r="M30">
        <v>38</v>
      </c>
      <c r="N30">
        <v>21</v>
      </c>
      <c r="O30">
        <v>257</v>
      </c>
      <c r="P30" s="1">
        <v>0.84818499999999997</v>
      </c>
    </row>
    <row r="31" spans="1:16" x14ac:dyDescent="0.25">
      <c r="A31" t="s">
        <v>16</v>
      </c>
      <c r="B31" s="16">
        <v>636492682</v>
      </c>
      <c r="C31">
        <v>128</v>
      </c>
      <c r="D31">
        <v>2372</v>
      </c>
      <c r="E31" s="1">
        <v>5.1200000000000002E-2</v>
      </c>
      <c r="F31" s="1">
        <v>0.94879999999999998</v>
      </c>
      <c r="G31">
        <v>23</v>
      </c>
      <c r="H31">
        <v>1</v>
      </c>
      <c r="I31">
        <v>128</v>
      </c>
      <c r="J31" s="20">
        <v>1</v>
      </c>
      <c r="K31">
        <v>3</v>
      </c>
      <c r="L31">
        <v>35.666666999999997</v>
      </c>
      <c r="M31">
        <v>45</v>
      </c>
      <c r="N31">
        <v>31</v>
      </c>
      <c r="O31">
        <v>107</v>
      </c>
      <c r="P31" s="1">
        <v>0.83593799999999996</v>
      </c>
    </row>
    <row r="32" spans="1:16" x14ac:dyDescent="0.25">
      <c r="A32" t="s">
        <v>16</v>
      </c>
      <c r="B32" s="16">
        <v>2070147712</v>
      </c>
      <c r="C32">
        <v>181</v>
      </c>
      <c r="D32">
        <v>2319</v>
      </c>
      <c r="E32" s="1">
        <v>7.2400000000000006E-2</v>
      </c>
      <c r="F32" s="1">
        <v>0.92759999999999998</v>
      </c>
      <c r="G32">
        <v>27</v>
      </c>
      <c r="H32">
        <v>1</v>
      </c>
      <c r="I32">
        <v>181</v>
      </c>
      <c r="J32" s="20">
        <v>1</v>
      </c>
      <c r="K32">
        <v>4</v>
      </c>
      <c r="L32">
        <v>39.75</v>
      </c>
      <c r="M32">
        <v>45</v>
      </c>
      <c r="N32">
        <v>38</v>
      </c>
      <c r="O32">
        <v>159</v>
      </c>
      <c r="P32" s="1">
        <v>0.87845300000000004</v>
      </c>
    </row>
    <row r="33" spans="1:16" x14ac:dyDescent="0.25">
      <c r="A33" t="s">
        <v>16</v>
      </c>
      <c r="B33" s="16">
        <v>2056623619</v>
      </c>
      <c r="C33">
        <v>206</v>
      </c>
      <c r="D33">
        <v>2294</v>
      </c>
      <c r="E33" s="1">
        <v>8.2400000000000001E-2</v>
      </c>
      <c r="F33" s="1">
        <v>0.91759999999999997</v>
      </c>
      <c r="G33">
        <v>25</v>
      </c>
      <c r="H33">
        <v>1</v>
      </c>
      <c r="I33">
        <v>206</v>
      </c>
      <c r="J33" s="20">
        <v>1</v>
      </c>
      <c r="K33">
        <v>5</v>
      </c>
      <c r="L33">
        <v>35.6</v>
      </c>
      <c r="M33">
        <v>45</v>
      </c>
      <c r="N33">
        <v>26</v>
      </c>
      <c r="O33">
        <v>178</v>
      </c>
      <c r="P33" s="1">
        <v>0.86407800000000001</v>
      </c>
    </row>
    <row r="34" spans="1:16" x14ac:dyDescent="0.25">
      <c r="A34" t="s">
        <v>16</v>
      </c>
      <c r="B34" s="16">
        <v>20091816</v>
      </c>
      <c r="C34">
        <v>237</v>
      </c>
      <c r="D34">
        <v>2263</v>
      </c>
      <c r="E34" s="1">
        <v>9.4799999999999995E-2</v>
      </c>
      <c r="F34" s="1">
        <v>0.9052</v>
      </c>
      <c r="G34">
        <v>31</v>
      </c>
      <c r="H34">
        <v>1</v>
      </c>
      <c r="I34">
        <v>237</v>
      </c>
      <c r="J34" s="20">
        <v>1</v>
      </c>
      <c r="K34">
        <v>6</v>
      </c>
      <c r="L34">
        <v>33.833333000000003</v>
      </c>
      <c r="M34">
        <v>45</v>
      </c>
      <c r="N34">
        <v>26</v>
      </c>
      <c r="O34">
        <v>203</v>
      </c>
      <c r="P34" s="1">
        <v>0.85653999999999997</v>
      </c>
    </row>
    <row r="35" spans="1:16" x14ac:dyDescent="0.25">
      <c r="A35" t="s">
        <v>16</v>
      </c>
      <c r="B35" s="16">
        <v>1843093853</v>
      </c>
      <c r="C35">
        <v>392</v>
      </c>
      <c r="D35">
        <v>2108</v>
      </c>
      <c r="E35" s="1">
        <v>0.15679999999999999</v>
      </c>
      <c r="F35" s="1">
        <v>0.84319999999999995</v>
      </c>
      <c r="G35">
        <v>51</v>
      </c>
      <c r="H35">
        <v>1</v>
      </c>
      <c r="I35">
        <v>392</v>
      </c>
      <c r="J35" s="20">
        <v>1</v>
      </c>
      <c r="K35">
        <v>10</v>
      </c>
      <c r="L35">
        <v>32.5</v>
      </c>
      <c r="M35">
        <v>45</v>
      </c>
      <c r="N35">
        <v>21</v>
      </c>
      <c r="O35">
        <v>325</v>
      </c>
      <c r="P35" s="1">
        <v>0.82908199999999999</v>
      </c>
    </row>
    <row r="36" spans="1:16" x14ac:dyDescent="0.25">
      <c r="A36" t="s">
        <v>16</v>
      </c>
      <c r="B36" s="16">
        <v>1068606812</v>
      </c>
      <c r="C36">
        <v>247</v>
      </c>
      <c r="D36">
        <v>2253</v>
      </c>
      <c r="E36" s="1">
        <v>9.8799999999999999E-2</v>
      </c>
      <c r="F36" s="1">
        <v>0.9012</v>
      </c>
      <c r="G36">
        <v>35</v>
      </c>
      <c r="H36">
        <v>1</v>
      </c>
      <c r="I36">
        <v>247</v>
      </c>
      <c r="J36" s="20">
        <v>1</v>
      </c>
      <c r="K36">
        <v>6</v>
      </c>
      <c r="L36">
        <v>34</v>
      </c>
      <c r="M36">
        <v>45</v>
      </c>
      <c r="N36">
        <v>21</v>
      </c>
      <c r="O36">
        <v>204</v>
      </c>
      <c r="P36" s="1">
        <v>0.82591099999999995</v>
      </c>
    </row>
    <row r="37" spans="1:16" x14ac:dyDescent="0.25">
      <c r="A37" t="s">
        <v>16</v>
      </c>
      <c r="B37" s="16">
        <v>1692908069</v>
      </c>
      <c r="C37">
        <v>67</v>
      </c>
      <c r="D37">
        <v>2433</v>
      </c>
      <c r="E37" s="1">
        <v>2.6800000000000001E-2</v>
      </c>
      <c r="F37" s="1">
        <v>0.97319999999999995</v>
      </c>
      <c r="G37">
        <v>14</v>
      </c>
      <c r="H37">
        <v>1</v>
      </c>
      <c r="I37">
        <v>67</v>
      </c>
      <c r="J37" s="20">
        <v>1</v>
      </c>
      <c r="K37">
        <v>2</v>
      </c>
      <c r="L37">
        <v>28.5</v>
      </c>
      <c r="M37">
        <v>31</v>
      </c>
      <c r="N37">
        <v>26</v>
      </c>
      <c r="O37">
        <v>57</v>
      </c>
      <c r="P37" s="1">
        <v>0.850746</v>
      </c>
    </row>
    <row r="38" spans="1:16" x14ac:dyDescent="0.25">
      <c r="A38" t="s">
        <v>16</v>
      </c>
      <c r="B38" s="16">
        <v>327439253</v>
      </c>
      <c r="C38">
        <v>282</v>
      </c>
      <c r="D38">
        <v>2218</v>
      </c>
      <c r="E38" s="1">
        <v>0.1128</v>
      </c>
      <c r="F38" s="1">
        <v>0.88719999999999999</v>
      </c>
      <c r="G38">
        <v>39</v>
      </c>
      <c r="H38">
        <v>1</v>
      </c>
      <c r="I38">
        <v>282</v>
      </c>
      <c r="J38" s="20">
        <v>1</v>
      </c>
      <c r="K38">
        <v>7</v>
      </c>
      <c r="L38">
        <v>34.571429000000002</v>
      </c>
      <c r="M38">
        <v>45</v>
      </c>
      <c r="N38">
        <v>21</v>
      </c>
      <c r="O38">
        <v>242</v>
      </c>
      <c r="P38" s="1">
        <v>0.85815600000000003</v>
      </c>
    </row>
    <row r="39" spans="1:16" x14ac:dyDescent="0.25">
      <c r="A39" t="s">
        <v>16</v>
      </c>
      <c r="B39" s="16">
        <v>731267716</v>
      </c>
      <c r="C39">
        <v>155</v>
      </c>
      <c r="D39">
        <v>2345</v>
      </c>
      <c r="E39" s="1">
        <v>6.2E-2</v>
      </c>
      <c r="F39" s="1">
        <v>0.93799999999999994</v>
      </c>
      <c r="G39">
        <v>24</v>
      </c>
      <c r="H39">
        <v>1</v>
      </c>
      <c r="I39">
        <v>155</v>
      </c>
      <c r="J39" s="20">
        <v>1</v>
      </c>
      <c r="K39">
        <v>4</v>
      </c>
      <c r="L39">
        <v>33.25</v>
      </c>
      <c r="M39">
        <v>45</v>
      </c>
      <c r="N39">
        <v>26</v>
      </c>
      <c r="O39">
        <v>133</v>
      </c>
      <c r="P39" s="1">
        <v>0.85806499999999997</v>
      </c>
    </row>
    <row r="40" spans="1:16" x14ac:dyDescent="0.25">
      <c r="A40" t="s">
        <v>16</v>
      </c>
      <c r="B40" s="16">
        <v>1419340253</v>
      </c>
      <c r="C40">
        <v>201</v>
      </c>
      <c r="D40">
        <v>2299</v>
      </c>
      <c r="E40" s="1">
        <v>8.0399999999999999E-2</v>
      </c>
      <c r="F40" s="1">
        <v>0.91959999999999997</v>
      </c>
      <c r="G40">
        <v>26</v>
      </c>
      <c r="H40">
        <v>1</v>
      </c>
      <c r="I40">
        <v>201</v>
      </c>
      <c r="J40" s="20">
        <v>1</v>
      </c>
      <c r="K40">
        <v>5</v>
      </c>
      <c r="L40">
        <v>34.6</v>
      </c>
      <c r="M40">
        <v>45</v>
      </c>
      <c r="N40">
        <v>21</v>
      </c>
      <c r="O40">
        <v>173</v>
      </c>
      <c r="P40" s="1">
        <v>0.86069700000000005</v>
      </c>
    </row>
    <row r="41" spans="1:16" x14ac:dyDescent="0.25">
      <c r="A41" t="s">
        <v>16</v>
      </c>
      <c r="B41" s="16">
        <v>1801542895</v>
      </c>
      <c r="C41">
        <v>247</v>
      </c>
      <c r="D41">
        <v>2253</v>
      </c>
      <c r="E41" s="1">
        <v>9.8799999999999999E-2</v>
      </c>
      <c r="F41" s="1">
        <v>0.9012</v>
      </c>
      <c r="G41">
        <v>37</v>
      </c>
      <c r="H41">
        <v>1</v>
      </c>
      <c r="I41">
        <v>247</v>
      </c>
      <c r="J41" s="20">
        <v>1</v>
      </c>
      <c r="K41">
        <v>6</v>
      </c>
      <c r="L41">
        <v>34</v>
      </c>
      <c r="M41">
        <v>45</v>
      </c>
      <c r="N41">
        <v>21</v>
      </c>
      <c r="O41">
        <v>204</v>
      </c>
      <c r="P41" s="1">
        <v>0.82591099999999995</v>
      </c>
    </row>
    <row r="42" spans="1:16" x14ac:dyDescent="0.25">
      <c r="A42" t="s">
        <v>16</v>
      </c>
      <c r="B42" s="16">
        <v>626156810</v>
      </c>
      <c r="C42">
        <v>194</v>
      </c>
      <c r="D42">
        <v>2306</v>
      </c>
      <c r="E42" s="1">
        <v>7.7600000000000002E-2</v>
      </c>
      <c r="F42" s="1">
        <v>0.9224</v>
      </c>
      <c r="G42">
        <v>41</v>
      </c>
      <c r="H42">
        <v>1</v>
      </c>
      <c r="I42">
        <v>194</v>
      </c>
      <c r="J42" s="20">
        <v>1</v>
      </c>
      <c r="K42">
        <v>4</v>
      </c>
      <c r="L42">
        <v>39</v>
      </c>
      <c r="M42">
        <v>49</v>
      </c>
      <c r="N42">
        <v>31</v>
      </c>
      <c r="O42">
        <v>156</v>
      </c>
      <c r="P42" s="1">
        <v>0.80412399999999995</v>
      </c>
    </row>
    <row r="43" spans="1:16" x14ac:dyDescent="0.25">
      <c r="A43" t="s">
        <v>16</v>
      </c>
      <c r="B43" s="16">
        <v>1814751191</v>
      </c>
      <c r="C43">
        <v>102</v>
      </c>
      <c r="D43">
        <v>2398</v>
      </c>
      <c r="E43" s="1">
        <v>4.0800000000000003E-2</v>
      </c>
      <c r="F43" s="1">
        <v>0.95920000000000005</v>
      </c>
      <c r="G43">
        <v>19</v>
      </c>
      <c r="H43">
        <v>1</v>
      </c>
      <c r="I43">
        <v>102</v>
      </c>
      <c r="J43" s="20">
        <v>1</v>
      </c>
      <c r="K43">
        <v>2</v>
      </c>
      <c r="L43">
        <v>41.5</v>
      </c>
      <c r="M43">
        <v>45</v>
      </c>
      <c r="N43">
        <v>38</v>
      </c>
      <c r="O43">
        <v>83</v>
      </c>
      <c r="P43" s="1">
        <v>0.81372500000000003</v>
      </c>
    </row>
    <row r="44" spans="1:16" x14ac:dyDescent="0.25">
      <c r="A44" t="s">
        <v>16</v>
      </c>
      <c r="B44" s="16">
        <v>1649506529</v>
      </c>
      <c r="C44">
        <v>204</v>
      </c>
      <c r="D44">
        <v>2296</v>
      </c>
      <c r="E44" s="1">
        <v>8.1600000000000006E-2</v>
      </c>
      <c r="F44" s="1">
        <v>0.91839999999999999</v>
      </c>
      <c r="G44">
        <v>32</v>
      </c>
      <c r="H44">
        <v>1</v>
      </c>
      <c r="I44">
        <v>204</v>
      </c>
      <c r="J44" s="20">
        <v>1</v>
      </c>
      <c r="K44">
        <v>5</v>
      </c>
      <c r="L44">
        <v>35.200000000000003</v>
      </c>
      <c r="M44">
        <v>45</v>
      </c>
      <c r="N44">
        <v>31</v>
      </c>
      <c r="O44">
        <v>176</v>
      </c>
      <c r="P44" s="1">
        <v>0.86274499999999998</v>
      </c>
    </row>
    <row r="45" spans="1:16" x14ac:dyDescent="0.25">
      <c r="A45" t="s">
        <v>16</v>
      </c>
      <c r="B45" s="16">
        <v>1671009831</v>
      </c>
      <c r="C45">
        <v>91</v>
      </c>
      <c r="D45">
        <v>2409</v>
      </c>
      <c r="E45" s="1">
        <v>3.6400000000000002E-2</v>
      </c>
      <c r="F45" s="1">
        <v>0.96360000000000001</v>
      </c>
      <c r="G45">
        <v>18</v>
      </c>
      <c r="H45">
        <v>1</v>
      </c>
      <c r="I45">
        <v>91</v>
      </c>
      <c r="J45" s="20">
        <v>1</v>
      </c>
      <c r="K45">
        <v>2</v>
      </c>
      <c r="L45">
        <v>38</v>
      </c>
      <c r="M45">
        <v>45</v>
      </c>
      <c r="N45">
        <v>31</v>
      </c>
      <c r="O45">
        <v>76</v>
      </c>
      <c r="P45" s="1">
        <v>0.83516500000000005</v>
      </c>
    </row>
    <row r="46" spans="1:16" x14ac:dyDescent="0.25">
      <c r="A46" t="s">
        <v>16</v>
      </c>
      <c r="B46" s="16">
        <v>72695072</v>
      </c>
      <c r="C46">
        <v>673</v>
      </c>
      <c r="D46">
        <v>1827</v>
      </c>
      <c r="E46" s="1">
        <v>0.26919999999999999</v>
      </c>
      <c r="F46" s="1">
        <v>0.73080000000000001</v>
      </c>
      <c r="G46">
        <v>86</v>
      </c>
      <c r="H46">
        <v>1</v>
      </c>
      <c r="I46">
        <v>673</v>
      </c>
      <c r="J46" s="20">
        <v>1</v>
      </c>
      <c r="K46">
        <v>17</v>
      </c>
      <c r="L46">
        <v>33.705882000000003</v>
      </c>
      <c r="M46">
        <v>45</v>
      </c>
      <c r="N46">
        <v>26</v>
      </c>
      <c r="O46">
        <v>573</v>
      </c>
      <c r="P46" s="1">
        <v>0.85141199999999995</v>
      </c>
    </row>
    <row r="47" spans="1:16" x14ac:dyDescent="0.25">
      <c r="A47" t="s">
        <v>16</v>
      </c>
      <c r="B47" s="16">
        <v>1676171026</v>
      </c>
      <c r="C47">
        <v>204</v>
      </c>
      <c r="D47">
        <v>2296</v>
      </c>
      <c r="E47" s="1">
        <v>8.1600000000000006E-2</v>
      </c>
      <c r="F47" s="1">
        <v>0.91839999999999999</v>
      </c>
      <c r="G47">
        <v>28</v>
      </c>
      <c r="H47">
        <v>1</v>
      </c>
      <c r="I47">
        <v>204</v>
      </c>
      <c r="J47" s="20">
        <v>1</v>
      </c>
      <c r="K47">
        <v>5</v>
      </c>
      <c r="L47">
        <v>35.200000000000003</v>
      </c>
      <c r="M47">
        <v>45</v>
      </c>
      <c r="N47">
        <v>31</v>
      </c>
      <c r="O47">
        <v>176</v>
      </c>
      <c r="P47" s="1">
        <v>0.86274499999999998</v>
      </c>
    </row>
    <row r="48" spans="1:16" x14ac:dyDescent="0.25">
      <c r="A48" t="s">
        <v>16</v>
      </c>
      <c r="B48" s="16">
        <v>1011208726</v>
      </c>
      <c r="C48">
        <v>221</v>
      </c>
      <c r="D48">
        <v>2279</v>
      </c>
      <c r="E48" s="1">
        <v>8.8400000000000006E-2</v>
      </c>
      <c r="F48" s="1">
        <v>0.91159999999999997</v>
      </c>
      <c r="G48">
        <v>34</v>
      </c>
      <c r="H48">
        <v>1</v>
      </c>
      <c r="I48">
        <v>221</v>
      </c>
      <c r="J48" s="20">
        <v>1</v>
      </c>
      <c r="K48">
        <v>5</v>
      </c>
      <c r="L48">
        <v>36.799999999999997</v>
      </c>
      <c r="M48">
        <v>45</v>
      </c>
      <c r="N48">
        <v>31</v>
      </c>
      <c r="O48">
        <v>184</v>
      </c>
      <c r="P48" s="1">
        <v>0.83257899999999996</v>
      </c>
    </row>
    <row r="49" spans="1:16" x14ac:dyDescent="0.25">
      <c r="A49" t="s">
        <v>16</v>
      </c>
      <c r="B49" s="16">
        <v>548702041</v>
      </c>
      <c r="C49">
        <v>330</v>
      </c>
      <c r="D49">
        <v>2170</v>
      </c>
      <c r="E49" s="1">
        <v>0.13200000000000001</v>
      </c>
      <c r="F49" s="1">
        <v>0.86799999999999999</v>
      </c>
      <c r="G49">
        <v>41</v>
      </c>
      <c r="H49">
        <v>1</v>
      </c>
      <c r="I49">
        <v>330</v>
      </c>
      <c r="J49" s="20">
        <v>1</v>
      </c>
      <c r="K49">
        <v>8</v>
      </c>
      <c r="L49">
        <v>34.875</v>
      </c>
      <c r="M49">
        <v>45</v>
      </c>
      <c r="N49">
        <v>26</v>
      </c>
      <c r="O49">
        <v>279</v>
      </c>
      <c r="P49" s="1">
        <v>0.84545499999999996</v>
      </c>
    </row>
    <row r="50" spans="1:16" x14ac:dyDescent="0.25">
      <c r="A50" t="s">
        <v>16</v>
      </c>
      <c r="B50" s="16">
        <v>1145497066</v>
      </c>
      <c r="C50">
        <v>177</v>
      </c>
      <c r="D50">
        <v>2323</v>
      </c>
      <c r="E50" s="1">
        <v>7.0800000000000002E-2</v>
      </c>
      <c r="F50" s="1">
        <v>0.92920000000000003</v>
      </c>
      <c r="G50">
        <v>29</v>
      </c>
      <c r="H50">
        <v>1</v>
      </c>
      <c r="I50">
        <v>177</v>
      </c>
      <c r="J50" s="20">
        <v>1</v>
      </c>
      <c r="K50">
        <v>4</v>
      </c>
      <c r="L50">
        <v>36.5</v>
      </c>
      <c r="M50">
        <v>45</v>
      </c>
      <c r="N50">
        <v>31</v>
      </c>
      <c r="O50">
        <v>146</v>
      </c>
      <c r="P50" s="1">
        <v>0.82485900000000001</v>
      </c>
    </row>
    <row r="51" spans="1:16" x14ac:dyDescent="0.25">
      <c r="A51" t="s">
        <v>16</v>
      </c>
      <c r="B51" s="16">
        <v>1220855290</v>
      </c>
      <c r="C51">
        <v>327</v>
      </c>
      <c r="D51">
        <v>2173</v>
      </c>
      <c r="E51" s="1">
        <v>0.1308</v>
      </c>
      <c r="F51" s="1">
        <v>0.86919999999999997</v>
      </c>
      <c r="G51">
        <v>45</v>
      </c>
      <c r="H51">
        <v>1</v>
      </c>
      <c r="I51">
        <v>327</v>
      </c>
      <c r="J51" s="20">
        <v>1</v>
      </c>
      <c r="K51">
        <v>8</v>
      </c>
      <c r="L51">
        <v>34.5</v>
      </c>
      <c r="M51">
        <v>45</v>
      </c>
      <c r="N51">
        <v>31</v>
      </c>
      <c r="O51">
        <v>276</v>
      </c>
      <c r="P51" s="1">
        <v>0.84403700000000004</v>
      </c>
    </row>
    <row r="52" spans="1:16" x14ac:dyDescent="0.25">
      <c r="A52" t="s">
        <v>26</v>
      </c>
      <c r="B52"/>
      <c r="C52">
        <f>SUBTOTAL(101,AgCon_room7_corr4[floors])</f>
        <v>227.54</v>
      </c>
      <c r="D52">
        <f>SUBTOTAL(101,AgCon_room7_corr4[walls])</f>
        <v>2272.46</v>
      </c>
      <c r="E52" s="2">
        <f>SUBTOTAL(101,AgCon_room7_corr4[floor_percent])</f>
        <v>9.1015999999999972E-2</v>
      </c>
      <c r="F52" s="2">
        <f>SUBTOTAL(101,AgCon_room7_corr4[wall_percent])</f>
        <v>0.90898400000000024</v>
      </c>
      <c r="G52">
        <f>SUBTOTAL(101,AgCon_room7_corr4[longest_shortest_path])</f>
        <v>33.44</v>
      </c>
      <c r="H52">
        <f>SUBTOTAL(101,AgCon_room7_corr4[component_count])</f>
        <v>1</v>
      </c>
      <c r="I52">
        <f>SUBTOTAL(101,AgCon_room7_corr4[max_component_size])</f>
        <v>227.54</v>
      </c>
      <c r="J52" s="20">
        <f>SUBTOTAL(101,AgCon_room7_corr4[connectivity_ratio])</f>
        <v>1</v>
      </c>
      <c r="K52">
        <f>SUBTOTAL(101,AgCon_room7_corr4[room_count])</f>
        <v>5.62</v>
      </c>
      <c r="L52">
        <f>SUBTOTAL(101,AgCon_room7_corr4[avg_room_size])</f>
        <v>35.50859818</v>
      </c>
      <c r="M52">
        <f>SUBTOTAL(101,AgCon_room7_corr4[max_room_size])</f>
        <v>43.96</v>
      </c>
      <c r="N52">
        <f>SUBTOTAL(101,AgCon_room7_corr4[min_room_size])</f>
        <v>28.44</v>
      </c>
      <c r="O52">
        <f>SUBTOTAL(101,AgCon_room7_corr4[room_tiles])</f>
        <v>192.66</v>
      </c>
      <c r="P52" s="2">
        <f>SUBTOTAL(101,AgCon_room7_corr4[room_ratio])</f>
        <v>0.85018174000000013</v>
      </c>
    </row>
    <row r="53" spans="1:16" x14ac:dyDescent="0.25">
      <c r="A53" s="19" t="s">
        <v>31</v>
      </c>
      <c r="B53" s="19"/>
      <c r="C53" s="19"/>
      <c r="D53" s="19"/>
    </row>
  </sheetData>
  <mergeCells count="1">
    <mergeCell ref="A53:D53"/>
  </mergeCell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2477-C581-4A07-893E-98D4DBAD1689}">
  <dimension ref="A1:P53"/>
  <sheetViews>
    <sheetView topLeftCell="A25" workbookViewId="0">
      <selection activeCell="J25" sqref="J1:J1048576"/>
    </sheetView>
  </sheetViews>
  <sheetFormatPr defaultRowHeight="15" x14ac:dyDescent="0.25"/>
  <cols>
    <col min="1" max="1" width="32.28515625" bestFit="1" customWidth="1"/>
    <col min="2" max="2" width="11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6">
        <v>749017040</v>
      </c>
      <c r="C2">
        <v>310</v>
      </c>
      <c r="D2">
        <v>2190</v>
      </c>
      <c r="E2" s="1">
        <v>0.124</v>
      </c>
      <c r="F2" s="1">
        <v>0.876</v>
      </c>
      <c r="G2">
        <v>112</v>
      </c>
      <c r="H2">
        <v>1</v>
      </c>
      <c r="I2">
        <v>310</v>
      </c>
      <c r="J2" s="20">
        <v>1</v>
      </c>
      <c r="K2">
        <v>13</v>
      </c>
      <c r="L2">
        <v>12.153846</v>
      </c>
      <c r="M2">
        <v>13</v>
      </c>
      <c r="N2">
        <v>12</v>
      </c>
      <c r="O2">
        <v>158</v>
      </c>
      <c r="P2" s="1">
        <v>0.50967700000000005</v>
      </c>
    </row>
    <row r="3" spans="1:16" x14ac:dyDescent="0.25">
      <c r="A3" t="s">
        <v>16</v>
      </c>
      <c r="B3" s="16">
        <v>154846071</v>
      </c>
      <c r="C3">
        <v>173</v>
      </c>
      <c r="D3">
        <v>2327</v>
      </c>
      <c r="E3" s="1">
        <v>6.9199999999999998E-2</v>
      </c>
      <c r="F3" s="1">
        <v>0.93079999999999996</v>
      </c>
      <c r="G3">
        <v>80</v>
      </c>
      <c r="H3">
        <v>1</v>
      </c>
      <c r="I3">
        <v>173</v>
      </c>
      <c r="J3" s="20">
        <v>1</v>
      </c>
      <c r="K3">
        <v>7</v>
      </c>
      <c r="L3">
        <v>12</v>
      </c>
      <c r="M3">
        <v>12</v>
      </c>
      <c r="N3">
        <v>12</v>
      </c>
      <c r="O3">
        <v>84</v>
      </c>
      <c r="P3" s="1">
        <v>0.48554900000000001</v>
      </c>
    </row>
    <row r="4" spans="1:16" x14ac:dyDescent="0.25">
      <c r="A4" t="s">
        <v>16</v>
      </c>
      <c r="B4" s="16">
        <v>2071487343</v>
      </c>
      <c r="C4">
        <v>72</v>
      </c>
      <c r="D4">
        <v>2428</v>
      </c>
      <c r="E4" s="1">
        <v>2.8799999999999999E-2</v>
      </c>
      <c r="F4" s="1">
        <v>0.97119999999999995</v>
      </c>
      <c r="G4">
        <v>43</v>
      </c>
      <c r="H4">
        <v>1</v>
      </c>
      <c r="I4">
        <v>72</v>
      </c>
      <c r="J4" s="20">
        <v>1</v>
      </c>
      <c r="K4">
        <v>2</v>
      </c>
      <c r="L4">
        <v>12</v>
      </c>
      <c r="M4">
        <v>12</v>
      </c>
      <c r="N4">
        <v>12</v>
      </c>
      <c r="O4">
        <v>24</v>
      </c>
      <c r="P4" s="1">
        <v>0.33333299999999999</v>
      </c>
    </row>
    <row r="5" spans="1:16" x14ac:dyDescent="0.25">
      <c r="A5" t="s">
        <v>16</v>
      </c>
      <c r="B5" s="16">
        <v>409744852</v>
      </c>
      <c r="C5">
        <v>162</v>
      </c>
      <c r="D5">
        <v>2338</v>
      </c>
      <c r="E5" s="1">
        <v>6.4799999999999996E-2</v>
      </c>
      <c r="F5" s="1">
        <v>0.93520000000000003</v>
      </c>
      <c r="G5">
        <v>60</v>
      </c>
      <c r="H5">
        <v>1</v>
      </c>
      <c r="I5">
        <v>162</v>
      </c>
      <c r="J5" s="20">
        <v>1</v>
      </c>
      <c r="K5">
        <v>6</v>
      </c>
      <c r="L5">
        <v>12.833333</v>
      </c>
      <c r="M5">
        <v>16</v>
      </c>
      <c r="N5">
        <v>12</v>
      </c>
      <c r="O5">
        <v>77</v>
      </c>
      <c r="P5" s="1">
        <v>0.47530899999999998</v>
      </c>
    </row>
    <row r="6" spans="1:16" x14ac:dyDescent="0.25">
      <c r="A6" t="s">
        <v>16</v>
      </c>
      <c r="B6" s="16">
        <v>261873398</v>
      </c>
      <c r="C6">
        <v>282</v>
      </c>
      <c r="D6">
        <v>2218</v>
      </c>
      <c r="E6" s="1">
        <v>0.1128</v>
      </c>
      <c r="F6" s="1">
        <v>0.88719999999999999</v>
      </c>
      <c r="G6">
        <v>115</v>
      </c>
      <c r="H6">
        <v>1</v>
      </c>
      <c r="I6">
        <v>282</v>
      </c>
      <c r="J6" s="20">
        <v>1</v>
      </c>
      <c r="K6">
        <v>12</v>
      </c>
      <c r="L6">
        <v>12.083333</v>
      </c>
      <c r="M6">
        <v>13</v>
      </c>
      <c r="N6">
        <v>12</v>
      </c>
      <c r="O6">
        <v>145</v>
      </c>
      <c r="P6" s="1">
        <v>0.51418399999999997</v>
      </c>
    </row>
    <row r="7" spans="1:16" x14ac:dyDescent="0.25">
      <c r="A7" t="s">
        <v>16</v>
      </c>
      <c r="B7" s="16">
        <v>56233163</v>
      </c>
      <c r="C7">
        <v>505</v>
      </c>
      <c r="D7">
        <v>1995</v>
      </c>
      <c r="E7" s="1">
        <v>0.20200000000000001</v>
      </c>
      <c r="F7" s="1">
        <v>0.79800000000000004</v>
      </c>
      <c r="G7">
        <v>153</v>
      </c>
      <c r="H7">
        <v>1</v>
      </c>
      <c r="I7">
        <v>505</v>
      </c>
      <c r="J7" s="20">
        <v>1</v>
      </c>
      <c r="K7">
        <v>23</v>
      </c>
      <c r="L7">
        <v>12.217390999999999</v>
      </c>
      <c r="M7">
        <v>13</v>
      </c>
      <c r="N7">
        <v>12</v>
      </c>
      <c r="O7">
        <v>281</v>
      </c>
      <c r="P7" s="1">
        <v>0.55643600000000004</v>
      </c>
    </row>
    <row r="8" spans="1:16" x14ac:dyDescent="0.25">
      <c r="A8" t="s">
        <v>16</v>
      </c>
      <c r="B8" s="16">
        <v>1428108897</v>
      </c>
      <c r="C8">
        <v>364</v>
      </c>
      <c r="D8">
        <v>2136</v>
      </c>
      <c r="E8" s="1">
        <v>0.14560000000000001</v>
      </c>
      <c r="F8" s="1">
        <v>0.85440000000000005</v>
      </c>
      <c r="G8">
        <v>144</v>
      </c>
      <c r="H8">
        <v>1</v>
      </c>
      <c r="I8">
        <v>364</v>
      </c>
      <c r="J8" s="20">
        <v>1</v>
      </c>
      <c r="K8">
        <v>16</v>
      </c>
      <c r="L8">
        <v>12.125</v>
      </c>
      <c r="M8">
        <v>13</v>
      </c>
      <c r="N8">
        <v>12</v>
      </c>
      <c r="O8">
        <v>194</v>
      </c>
      <c r="P8" s="1">
        <v>0.53296699999999997</v>
      </c>
    </row>
    <row r="9" spans="1:16" x14ac:dyDescent="0.25">
      <c r="A9" t="s">
        <v>16</v>
      </c>
      <c r="B9" s="16">
        <v>599309732</v>
      </c>
      <c r="C9">
        <v>135</v>
      </c>
      <c r="D9">
        <v>2365</v>
      </c>
      <c r="E9" s="1">
        <v>5.3999999999999999E-2</v>
      </c>
      <c r="F9" s="1">
        <v>0.94599999999999995</v>
      </c>
      <c r="G9">
        <v>52</v>
      </c>
      <c r="H9">
        <v>1</v>
      </c>
      <c r="I9">
        <v>135</v>
      </c>
      <c r="J9" s="20">
        <v>1</v>
      </c>
      <c r="K9">
        <v>6</v>
      </c>
      <c r="L9">
        <v>12</v>
      </c>
      <c r="M9">
        <v>12</v>
      </c>
      <c r="N9">
        <v>12</v>
      </c>
      <c r="O9">
        <v>72</v>
      </c>
      <c r="P9" s="1">
        <v>0.53333299999999995</v>
      </c>
    </row>
    <row r="10" spans="1:16" x14ac:dyDescent="0.25">
      <c r="A10" t="s">
        <v>16</v>
      </c>
      <c r="B10" s="16">
        <v>1325886615</v>
      </c>
      <c r="C10">
        <v>125</v>
      </c>
      <c r="D10">
        <v>2375</v>
      </c>
      <c r="E10" s="1">
        <v>0.05</v>
      </c>
      <c r="F10" s="1">
        <v>0.95</v>
      </c>
      <c r="G10">
        <v>49</v>
      </c>
      <c r="H10">
        <v>1</v>
      </c>
      <c r="I10">
        <v>125</v>
      </c>
      <c r="J10" s="20">
        <v>1</v>
      </c>
      <c r="K10">
        <v>5</v>
      </c>
      <c r="L10">
        <v>12.2</v>
      </c>
      <c r="M10">
        <v>13</v>
      </c>
      <c r="N10">
        <v>12</v>
      </c>
      <c r="O10">
        <v>61</v>
      </c>
      <c r="P10" s="1">
        <v>0.48799999999999999</v>
      </c>
    </row>
    <row r="11" spans="1:16" x14ac:dyDescent="0.25">
      <c r="A11" t="s">
        <v>16</v>
      </c>
      <c r="B11" s="16">
        <v>3365358</v>
      </c>
      <c r="C11">
        <v>203</v>
      </c>
      <c r="D11">
        <v>2297</v>
      </c>
      <c r="E11" s="1">
        <v>8.1199999999999994E-2</v>
      </c>
      <c r="F11" s="1">
        <v>0.91879999999999995</v>
      </c>
      <c r="G11">
        <v>76</v>
      </c>
      <c r="H11">
        <v>1</v>
      </c>
      <c r="I11">
        <v>203</v>
      </c>
      <c r="J11" s="20">
        <v>1</v>
      </c>
      <c r="K11">
        <v>8</v>
      </c>
      <c r="L11">
        <v>12.125</v>
      </c>
      <c r="M11">
        <v>13</v>
      </c>
      <c r="N11">
        <v>12</v>
      </c>
      <c r="O11">
        <v>97</v>
      </c>
      <c r="P11" s="1">
        <v>0.47783300000000001</v>
      </c>
    </row>
    <row r="12" spans="1:16" x14ac:dyDescent="0.25">
      <c r="A12" t="s">
        <v>16</v>
      </c>
      <c r="B12" s="16">
        <v>635101122</v>
      </c>
      <c r="C12">
        <v>70</v>
      </c>
      <c r="D12">
        <v>2430</v>
      </c>
      <c r="E12" s="1">
        <v>2.8000000000000001E-2</v>
      </c>
      <c r="F12" s="1">
        <v>0.97199999999999998</v>
      </c>
      <c r="G12">
        <v>44</v>
      </c>
      <c r="H12">
        <v>1</v>
      </c>
      <c r="I12">
        <v>70</v>
      </c>
      <c r="J12" s="20">
        <v>1</v>
      </c>
      <c r="K12">
        <v>2</v>
      </c>
      <c r="L12">
        <v>12</v>
      </c>
      <c r="M12">
        <v>12</v>
      </c>
      <c r="N12">
        <v>12</v>
      </c>
      <c r="O12">
        <v>24</v>
      </c>
      <c r="P12" s="1">
        <v>0.34285700000000002</v>
      </c>
    </row>
    <row r="13" spans="1:16" x14ac:dyDescent="0.25">
      <c r="A13" t="s">
        <v>16</v>
      </c>
      <c r="B13" s="16">
        <v>57324152</v>
      </c>
      <c r="C13">
        <v>275</v>
      </c>
      <c r="D13">
        <v>2225</v>
      </c>
      <c r="E13" s="1">
        <v>0.11</v>
      </c>
      <c r="F13" s="1">
        <v>0.89</v>
      </c>
      <c r="G13">
        <v>104</v>
      </c>
      <c r="H13">
        <v>1</v>
      </c>
      <c r="I13">
        <v>275</v>
      </c>
      <c r="J13" s="20">
        <v>1</v>
      </c>
      <c r="K13">
        <v>12</v>
      </c>
      <c r="L13">
        <v>12.166667</v>
      </c>
      <c r="M13">
        <v>13</v>
      </c>
      <c r="N13">
        <v>12</v>
      </c>
      <c r="O13">
        <v>146</v>
      </c>
      <c r="P13" s="1">
        <v>0.53090899999999996</v>
      </c>
    </row>
    <row r="14" spans="1:16" x14ac:dyDescent="0.25">
      <c r="A14" t="s">
        <v>16</v>
      </c>
      <c r="B14" s="16">
        <v>731943451</v>
      </c>
      <c r="C14">
        <v>176</v>
      </c>
      <c r="D14">
        <v>2324</v>
      </c>
      <c r="E14" s="1">
        <v>7.0400000000000004E-2</v>
      </c>
      <c r="F14" s="1">
        <v>0.92959999999999998</v>
      </c>
      <c r="G14">
        <v>53</v>
      </c>
      <c r="H14">
        <v>1</v>
      </c>
      <c r="I14">
        <v>176</v>
      </c>
      <c r="J14" s="20">
        <v>1</v>
      </c>
      <c r="K14">
        <v>7</v>
      </c>
      <c r="L14">
        <v>12.142856999999999</v>
      </c>
      <c r="M14">
        <v>13</v>
      </c>
      <c r="N14">
        <v>12</v>
      </c>
      <c r="O14">
        <v>85</v>
      </c>
      <c r="P14" s="1">
        <v>0.48295500000000002</v>
      </c>
    </row>
    <row r="15" spans="1:16" x14ac:dyDescent="0.25">
      <c r="A15" t="s">
        <v>16</v>
      </c>
      <c r="B15" s="16">
        <v>468814857</v>
      </c>
      <c r="C15">
        <v>288</v>
      </c>
      <c r="D15">
        <v>2212</v>
      </c>
      <c r="E15" s="1">
        <v>0.1152</v>
      </c>
      <c r="F15" s="1">
        <v>0.88480000000000003</v>
      </c>
      <c r="G15">
        <v>130</v>
      </c>
      <c r="H15">
        <v>1</v>
      </c>
      <c r="I15">
        <v>288</v>
      </c>
      <c r="J15" s="20">
        <v>1</v>
      </c>
      <c r="K15">
        <v>12</v>
      </c>
      <c r="L15">
        <v>12.083333</v>
      </c>
      <c r="M15">
        <v>13</v>
      </c>
      <c r="N15">
        <v>12</v>
      </c>
      <c r="O15">
        <v>145</v>
      </c>
      <c r="P15" s="1">
        <v>0.50347200000000003</v>
      </c>
    </row>
    <row r="16" spans="1:16" x14ac:dyDescent="0.25">
      <c r="A16" t="s">
        <v>16</v>
      </c>
      <c r="B16" s="16">
        <v>126472805</v>
      </c>
      <c r="C16">
        <v>373</v>
      </c>
      <c r="D16">
        <v>2127</v>
      </c>
      <c r="E16" s="1">
        <v>0.1492</v>
      </c>
      <c r="F16" s="1">
        <v>0.8508</v>
      </c>
      <c r="G16">
        <v>143</v>
      </c>
      <c r="H16">
        <v>1</v>
      </c>
      <c r="I16">
        <v>373</v>
      </c>
      <c r="J16" s="20">
        <v>1</v>
      </c>
      <c r="K16">
        <v>16</v>
      </c>
      <c r="L16">
        <v>12.0625</v>
      </c>
      <c r="M16">
        <v>13</v>
      </c>
      <c r="N16">
        <v>12</v>
      </c>
      <c r="O16">
        <v>193</v>
      </c>
      <c r="P16" s="1">
        <v>0.51742600000000005</v>
      </c>
    </row>
    <row r="17" spans="1:16" x14ac:dyDescent="0.25">
      <c r="A17" t="s">
        <v>16</v>
      </c>
      <c r="B17" s="16">
        <v>769073504</v>
      </c>
      <c r="C17">
        <v>297</v>
      </c>
      <c r="D17">
        <v>2203</v>
      </c>
      <c r="E17" s="1">
        <v>0.1188</v>
      </c>
      <c r="F17" s="1">
        <v>0.88119999999999998</v>
      </c>
      <c r="G17">
        <v>109</v>
      </c>
      <c r="H17">
        <v>1</v>
      </c>
      <c r="I17">
        <v>297</v>
      </c>
      <c r="J17" s="20">
        <v>1</v>
      </c>
      <c r="K17">
        <v>12</v>
      </c>
      <c r="L17">
        <v>12.166667</v>
      </c>
      <c r="M17">
        <v>13</v>
      </c>
      <c r="N17">
        <v>12</v>
      </c>
      <c r="O17">
        <v>146</v>
      </c>
      <c r="P17" s="1">
        <v>0.49158200000000002</v>
      </c>
    </row>
    <row r="18" spans="1:16" x14ac:dyDescent="0.25">
      <c r="A18" t="s">
        <v>16</v>
      </c>
      <c r="B18" s="16">
        <v>82780268</v>
      </c>
      <c r="C18">
        <v>353</v>
      </c>
      <c r="D18">
        <v>2147</v>
      </c>
      <c r="E18" s="1">
        <v>0.14119999999999999</v>
      </c>
      <c r="F18" s="1">
        <v>0.85880000000000001</v>
      </c>
      <c r="G18">
        <v>90</v>
      </c>
      <c r="H18">
        <v>1</v>
      </c>
      <c r="I18">
        <v>353</v>
      </c>
      <c r="J18" s="20">
        <v>1</v>
      </c>
      <c r="K18">
        <v>17</v>
      </c>
      <c r="L18">
        <v>12.235294</v>
      </c>
      <c r="M18">
        <v>13</v>
      </c>
      <c r="N18">
        <v>12</v>
      </c>
      <c r="O18">
        <v>208</v>
      </c>
      <c r="P18" s="1">
        <v>0.58923499999999995</v>
      </c>
    </row>
    <row r="19" spans="1:16" x14ac:dyDescent="0.25">
      <c r="A19" t="s">
        <v>16</v>
      </c>
      <c r="B19" s="16">
        <v>1078421503</v>
      </c>
      <c r="C19">
        <v>361</v>
      </c>
      <c r="D19">
        <v>2139</v>
      </c>
      <c r="E19" s="1">
        <v>0.1444</v>
      </c>
      <c r="F19" s="1">
        <v>0.85560000000000003</v>
      </c>
      <c r="G19">
        <v>171</v>
      </c>
      <c r="H19">
        <v>1</v>
      </c>
      <c r="I19">
        <v>361</v>
      </c>
      <c r="J19" s="20">
        <v>1</v>
      </c>
      <c r="K19">
        <v>13</v>
      </c>
      <c r="L19">
        <v>12.153846</v>
      </c>
      <c r="M19">
        <v>13</v>
      </c>
      <c r="N19">
        <v>12</v>
      </c>
      <c r="O19">
        <v>158</v>
      </c>
      <c r="P19" s="1">
        <v>0.43767299999999998</v>
      </c>
    </row>
    <row r="20" spans="1:16" x14ac:dyDescent="0.25">
      <c r="A20" t="s">
        <v>16</v>
      </c>
      <c r="B20" s="16">
        <v>1271773951</v>
      </c>
      <c r="C20">
        <v>328</v>
      </c>
      <c r="D20">
        <v>2172</v>
      </c>
      <c r="E20" s="1">
        <v>0.13120000000000001</v>
      </c>
      <c r="F20" s="1">
        <v>0.86880000000000002</v>
      </c>
      <c r="G20">
        <v>122</v>
      </c>
      <c r="H20">
        <v>1</v>
      </c>
      <c r="I20">
        <v>328</v>
      </c>
      <c r="J20" s="20">
        <v>1</v>
      </c>
      <c r="K20">
        <v>14</v>
      </c>
      <c r="L20">
        <v>12.214286</v>
      </c>
      <c r="M20">
        <v>13</v>
      </c>
      <c r="N20">
        <v>12</v>
      </c>
      <c r="O20">
        <v>171</v>
      </c>
      <c r="P20" s="1">
        <v>0.52134100000000005</v>
      </c>
    </row>
    <row r="21" spans="1:16" x14ac:dyDescent="0.25">
      <c r="A21" t="s">
        <v>16</v>
      </c>
      <c r="B21" s="16">
        <v>420897094</v>
      </c>
      <c r="C21">
        <v>244</v>
      </c>
      <c r="D21">
        <v>2256</v>
      </c>
      <c r="E21" s="1">
        <v>9.7600000000000006E-2</v>
      </c>
      <c r="F21" s="1">
        <v>0.90239999999999998</v>
      </c>
      <c r="G21">
        <v>95</v>
      </c>
      <c r="H21">
        <v>1</v>
      </c>
      <c r="I21">
        <v>244</v>
      </c>
      <c r="J21" s="20">
        <v>1</v>
      </c>
      <c r="K21">
        <v>11</v>
      </c>
      <c r="L21">
        <v>12.272727</v>
      </c>
      <c r="M21">
        <v>13</v>
      </c>
      <c r="N21">
        <v>12</v>
      </c>
      <c r="O21">
        <v>135</v>
      </c>
      <c r="P21" s="1">
        <v>0.55327899999999997</v>
      </c>
    </row>
    <row r="22" spans="1:16" x14ac:dyDescent="0.25">
      <c r="A22" t="s">
        <v>16</v>
      </c>
      <c r="B22" s="16">
        <v>1709932777</v>
      </c>
      <c r="C22">
        <v>427</v>
      </c>
      <c r="D22">
        <v>2073</v>
      </c>
      <c r="E22" s="1">
        <v>0.17080000000000001</v>
      </c>
      <c r="F22" s="1">
        <v>0.82920000000000005</v>
      </c>
      <c r="G22">
        <v>143</v>
      </c>
      <c r="H22">
        <v>1</v>
      </c>
      <c r="I22">
        <v>427</v>
      </c>
      <c r="J22" s="20">
        <v>1</v>
      </c>
      <c r="K22">
        <v>19</v>
      </c>
      <c r="L22">
        <v>12.052631999999999</v>
      </c>
      <c r="M22">
        <v>13</v>
      </c>
      <c r="N22">
        <v>12</v>
      </c>
      <c r="O22">
        <v>229</v>
      </c>
      <c r="P22" s="1">
        <v>0.5363</v>
      </c>
    </row>
    <row r="23" spans="1:16" x14ac:dyDescent="0.25">
      <c r="A23" t="s">
        <v>16</v>
      </c>
      <c r="B23" s="16">
        <v>234140809</v>
      </c>
      <c r="C23">
        <v>278</v>
      </c>
      <c r="D23">
        <v>2222</v>
      </c>
      <c r="E23" s="1">
        <v>0.11119999999999999</v>
      </c>
      <c r="F23" s="1">
        <v>0.88880000000000003</v>
      </c>
      <c r="G23">
        <v>97</v>
      </c>
      <c r="H23">
        <v>1</v>
      </c>
      <c r="I23">
        <v>278</v>
      </c>
      <c r="J23" s="20">
        <v>1</v>
      </c>
      <c r="K23">
        <v>13</v>
      </c>
      <c r="L23">
        <v>12.153846</v>
      </c>
      <c r="M23">
        <v>13</v>
      </c>
      <c r="N23">
        <v>12</v>
      </c>
      <c r="O23">
        <v>158</v>
      </c>
      <c r="P23" s="1">
        <v>0.56834499999999999</v>
      </c>
    </row>
    <row r="24" spans="1:16" x14ac:dyDescent="0.25">
      <c r="A24" t="s">
        <v>16</v>
      </c>
      <c r="B24" s="16">
        <v>1858486537</v>
      </c>
      <c r="C24">
        <v>149</v>
      </c>
      <c r="D24">
        <v>2351</v>
      </c>
      <c r="E24" s="1">
        <v>5.96E-2</v>
      </c>
      <c r="F24" s="1">
        <v>0.94040000000000001</v>
      </c>
      <c r="G24">
        <v>50</v>
      </c>
      <c r="H24">
        <v>1</v>
      </c>
      <c r="I24">
        <v>149</v>
      </c>
      <c r="J24" s="20">
        <v>1</v>
      </c>
      <c r="K24">
        <v>7</v>
      </c>
      <c r="L24">
        <v>12</v>
      </c>
      <c r="M24">
        <v>12</v>
      </c>
      <c r="N24">
        <v>12</v>
      </c>
      <c r="O24">
        <v>84</v>
      </c>
      <c r="P24" s="1">
        <v>0.56375799999999998</v>
      </c>
    </row>
    <row r="25" spans="1:16" x14ac:dyDescent="0.25">
      <c r="A25" t="s">
        <v>16</v>
      </c>
      <c r="B25" s="16">
        <v>924609620</v>
      </c>
      <c r="C25">
        <v>310</v>
      </c>
      <c r="D25">
        <v>2190</v>
      </c>
      <c r="E25" s="1">
        <v>0.124</v>
      </c>
      <c r="F25" s="1">
        <v>0.876</v>
      </c>
      <c r="G25">
        <v>111</v>
      </c>
      <c r="H25">
        <v>1</v>
      </c>
      <c r="I25">
        <v>310</v>
      </c>
      <c r="J25" s="20">
        <v>1</v>
      </c>
      <c r="K25">
        <v>12</v>
      </c>
      <c r="L25">
        <v>13.083333</v>
      </c>
      <c r="M25">
        <v>22</v>
      </c>
      <c r="N25">
        <v>12</v>
      </c>
      <c r="O25">
        <v>157</v>
      </c>
      <c r="P25" s="1">
        <v>0.50645200000000001</v>
      </c>
    </row>
    <row r="26" spans="1:16" x14ac:dyDescent="0.25">
      <c r="A26" t="s">
        <v>16</v>
      </c>
      <c r="B26" s="16">
        <v>823900259</v>
      </c>
      <c r="C26">
        <v>443</v>
      </c>
      <c r="D26">
        <v>2057</v>
      </c>
      <c r="E26" s="1">
        <v>0.1772</v>
      </c>
      <c r="F26" s="1">
        <v>0.82279999999999998</v>
      </c>
      <c r="G26">
        <v>149</v>
      </c>
      <c r="H26">
        <v>1</v>
      </c>
      <c r="I26">
        <v>443</v>
      </c>
      <c r="J26" s="20">
        <v>1</v>
      </c>
      <c r="K26">
        <v>20</v>
      </c>
      <c r="L26">
        <v>12.15</v>
      </c>
      <c r="M26">
        <v>13</v>
      </c>
      <c r="N26">
        <v>12</v>
      </c>
      <c r="O26">
        <v>243</v>
      </c>
      <c r="P26" s="1">
        <v>0.54853300000000005</v>
      </c>
    </row>
    <row r="27" spans="1:16" x14ac:dyDescent="0.25">
      <c r="A27" t="s">
        <v>16</v>
      </c>
      <c r="B27" s="16">
        <v>1588516711</v>
      </c>
      <c r="C27">
        <v>164</v>
      </c>
      <c r="D27">
        <v>2336</v>
      </c>
      <c r="E27" s="1">
        <v>6.5600000000000006E-2</v>
      </c>
      <c r="F27" s="1">
        <v>0.93440000000000001</v>
      </c>
      <c r="G27">
        <v>63</v>
      </c>
      <c r="H27">
        <v>1</v>
      </c>
      <c r="I27">
        <v>164</v>
      </c>
      <c r="J27" s="20">
        <v>1</v>
      </c>
      <c r="K27">
        <v>7</v>
      </c>
      <c r="L27">
        <v>12.142856999999999</v>
      </c>
      <c r="M27">
        <v>13</v>
      </c>
      <c r="N27">
        <v>12</v>
      </c>
      <c r="O27">
        <v>85</v>
      </c>
      <c r="P27" s="1">
        <v>0.518293</v>
      </c>
    </row>
    <row r="28" spans="1:16" x14ac:dyDescent="0.25">
      <c r="A28" t="s">
        <v>16</v>
      </c>
      <c r="B28" s="16">
        <v>1342505078</v>
      </c>
      <c r="C28">
        <v>322</v>
      </c>
      <c r="D28">
        <v>2178</v>
      </c>
      <c r="E28" s="1">
        <v>0.1288</v>
      </c>
      <c r="F28" s="1">
        <v>0.87119999999999997</v>
      </c>
      <c r="G28">
        <v>115</v>
      </c>
      <c r="H28">
        <v>1</v>
      </c>
      <c r="I28">
        <v>322</v>
      </c>
      <c r="J28" s="20">
        <v>1</v>
      </c>
      <c r="K28">
        <v>13</v>
      </c>
      <c r="L28">
        <v>12.076923000000001</v>
      </c>
      <c r="M28">
        <v>13</v>
      </c>
      <c r="N28">
        <v>12</v>
      </c>
      <c r="O28">
        <v>157</v>
      </c>
      <c r="P28" s="1">
        <v>0.48757800000000001</v>
      </c>
    </row>
    <row r="29" spans="1:16" x14ac:dyDescent="0.25">
      <c r="A29" t="s">
        <v>16</v>
      </c>
      <c r="B29" s="16">
        <v>226098383</v>
      </c>
      <c r="C29">
        <v>164</v>
      </c>
      <c r="D29">
        <v>2336</v>
      </c>
      <c r="E29" s="1">
        <v>6.5600000000000006E-2</v>
      </c>
      <c r="F29" s="1">
        <v>0.93440000000000001</v>
      </c>
      <c r="G29">
        <v>70</v>
      </c>
      <c r="H29">
        <v>1</v>
      </c>
      <c r="I29">
        <v>164</v>
      </c>
      <c r="J29" s="20">
        <v>1</v>
      </c>
      <c r="K29">
        <v>7</v>
      </c>
      <c r="L29">
        <v>12</v>
      </c>
      <c r="M29">
        <v>12</v>
      </c>
      <c r="N29">
        <v>12</v>
      </c>
      <c r="O29">
        <v>84</v>
      </c>
      <c r="P29" s="1">
        <v>0.51219499999999996</v>
      </c>
    </row>
    <row r="30" spans="1:16" x14ac:dyDescent="0.25">
      <c r="A30" t="s">
        <v>16</v>
      </c>
      <c r="B30" s="16">
        <v>477206977</v>
      </c>
      <c r="C30">
        <v>236</v>
      </c>
      <c r="D30">
        <v>2264</v>
      </c>
      <c r="E30" s="1">
        <v>9.4399999999999998E-2</v>
      </c>
      <c r="F30" s="1">
        <v>0.90559999999999996</v>
      </c>
      <c r="G30">
        <v>81</v>
      </c>
      <c r="H30">
        <v>1</v>
      </c>
      <c r="I30">
        <v>236</v>
      </c>
      <c r="J30" s="20">
        <v>1</v>
      </c>
      <c r="K30">
        <v>10</v>
      </c>
      <c r="L30">
        <v>12.2</v>
      </c>
      <c r="M30">
        <v>13</v>
      </c>
      <c r="N30">
        <v>12</v>
      </c>
      <c r="O30">
        <v>122</v>
      </c>
      <c r="P30" s="1">
        <v>0.51694899999999999</v>
      </c>
    </row>
    <row r="31" spans="1:16" x14ac:dyDescent="0.25">
      <c r="A31" t="s">
        <v>16</v>
      </c>
      <c r="B31" s="16">
        <v>1574443311</v>
      </c>
      <c r="C31">
        <v>266</v>
      </c>
      <c r="D31">
        <v>2234</v>
      </c>
      <c r="E31" s="1">
        <v>0.10639999999999999</v>
      </c>
      <c r="F31" s="1">
        <v>0.89359999999999995</v>
      </c>
      <c r="G31">
        <v>110</v>
      </c>
      <c r="H31">
        <v>1</v>
      </c>
      <c r="I31">
        <v>266</v>
      </c>
      <c r="J31" s="20">
        <v>1</v>
      </c>
      <c r="K31">
        <v>11</v>
      </c>
      <c r="L31">
        <v>12.090909</v>
      </c>
      <c r="M31">
        <v>13</v>
      </c>
      <c r="N31">
        <v>12</v>
      </c>
      <c r="O31">
        <v>133</v>
      </c>
      <c r="P31" s="1">
        <v>0.5</v>
      </c>
    </row>
    <row r="32" spans="1:16" x14ac:dyDescent="0.25">
      <c r="A32" t="s">
        <v>16</v>
      </c>
      <c r="B32" s="16">
        <v>1706576820</v>
      </c>
      <c r="C32">
        <v>97</v>
      </c>
      <c r="D32">
        <v>2403</v>
      </c>
      <c r="E32" s="1">
        <v>3.8800000000000001E-2</v>
      </c>
      <c r="F32" s="1">
        <v>0.96120000000000005</v>
      </c>
      <c r="G32">
        <v>36</v>
      </c>
      <c r="H32">
        <v>1</v>
      </c>
      <c r="I32">
        <v>97</v>
      </c>
      <c r="J32" s="20">
        <v>1</v>
      </c>
      <c r="K32">
        <v>4</v>
      </c>
      <c r="L32">
        <v>12</v>
      </c>
      <c r="M32">
        <v>12</v>
      </c>
      <c r="N32">
        <v>12</v>
      </c>
      <c r="O32">
        <v>48</v>
      </c>
      <c r="P32" s="1">
        <v>0.49484499999999998</v>
      </c>
    </row>
    <row r="33" spans="1:16" x14ac:dyDescent="0.25">
      <c r="A33" t="s">
        <v>16</v>
      </c>
      <c r="B33" s="16">
        <v>652550061</v>
      </c>
      <c r="C33">
        <v>305</v>
      </c>
      <c r="D33">
        <v>2195</v>
      </c>
      <c r="E33" s="1">
        <v>0.122</v>
      </c>
      <c r="F33" s="1">
        <v>0.878</v>
      </c>
      <c r="G33">
        <v>119</v>
      </c>
      <c r="H33">
        <v>1</v>
      </c>
      <c r="I33">
        <v>305</v>
      </c>
      <c r="J33" s="20">
        <v>1</v>
      </c>
      <c r="K33">
        <v>14</v>
      </c>
      <c r="L33">
        <v>12.142856999999999</v>
      </c>
      <c r="M33">
        <v>13</v>
      </c>
      <c r="N33">
        <v>12</v>
      </c>
      <c r="O33">
        <v>170</v>
      </c>
      <c r="P33" s="1">
        <v>0.55737700000000001</v>
      </c>
    </row>
    <row r="34" spans="1:16" x14ac:dyDescent="0.25">
      <c r="A34" t="s">
        <v>16</v>
      </c>
      <c r="B34" s="16">
        <v>1938141998</v>
      </c>
      <c r="C34">
        <v>564</v>
      </c>
      <c r="D34">
        <v>1936</v>
      </c>
      <c r="E34" s="1">
        <v>0.22559999999999999</v>
      </c>
      <c r="F34" s="1">
        <v>0.77439999999999998</v>
      </c>
      <c r="G34">
        <v>127</v>
      </c>
      <c r="H34">
        <v>1</v>
      </c>
      <c r="I34">
        <v>564</v>
      </c>
      <c r="J34" s="20">
        <v>1</v>
      </c>
      <c r="K34">
        <v>25</v>
      </c>
      <c r="L34">
        <v>12.2</v>
      </c>
      <c r="M34">
        <v>13</v>
      </c>
      <c r="N34">
        <v>12</v>
      </c>
      <c r="O34">
        <v>305</v>
      </c>
      <c r="P34" s="1">
        <v>0.54078000000000004</v>
      </c>
    </row>
    <row r="35" spans="1:16" x14ac:dyDescent="0.25">
      <c r="A35" t="s">
        <v>16</v>
      </c>
      <c r="B35" s="16">
        <v>71936420</v>
      </c>
      <c r="C35">
        <v>625</v>
      </c>
      <c r="D35">
        <v>1875</v>
      </c>
      <c r="E35" s="1">
        <v>0.25</v>
      </c>
      <c r="F35" s="1">
        <v>0.75</v>
      </c>
      <c r="G35">
        <v>242</v>
      </c>
      <c r="H35">
        <v>1</v>
      </c>
      <c r="I35">
        <v>625</v>
      </c>
      <c r="J35" s="20">
        <v>1</v>
      </c>
      <c r="K35">
        <v>26</v>
      </c>
      <c r="L35">
        <v>12.192308000000001</v>
      </c>
      <c r="M35">
        <v>13</v>
      </c>
      <c r="N35">
        <v>12</v>
      </c>
      <c r="O35">
        <v>317</v>
      </c>
      <c r="P35" s="1">
        <v>0.50719999999999998</v>
      </c>
    </row>
    <row r="36" spans="1:16" x14ac:dyDescent="0.25">
      <c r="A36" t="s">
        <v>16</v>
      </c>
      <c r="B36" s="16">
        <v>344168561</v>
      </c>
      <c r="C36">
        <v>71</v>
      </c>
      <c r="D36">
        <v>2429</v>
      </c>
      <c r="E36" s="1">
        <v>2.8400000000000002E-2</v>
      </c>
      <c r="F36" s="1">
        <v>0.97160000000000002</v>
      </c>
      <c r="G36">
        <v>31</v>
      </c>
      <c r="H36">
        <v>1</v>
      </c>
      <c r="I36">
        <v>71</v>
      </c>
      <c r="J36" s="20">
        <v>1</v>
      </c>
      <c r="K36">
        <v>3</v>
      </c>
      <c r="L36">
        <v>12</v>
      </c>
      <c r="M36">
        <v>12</v>
      </c>
      <c r="N36">
        <v>12</v>
      </c>
      <c r="O36">
        <v>36</v>
      </c>
      <c r="P36" s="1">
        <v>0.50704199999999999</v>
      </c>
    </row>
    <row r="37" spans="1:16" x14ac:dyDescent="0.25">
      <c r="A37" t="s">
        <v>16</v>
      </c>
      <c r="B37" s="16">
        <v>1116321916</v>
      </c>
      <c r="C37">
        <v>250</v>
      </c>
      <c r="D37">
        <v>2250</v>
      </c>
      <c r="E37" s="1">
        <v>0.1</v>
      </c>
      <c r="F37" s="1">
        <v>0.9</v>
      </c>
      <c r="G37">
        <v>86</v>
      </c>
      <c r="H37">
        <v>1</v>
      </c>
      <c r="I37">
        <v>250</v>
      </c>
      <c r="J37" s="20">
        <v>1</v>
      </c>
      <c r="K37">
        <v>11</v>
      </c>
      <c r="L37">
        <v>12.181818</v>
      </c>
      <c r="M37">
        <v>13</v>
      </c>
      <c r="N37">
        <v>12</v>
      </c>
      <c r="O37">
        <v>134</v>
      </c>
      <c r="P37" s="1">
        <v>0.53600000000000003</v>
      </c>
    </row>
    <row r="38" spans="1:16" x14ac:dyDescent="0.25">
      <c r="A38" t="s">
        <v>16</v>
      </c>
      <c r="B38" s="16">
        <v>1992386358</v>
      </c>
      <c r="C38">
        <v>270</v>
      </c>
      <c r="D38">
        <v>2230</v>
      </c>
      <c r="E38" s="1">
        <v>0.108</v>
      </c>
      <c r="F38" s="1">
        <v>0.89200000000000002</v>
      </c>
      <c r="G38">
        <v>89</v>
      </c>
      <c r="H38">
        <v>1</v>
      </c>
      <c r="I38">
        <v>270</v>
      </c>
      <c r="J38" s="20">
        <v>1</v>
      </c>
      <c r="K38">
        <v>12</v>
      </c>
      <c r="L38">
        <v>12</v>
      </c>
      <c r="M38">
        <v>12</v>
      </c>
      <c r="N38">
        <v>12</v>
      </c>
      <c r="O38">
        <v>144</v>
      </c>
      <c r="P38" s="1">
        <v>0.53333299999999995</v>
      </c>
    </row>
    <row r="39" spans="1:16" x14ac:dyDescent="0.25">
      <c r="A39" t="s">
        <v>16</v>
      </c>
      <c r="B39" s="16">
        <v>1385073381</v>
      </c>
      <c r="C39">
        <v>296</v>
      </c>
      <c r="D39">
        <v>2204</v>
      </c>
      <c r="E39" s="1">
        <v>0.11840000000000001</v>
      </c>
      <c r="F39" s="1">
        <v>0.88160000000000005</v>
      </c>
      <c r="G39">
        <v>106</v>
      </c>
      <c r="H39">
        <v>1</v>
      </c>
      <c r="I39">
        <v>296</v>
      </c>
      <c r="J39" s="20">
        <v>1</v>
      </c>
      <c r="K39">
        <v>13</v>
      </c>
      <c r="L39">
        <v>12.153846</v>
      </c>
      <c r="M39">
        <v>13</v>
      </c>
      <c r="N39">
        <v>12</v>
      </c>
      <c r="O39">
        <v>158</v>
      </c>
      <c r="P39" s="1">
        <v>0.53378400000000004</v>
      </c>
    </row>
    <row r="40" spans="1:16" x14ac:dyDescent="0.25">
      <c r="A40" t="s">
        <v>16</v>
      </c>
      <c r="B40" s="16">
        <v>993538610</v>
      </c>
      <c r="C40">
        <v>330</v>
      </c>
      <c r="D40">
        <v>2170</v>
      </c>
      <c r="E40" s="1">
        <v>0.13200000000000001</v>
      </c>
      <c r="F40" s="1">
        <v>0.86799999999999999</v>
      </c>
      <c r="G40">
        <v>97</v>
      </c>
      <c r="H40">
        <v>1</v>
      </c>
      <c r="I40">
        <v>330</v>
      </c>
      <c r="J40" s="20">
        <v>1</v>
      </c>
      <c r="K40">
        <v>16</v>
      </c>
      <c r="L40">
        <v>12.1875</v>
      </c>
      <c r="M40">
        <v>13</v>
      </c>
      <c r="N40">
        <v>12</v>
      </c>
      <c r="O40">
        <v>195</v>
      </c>
      <c r="P40" s="1">
        <v>0.59090900000000002</v>
      </c>
    </row>
    <row r="41" spans="1:16" x14ac:dyDescent="0.25">
      <c r="A41" t="s">
        <v>16</v>
      </c>
      <c r="B41" s="16">
        <v>2094476225</v>
      </c>
      <c r="C41">
        <v>261</v>
      </c>
      <c r="D41">
        <v>2239</v>
      </c>
      <c r="E41" s="1">
        <v>0.10440000000000001</v>
      </c>
      <c r="F41" s="1">
        <v>0.89559999999999995</v>
      </c>
      <c r="G41">
        <v>83</v>
      </c>
      <c r="H41">
        <v>1</v>
      </c>
      <c r="I41">
        <v>261</v>
      </c>
      <c r="J41" s="20">
        <v>1</v>
      </c>
      <c r="K41">
        <v>12</v>
      </c>
      <c r="L41">
        <v>12.25</v>
      </c>
      <c r="M41">
        <v>13</v>
      </c>
      <c r="N41">
        <v>12</v>
      </c>
      <c r="O41">
        <v>147</v>
      </c>
      <c r="P41" s="1">
        <v>0.563218</v>
      </c>
    </row>
    <row r="42" spans="1:16" x14ac:dyDescent="0.25">
      <c r="A42" t="s">
        <v>16</v>
      </c>
      <c r="B42" s="16">
        <v>1269352745</v>
      </c>
      <c r="C42">
        <v>133</v>
      </c>
      <c r="D42">
        <v>2367</v>
      </c>
      <c r="E42" s="1">
        <v>5.3199999999999997E-2</v>
      </c>
      <c r="F42" s="1">
        <v>0.94679999999999997</v>
      </c>
      <c r="G42">
        <v>44</v>
      </c>
      <c r="H42">
        <v>1</v>
      </c>
      <c r="I42">
        <v>133</v>
      </c>
      <c r="J42" s="20">
        <v>1</v>
      </c>
      <c r="K42">
        <v>6</v>
      </c>
      <c r="L42">
        <v>12.166667</v>
      </c>
      <c r="M42">
        <v>13</v>
      </c>
      <c r="N42">
        <v>12</v>
      </c>
      <c r="O42">
        <v>73</v>
      </c>
      <c r="P42" s="1">
        <v>0.54887200000000003</v>
      </c>
    </row>
    <row r="43" spans="1:16" x14ac:dyDescent="0.25">
      <c r="A43" t="s">
        <v>16</v>
      </c>
      <c r="B43" s="16">
        <v>342465157</v>
      </c>
      <c r="C43">
        <v>304</v>
      </c>
      <c r="D43">
        <v>2196</v>
      </c>
      <c r="E43" s="1">
        <v>0.1216</v>
      </c>
      <c r="F43" s="1">
        <v>0.87839999999999996</v>
      </c>
      <c r="G43">
        <v>132</v>
      </c>
      <c r="H43">
        <v>1</v>
      </c>
      <c r="I43">
        <v>304</v>
      </c>
      <c r="J43" s="20">
        <v>1</v>
      </c>
      <c r="K43">
        <v>13</v>
      </c>
      <c r="L43">
        <v>12</v>
      </c>
      <c r="M43">
        <v>12</v>
      </c>
      <c r="N43">
        <v>12</v>
      </c>
      <c r="O43">
        <v>156</v>
      </c>
      <c r="P43" s="1">
        <v>0.513158</v>
      </c>
    </row>
    <row r="44" spans="1:16" x14ac:dyDescent="0.25">
      <c r="A44" t="s">
        <v>16</v>
      </c>
      <c r="B44" s="16">
        <v>1478986412</v>
      </c>
      <c r="C44">
        <v>532</v>
      </c>
      <c r="D44">
        <v>1968</v>
      </c>
      <c r="E44" s="1">
        <v>0.21279999999999999</v>
      </c>
      <c r="F44" s="1">
        <v>0.78720000000000001</v>
      </c>
      <c r="G44">
        <v>192</v>
      </c>
      <c r="H44">
        <v>1</v>
      </c>
      <c r="I44">
        <v>532</v>
      </c>
      <c r="J44" s="20">
        <v>1</v>
      </c>
      <c r="K44">
        <v>23</v>
      </c>
      <c r="L44">
        <v>12.260870000000001</v>
      </c>
      <c r="M44">
        <v>13</v>
      </c>
      <c r="N44">
        <v>12</v>
      </c>
      <c r="O44">
        <v>282</v>
      </c>
      <c r="P44" s="1">
        <v>0.53007499999999996</v>
      </c>
    </row>
    <row r="45" spans="1:16" x14ac:dyDescent="0.25">
      <c r="A45" t="s">
        <v>16</v>
      </c>
      <c r="B45" s="16">
        <v>355132089</v>
      </c>
      <c r="C45">
        <v>475</v>
      </c>
      <c r="D45">
        <v>2025</v>
      </c>
      <c r="E45" s="1">
        <v>0.19</v>
      </c>
      <c r="F45" s="1">
        <v>0.81</v>
      </c>
      <c r="G45">
        <v>162</v>
      </c>
      <c r="H45">
        <v>1</v>
      </c>
      <c r="I45">
        <v>475</v>
      </c>
      <c r="J45" s="20">
        <v>1</v>
      </c>
      <c r="K45">
        <v>22</v>
      </c>
      <c r="L45">
        <v>12.227273</v>
      </c>
      <c r="M45">
        <v>13</v>
      </c>
      <c r="N45">
        <v>12</v>
      </c>
      <c r="O45">
        <v>269</v>
      </c>
      <c r="P45" s="1">
        <v>0.56631600000000004</v>
      </c>
    </row>
    <row r="46" spans="1:16" x14ac:dyDescent="0.25">
      <c r="A46" t="s">
        <v>16</v>
      </c>
      <c r="B46" s="16">
        <v>1782758563</v>
      </c>
      <c r="C46">
        <v>285</v>
      </c>
      <c r="D46">
        <v>2215</v>
      </c>
      <c r="E46" s="1">
        <v>0.114</v>
      </c>
      <c r="F46" s="1">
        <v>0.88600000000000001</v>
      </c>
      <c r="G46">
        <v>55</v>
      </c>
      <c r="H46">
        <v>1</v>
      </c>
      <c r="I46">
        <v>285</v>
      </c>
      <c r="J46" s="20">
        <v>1</v>
      </c>
      <c r="K46">
        <v>12</v>
      </c>
      <c r="L46">
        <v>12.083333</v>
      </c>
      <c r="M46">
        <v>13</v>
      </c>
      <c r="N46">
        <v>12</v>
      </c>
      <c r="O46">
        <v>145</v>
      </c>
      <c r="P46" s="1">
        <v>0.508772</v>
      </c>
    </row>
    <row r="47" spans="1:16" x14ac:dyDescent="0.25">
      <c r="A47" t="s">
        <v>16</v>
      </c>
      <c r="B47" s="16">
        <v>1639940340</v>
      </c>
      <c r="C47">
        <v>438</v>
      </c>
      <c r="D47">
        <v>2062</v>
      </c>
      <c r="E47" s="1">
        <v>0.17519999999999999</v>
      </c>
      <c r="F47" s="1">
        <v>0.82479999999999998</v>
      </c>
      <c r="G47">
        <v>145</v>
      </c>
      <c r="H47">
        <v>1</v>
      </c>
      <c r="I47">
        <v>438</v>
      </c>
      <c r="J47" s="20">
        <v>1</v>
      </c>
      <c r="K47">
        <v>20</v>
      </c>
      <c r="L47">
        <v>12.1</v>
      </c>
      <c r="M47">
        <v>13</v>
      </c>
      <c r="N47">
        <v>12</v>
      </c>
      <c r="O47">
        <v>242</v>
      </c>
      <c r="P47" s="1">
        <v>0.55251099999999997</v>
      </c>
    </row>
    <row r="48" spans="1:16" x14ac:dyDescent="0.25">
      <c r="A48" t="s">
        <v>16</v>
      </c>
      <c r="B48" s="16">
        <v>530920325</v>
      </c>
      <c r="C48">
        <v>440</v>
      </c>
      <c r="D48">
        <v>2060</v>
      </c>
      <c r="E48" s="1">
        <v>0.17599999999999999</v>
      </c>
      <c r="F48" s="1">
        <v>0.82399999999999995</v>
      </c>
      <c r="G48">
        <v>182</v>
      </c>
      <c r="H48">
        <v>1</v>
      </c>
      <c r="I48">
        <v>440</v>
      </c>
      <c r="J48" s="20">
        <v>1</v>
      </c>
      <c r="K48">
        <v>18</v>
      </c>
      <c r="L48">
        <v>12.055555999999999</v>
      </c>
      <c r="M48">
        <v>13</v>
      </c>
      <c r="N48">
        <v>12</v>
      </c>
      <c r="O48">
        <v>217</v>
      </c>
      <c r="P48" s="1">
        <v>0.49318200000000001</v>
      </c>
    </row>
    <row r="49" spans="1:16" x14ac:dyDescent="0.25">
      <c r="A49" t="s">
        <v>16</v>
      </c>
      <c r="B49" s="16">
        <v>380922099</v>
      </c>
      <c r="C49">
        <v>409</v>
      </c>
      <c r="D49">
        <v>2091</v>
      </c>
      <c r="E49" s="1">
        <v>0.1636</v>
      </c>
      <c r="F49" s="1">
        <v>0.83640000000000003</v>
      </c>
      <c r="G49">
        <v>135</v>
      </c>
      <c r="H49">
        <v>1</v>
      </c>
      <c r="I49">
        <v>409</v>
      </c>
      <c r="J49" s="20">
        <v>1</v>
      </c>
      <c r="K49">
        <v>19</v>
      </c>
      <c r="L49">
        <v>12.210526</v>
      </c>
      <c r="M49">
        <v>13</v>
      </c>
      <c r="N49">
        <v>12</v>
      </c>
      <c r="O49">
        <v>232</v>
      </c>
      <c r="P49" s="1">
        <v>0.56723699999999999</v>
      </c>
    </row>
    <row r="50" spans="1:16" x14ac:dyDescent="0.25">
      <c r="A50" t="s">
        <v>16</v>
      </c>
      <c r="B50" s="16">
        <v>1372912963</v>
      </c>
      <c r="C50">
        <v>157</v>
      </c>
      <c r="D50">
        <v>2343</v>
      </c>
      <c r="E50" s="1">
        <v>6.2799999999999995E-2</v>
      </c>
      <c r="F50" s="1">
        <v>0.93720000000000003</v>
      </c>
      <c r="G50">
        <v>57</v>
      </c>
      <c r="H50">
        <v>1</v>
      </c>
      <c r="I50">
        <v>157</v>
      </c>
      <c r="J50" s="20">
        <v>1</v>
      </c>
      <c r="K50">
        <v>7</v>
      </c>
      <c r="L50">
        <v>12</v>
      </c>
      <c r="M50">
        <v>12</v>
      </c>
      <c r="N50">
        <v>12</v>
      </c>
      <c r="O50">
        <v>84</v>
      </c>
      <c r="P50" s="1">
        <v>0.53503199999999995</v>
      </c>
    </row>
    <row r="51" spans="1:16" x14ac:dyDescent="0.25">
      <c r="A51" t="s">
        <v>16</v>
      </c>
      <c r="B51" s="16">
        <v>140749881</v>
      </c>
      <c r="C51">
        <v>440</v>
      </c>
      <c r="D51">
        <v>2060</v>
      </c>
      <c r="E51" s="1">
        <v>0.17599999999999999</v>
      </c>
      <c r="F51" s="1">
        <v>0.82399999999999995</v>
      </c>
      <c r="G51">
        <v>146</v>
      </c>
      <c r="H51">
        <v>1</v>
      </c>
      <c r="I51">
        <v>440</v>
      </c>
      <c r="J51" s="20">
        <v>1</v>
      </c>
      <c r="K51">
        <v>19</v>
      </c>
      <c r="L51">
        <v>12.157895</v>
      </c>
      <c r="M51">
        <v>13</v>
      </c>
      <c r="N51">
        <v>12</v>
      </c>
      <c r="O51">
        <v>231</v>
      </c>
      <c r="P51" s="1">
        <v>0.52500000000000002</v>
      </c>
    </row>
    <row r="52" spans="1:16" x14ac:dyDescent="0.25">
      <c r="A52" t="s">
        <v>26</v>
      </c>
      <c r="C52">
        <f>SUBTOTAL(101,AgCon_room4_corr7[floors])</f>
        <v>290.74</v>
      </c>
      <c r="D52">
        <f>SUBTOTAL(101,AgCon_room4_corr7[walls])</f>
        <v>2209.2600000000002</v>
      </c>
      <c r="E52" s="2">
        <f>SUBTOTAL(101,AgCon_room4_corr7[floor_percent])</f>
        <v>0.11629600000000001</v>
      </c>
      <c r="F52" s="2">
        <f>SUBTOTAL(101,AgCon_room4_corr7[wall_percent])</f>
        <v>0.88370400000000016</v>
      </c>
      <c r="G52">
        <f>SUBTOTAL(101,AgCon_room4_corr7[longest_shortest_path])</f>
        <v>104</v>
      </c>
      <c r="H52">
        <f>SUBTOTAL(101,AgCon_room4_corr7[component_count])</f>
        <v>1</v>
      </c>
      <c r="I52">
        <f>SUBTOTAL(101,AgCon_room4_corr7[max_component_size])</f>
        <v>290.74</v>
      </c>
      <c r="J52" s="20">
        <f>SUBTOTAL(101,AgCon_room4_corr7[connectivity_ratio])</f>
        <v>1</v>
      </c>
      <c r="K52">
        <f>SUBTOTAL(101,AgCon_room4_corr7[room_count])</f>
        <v>12.56</v>
      </c>
      <c r="L52">
        <f>SUBTOTAL(101,AgCon_room4_corr7[avg_room_size])</f>
        <v>12.155140579999999</v>
      </c>
      <c r="M52">
        <f>SUBTOTAL(101,AgCon_room4_corr7[max_room_size])</f>
        <v>13.02</v>
      </c>
      <c r="N52">
        <f>SUBTOTAL(101,AgCon_room4_corr7[min_room_size])</f>
        <v>12</v>
      </c>
      <c r="O52">
        <f>SUBTOTAL(101,AgCon_room4_corr7[room_tiles])</f>
        <v>152.82</v>
      </c>
      <c r="P52" s="2">
        <f>SUBTOTAL(101,AgCon_room4_corr7[room_ratio])</f>
        <v>0.51680792000000009</v>
      </c>
    </row>
    <row r="53" spans="1:16" x14ac:dyDescent="0.25">
      <c r="A53" s="19" t="s">
        <v>32</v>
      </c>
      <c r="B53" s="19"/>
      <c r="C53" s="19"/>
      <c r="D53" s="19"/>
    </row>
  </sheetData>
  <mergeCells count="1">
    <mergeCell ref="A53:D53"/>
  </mergeCell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5022-41FF-4C33-AEFB-E384ED7D58E0}">
  <dimension ref="A1:P53"/>
  <sheetViews>
    <sheetView topLeftCell="A25" workbookViewId="0">
      <selection activeCell="J25" sqref="J1:J1048576"/>
    </sheetView>
  </sheetViews>
  <sheetFormatPr defaultRowHeight="15" x14ac:dyDescent="0.25"/>
  <cols>
    <col min="1" max="1" width="32.28515625" bestFit="1" customWidth="1"/>
    <col min="2" max="2" width="11" style="16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6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6">
        <v>1533265065</v>
      </c>
      <c r="C2">
        <v>671</v>
      </c>
      <c r="D2">
        <v>1829</v>
      </c>
      <c r="E2" s="1">
        <v>0.26840000000000003</v>
      </c>
      <c r="F2" s="1">
        <v>0.73160000000000003</v>
      </c>
      <c r="G2">
        <v>57</v>
      </c>
      <c r="H2">
        <v>1</v>
      </c>
      <c r="I2">
        <v>671</v>
      </c>
      <c r="J2" s="20">
        <v>1</v>
      </c>
      <c r="K2">
        <v>7</v>
      </c>
      <c r="L2">
        <v>81.857142999999994</v>
      </c>
      <c r="M2">
        <v>96</v>
      </c>
      <c r="N2">
        <v>37</v>
      </c>
      <c r="O2">
        <v>573</v>
      </c>
      <c r="P2" s="1">
        <v>0.85394899999999996</v>
      </c>
    </row>
    <row r="3" spans="1:16" x14ac:dyDescent="0.25">
      <c r="A3" t="s">
        <v>16</v>
      </c>
      <c r="B3" s="16">
        <v>848341972</v>
      </c>
      <c r="C3">
        <v>822</v>
      </c>
      <c r="D3">
        <v>1678</v>
      </c>
      <c r="E3" s="1">
        <v>0.32879999999999998</v>
      </c>
      <c r="F3" s="1">
        <v>0.67120000000000002</v>
      </c>
      <c r="G3">
        <v>134</v>
      </c>
      <c r="H3">
        <v>1</v>
      </c>
      <c r="I3">
        <v>822</v>
      </c>
      <c r="J3" s="20">
        <v>1</v>
      </c>
      <c r="K3">
        <v>12</v>
      </c>
      <c r="L3">
        <v>60.166666999999997</v>
      </c>
      <c r="M3">
        <v>96</v>
      </c>
      <c r="N3">
        <v>12</v>
      </c>
      <c r="O3">
        <v>722</v>
      </c>
      <c r="P3" s="1">
        <v>0.87834500000000004</v>
      </c>
    </row>
    <row r="4" spans="1:16" x14ac:dyDescent="0.25">
      <c r="A4" t="s">
        <v>16</v>
      </c>
      <c r="B4" s="16">
        <v>1646687007</v>
      </c>
      <c r="C4">
        <v>913</v>
      </c>
      <c r="D4">
        <v>1587</v>
      </c>
      <c r="E4" s="1">
        <v>0.36520000000000002</v>
      </c>
      <c r="F4" s="1">
        <v>0.63480000000000003</v>
      </c>
      <c r="G4">
        <v>194</v>
      </c>
      <c r="H4">
        <v>1</v>
      </c>
      <c r="I4">
        <v>913</v>
      </c>
      <c r="J4" s="20">
        <v>1</v>
      </c>
      <c r="K4">
        <v>11</v>
      </c>
      <c r="L4">
        <v>67.818181999999993</v>
      </c>
      <c r="M4">
        <v>96</v>
      </c>
      <c r="N4">
        <v>36</v>
      </c>
      <c r="O4">
        <v>746</v>
      </c>
      <c r="P4" s="1">
        <v>0.81708700000000001</v>
      </c>
    </row>
    <row r="5" spans="1:16" x14ac:dyDescent="0.25">
      <c r="A5" t="s">
        <v>16</v>
      </c>
      <c r="B5" s="16">
        <v>1712800076</v>
      </c>
      <c r="C5">
        <v>1007</v>
      </c>
      <c r="D5">
        <v>1493</v>
      </c>
      <c r="E5" s="1">
        <v>0.40279999999999999</v>
      </c>
      <c r="F5" s="1">
        <v>0.59719999999999995</v>
      </c>
      <c r="G5">
        <v>161</v>
      </c>
      <c r="H5">
        <v>1</v>
      </c>
      <c r="I5">
        <v>1007</v>
      </c>
      <c r="J5" s="20">
        <v>1</v>
      </c>
      <c r="K5">
        <v>9</v>
      </c>
      <c r="L5">
        <v>96</v>
      </c>
      <c r="M5">
        <v>96</v>
      </c>
      <c r="N5">
        <v>96</v>
      </c>
      <c r="O5">
        <v>864</v>
      </c>
      <c r="P5" s="1">
        <v>0.85799400000000003</v>
      </c>
    </row>
    <row r="6" spans="1:16" x14ac:dyDescent="0.25">
      <c r="A6" t="s">
        <v>16</v>
      </c>
      <c r="B6" s="16">
        <v>628834511</v>
      </c>
      <c r="C6">
        <v>1116</v>
      </c>
      <c r="D6">
        <v>1384</v>
      </c>
      <c r="E6" s="1">
        <v>0.44640000000000002</v>
      </c>
      <c r="F6" s="1">
        <v>0.55359999999999998</v>
      </c>
      <c r="G6">
        <v>170</v>
      </c>
      <c r="H6">
        <v>1</v>
      </c>
      <c r="I6">
        <v>1116</v>
      </c>
      <c r="J6" s="20">
        <v>1</v>
      </c>
      <c r="K6">
        <v>16</v>
      </c>
      <c r="L6">
        <v>61.25</v>
      </c>
      <c r="M6">
        <v>96</v>
      </c>
      <c r="N6">
        <v>12</v>
      </c>
      <c r="O6">
        <v>980</v>
      </c>
      <c r="P6" s="1">
        <v>0.87813600000000003</v>
      </c>
    </row>
    <row r="7" spans="1:16" x14ac:dyDescent="0.25">
      <c r="A7" t="s">
        <v>16</v>
      </c>
      <c r="B7" s="16">
        <v>1253553057</v>
      </c>
      <c r="C7">
        <v>898</v>
      </c>
      <c r="D7">
        <v>1602</v>
      </c>
      <c r="E7" s="1">
        <v>0.35920000000000002</v>
      </c>
      <c r="F7" s="1">
        <v>0.64080000000000004</v>
      </c>
      <c r="G7">
        <v>153</v>
      </c>
      <c r="H7">
        <v>1</v>
      </c>
      <c r="I7">
        <v>898</v>
      </c>
      <c r="J7" s="20">
        <v>1</v>
      </c>
      <c r="K7">
        <v>8</v>
      </c>
      <c r="L7">
        <v>91</v>
      </c>
      <c r="M7">
        <v>96</v>
      </c>
      <c r="N7">
        <v>56</v>
      </c>
      <c r="O7">
        <v>728</v>
      </c>
      <c r="P7" s="1">
        <v>0.81069000000000002</v>
      </c>
    </row>
    <row r="8" spans="1:16" x14ac:dyDescent="0.25">
      <c r="A8" t="s">
        <v>16</v>
      </c>
      <c r="B8" s="16">
        <v>1366788423</v>
      </c>
      <c r="C8">
        <v>622</v>
      </c>
      <c r="D8">
        <v>1878</v>
      </c>
      <c r="E8" s="1">
        <v>0.24879999999999999</v>
      </c>
      <c r="F8" s="1">
        <v>0.75119999999999998</v>
      </c>
      <c r="G8">
        <v>163</v>
      </c>
      <c r="H8">
        <v>1</v>
      </c>
      <c r="I8">
        <v>622</v>
      </c>
      <c r="J8" s="20">
        <v>1</v>
      </c>
      <c r="K8">
        <v>5</v>
      </c>
      <c r="L8">
        <v>96</v>
      </c>
      <c r="M8">
        <v>96</v>
      </c>
      <c r="N8">
        <v>96</v>
      </c>
      <c r="O8">
        <v>480</v>
      </c>
      <c r="P8" s="1">
        <v>0.77170399999999995</v>
      </c>
    </row>
    <row r="9" spans="1:16" x14ac:dyDescent="0.25">
      <c r="A9" t="s">
        <v>16</v>
      </c>
      <c r="B9" s="16">
        <v>1591832579</v>
      </c>
      <c r="C9">
        <v>1049</v>
      </c>
      <c r="D9">
        <v>1451</v>
      </c>
      <c r="E9" s="1">
        <v>0.41959999999999997</v>
      </c>
      <c r="F9" s="1">
        <v>0.58040000000000003</v>
      </c>
      <c r="G9">
        <v>145</v>
      </c>
      <c r="H9">
        <v>1</v>
      </c>
      <c r="I9">
        <v>1049</v>
      </c>
      <c r="J9" s="20">
        <v>1</v>
      </c>
      <c r="K9">
        <v>11</v>
      </c>
      <c r="L9">
        <v>83.272727000000003</v>
      </c>
      <c r="M9">
        <v>96</v>
      </c>
      <c r="N9">
        <v>36</v>
      </c>
      <c r="O9">
        <v>916</v>
      </c>
      <c r="P9" s="1">
        <v>0.87321300000000002</v>
      </c>
    </row>
    <row r="10" spans="1:16" x14ac:dyDescent="0.25">
      <c r="A10" t="s">
        <v>16</v>
      </c>
      <c r="B10" s="16">
        <v>980317416</v>
      </c>
      <c r="C10">
        <v>715</v>
      </c>
      <c r="D10">
        <v>1785</v>
      </c>
      <c r="E10" s="1">
        <v>0.28599999999999998</v>
      </c>
      <c r="F10" s="1">
        <v>0.71399999999999997</v>
      </c>
      <c r="G10">
        <v>47</v>
      </c>
      <c r="H10">
        <v>1</v>
      </c>
      <c r="I10">
        <v>715</v>
      </c>
      <c r="J10" s="20">
        <v>1</v>
      </c>
      <c r="K10">
        <v>7</v>
      </c>
      <c r="L10">
        <v>93.285713999999999</v>
      </c>
      <c r="M10">
        <v>97</v>
      </c>
      <c r="N10">
        <v>76</v>
      </c>
      <c r="O10">
        <v>653</v>
      </c>
      <c r="P10" s="1">
        <v>0.91328699999999996</v>
      </c>
    </row>
    <row r="11" spans="1:16" x14ac:dyDescent="0.25">
      <c r="A11" t="s">
        <v>16</v>
      </c>
      <c r="B11" s="16">
        <v>383434223</v>
      </c>
      <c r="C11">
        <v>578</v>
      </c>
      <c r="D11">
        <v>1922</v>
      </c>
      <c r="E11" s="1">
        <v>0.23119999999999999</v>
      </c>
      <c r="F11" s="1">
        <v>0.76880000000000004</v>
      </c>
      <c r="G11">
        <v>65</v>
      </c>
      <c r="H11">
        <v>1</v>
      </c>
      <c r="I11">
        <v>578</v>
      </c>
      <c r="J11" s="20">
        <v>1</v>
      </c>
      <c r="K11">
        <v>5</v>
      </c>
      <c r="L11">
        <v>97.8</v>
      </c>
      <c r="M11">
        <v>105</v>
      </c>
      <c r="N11">
        <v>96</v>
      </c>
      <c r="O11">
        <v>489</v>
      </c>
      <c r="P11" s="1">
        <v>0.84602100000000002</v>
      </c>
    </row>
    <row r="12" spans="1:16" x14ac:dyDescent="0.25">
      <c r="A12" t="s">
        <v>16</v>
      </c>
      <c r="B12" s="16">
        <v>435300515</v>
      </c>
      <c r="C12">
        <v>1080</v>
      </c>
      <c r="D12">
        <v>1420</v>
      </c>
      <c r="E12" s="1">
        <v>0.432</v>
      </c>
      <c r="F12" s="1">
        <v>0.56799999999999995</v>
      </c>
      <c r="G12">
        <v>155</v>
      </c>
      <c r="H12">
        <v>1</v>
      </c>
      <c r="I12">
        <v>1080</v>
      </c>
      <c r="J12" s="20">
        <v>1</v>
      </c>
      <c r="K12">
        <v>11</v>
      </c>
      <c r="L12">
        <v>85.727272999999997</v>
      </c>
      <c r="M12">
        <v>96</v>
      </c>
      <c r="N12">
        <v>33</v>
      </c>
      <c r="O12">
        <v>943</v>
      </c>
      <c r="P12" s="1">
        <v>0.87314800000000004</v>
      </c>
    </row>
    <row r="13" spans="1:16" x14ac:dyDescent="0.25">
      <c r="A13" t="s">
        <v>16</v>
      </c>
      <c r="B13" s="16">
        <v>25649224</v>
      </c>
      <c r="C13">
        <v>843</v>
      </c>
      <c r="D13">
        <v>1657</v>
      </c>
      <c r="E13" s="1">
        <v>0.3372</v>
      </c>
      <c r="F13" s="1">
        <v>0.66279999999999994</v>
      </c>
      <c r="G13">
        <v>142</v>
      </c>
      <c r="H13">
        <v>1</v>
      </c>
      <c r="I13">
        <v>843</v>
      </c>
      <c r="J13" s="20">
        <v>1</v>
      </c>
      <c r="K13">
        <v>8</v>
      </c>
      <c r="L13">
        <v>90.375</v>
      </c>
      <c r="M13">
        <v>101</v>
      </c>
      <c r="N13">
        <v>46</v>
      </c>
      <c r="O13">
        <v>723</v>
      </c>
      <c r="P13" s="1">
        <v>0.85765100000000005</v>
      </c>
    </row>
    <row r="14" spans="1:16" x14ac:dyDescent="0.25">
      <c r="A14" t="s">
        <v>16</v>
      </c>
      <c r="B14" s="16">
        <v>1568609075</v>
      </c>
      <c r="C14">
        <v>1021</v>
      </c>
      <c r="D14">
        <v>1479</v>
      </c>
      <c r="E14" s="1">
        <v>0.40839999999999999</v>
      </c>
      <c r="F14" s="1">
        <v>0.59160000000000001</v>
      </c>
      <c r="G14">
        <v>173</v>
      </c>
      <c r="H14">
        <v>1</v>
      </c>
      <c r="I14">
        <v>1021</v>
      </c>
      <c r="J14" s="20">
        <v>1</v>
      </c>
      <c r="K14">
        <v>10</v>
      </c>
      <c r="L14">
        <v>86.1</v>
      </c>
      <c r="M14">
        <v>97</v>
      </c>
      <c r="N14">
        <v>46</v>
      </c>
      <c r="O14">
        <v>861</v>
      </c>
      <c r="P14" s="1">
        <v>0.84329100000000001</v>
      </c>
    </row>
    <row r="15" spans="1:16" x14ac:dyDescent="0.25">
      <c r="A15" t="s">
        <v>16</v>
      </c>
      <c r="B15" s="16">
        <v>53437440</v>
      </c>
      <c r="C15">
        <v>140</v>
      </c>
      <c r="D15">
        <v>2360</v>
      </c>
      <c r="E15" s="1">
        <v>5.6000000000000001E-2</v>
      </c>
      <c r="F15" s="1">
        <v>0.94399999999999995</v>
      </c>
      <c r="G15">
        <v>48</v>
      </c>
      <c r="H15">
        <v>1</v>
      </c>
      <c r="I15">
        <v>140</v>
      </c>
      <c r="J15" s="20">
        <v>1</v>
      </c>
      <c r="K15">
        <v>1</v>
      </c>
      <c r="L15">
        <v>96</v>
      </c>
      <c r="M15">
        <v>96</v>
      </c>
      <c r="N15">
        <v>96</v>
      </c>
      <c r="O15">
        <v>96</v>
      </c>
      <c r="P15" s="1">
        <v>0.68571400000000005</v>
      </c>
    </row>
    <row r="16" spans="1:16" x14ac:dyDescent="0.25">
      <c r="A16" t="s">
        <v>16</v>
      </c>
      <c r="B16" s="16">
        <v>731979601</v>
      </c>
      <c r="C16">
        <v>1130</v>
      </c>
      <c r="D16">
        <v>1370</v>
      </c>
      <c r="E16" s="1">
        <v>0.45200000000000001</v>
      </c>
      <c r="F16" s="1">
        <v>0.54800000000000004</v>
      </c>
      <c r="G16">
        <v>116</v>
      </c>
      <c r="H16">
        <v>1</v>
      </c>
      <c r="I16">
        <v>1130</v>
      </c>
      <c r="J16" s="20">
        <v>1</v>
      </c>
      <c r="K16">
        <v>11</v>
      </c>
      <c r="L16">
        <v>91.454544999999996</v>
      </c>
      <c r="M16">
        <v>176</v>
      </c>
      <c r="N16">
        <v>46</v>
      </c>
      <c r="O16">
        <v>1006</v>
      </c>
      <c r="P16" s="1">
        <v>0.89026499999999997</v>
      </c>
    </row>
    <row r="17" spans="1:16" x14ac:dyDescent="0.25">
      <c r="A17" t="s">
        <v>16</v>
      </c>
      <c r="B17" s="16">
        <v>381572705</v>
      </c>
      <c r="C17">
        <v>940</v>
      </c>
      <c r="D17">
        <v>1560</v>
      </c>
      <c r="E17" s="1">
        <v>0.376</v>
      </c>
      <c r="F17" s="1">
        <v>0.624</v>
      </c>
      <c r="G17">
        <v>183</v>
      </c>
      <c r="H17">
        <v>1</v>
      </c>
      <c r="I17">
        <v>940</v>
      </c>
      <c r="J17" s="20">
        <v>1</v>
      </c>
      <c r="K17">
        <v>10</v>
      </c>
      <c r="L17">
        <v>78.2</v>
      </c>
      <c r="M17">
        <v>96</v>
      </c>
      <c r="N17">
        <v>38</v>
      </c>
      <c r="O17">
        <v>782</v>
      </c>
      <c r="P17" s="1">
        <v>0.83191499999999996</v>
      </c>
    </row>
    <row r="18" spans="1:16" x14ac:dyDescent="0.25">
      <c r="A18" t="s">
        <v>16</v>
      </c>
      <c r="B18" s="16">
        <v>1284923828</v>
      </c>
      <c r="C18">
        <v>118</v>
      </c>
      <c r="D18">
        <v>2382</v>
      </c>
      <c r="E18" s="1">
        <v>4.7199999999999999E-2</v>
      </c>
      <c r="F18" s="1">
        <v>0.95279999999999998</v>
      </c>
      <c r="G18">
        <v>26</v>
      </c>
      <c r="H18">
        <v>1</v>
      </c>
      <c r="I18">
        <v>118</v>
      </c>
      <c r="J18" s="20">
        <v>1</v>
      </c>
      <c r="K18">
        <v>1</v>
      </c>
      <c r="L18">
        <v>96</v>
      </c>
      <c r="M18">
        <v>96</v>
      </c>
      <c r="N18">
        <v>96</v>
      </c>
      <c r="O18">
        <v>96</v>
      </c>
      <c r="P18" s="1">
        <v>0.81355900000000003</v>
      </c>
    </row>
    <row r="19" spans="1:16" x14ac:dyDescent="0.25">
      <c r="A19" t="s">
        <v>16</v>
      </c>
      <c r="B19" s="16">
        <v>3395955</v>
      </c>
      <c r="C19">
        <v>1043</v>
      </c>
      <c r="D19">
        <v>1457</v>
      </c>
      <c r="E19" s="1">
        <v>0.41720000000000002</v>
      </c>
      <c r="F19" s="1">
        <v>0.58279999999999998</v>
      </c>
      <c r="G19">
        <v>165</v>
      </c>
      <c r="H19">
        <v>1</v>
      </c>
      <c r="I19">
        <v>1043</v>
      </c>
      <c r="J19" s="20">
        <v>1</v>
      </c>
      <c r="K19">
        <v>14</v>
      </c>
      <c r="L19">
        <v>64.142857000000006</v>
      </c>
      <c r="M19">
        <v>96</v>
      </c>
      <c r="N19">
        <v>32</v>
      </c>
      <c r="O19">
        <v>898</v>
      </c>
      <c r="P19" s="1">
        <v>0.86097800000000002</v>
      </c>
    </row>
    <row r="20" spans="1:16" x14ac:dyDescent="0.25">
      <c r="A20" t="s">
        <v>16</v>
      </c>
      <c r="B20" s="16">
        <v>228476402</v>
      </c>
      <c r="C20">
        <v>899</v>
      </c>
      <c r="D20">
        <v>1601</v>
      </c>
      <c r="E20" s="1">
        <v>0.35959999999999998</v>
      </c>
      <c r="F20" s="1">
        <v>0.64039999999999997</v>
      </c>
      <c r="G20">
        <v>153</v>
      </c>
      <c r="H20">
        <v>1</v>
      </c>
      <c r="I20">
        <v>899</v>
      </c>
      <c r="J20" s="20">
        <v>1</v>
      </c>
      <c r="K20">
        <v>8</v>
      </c>
      <c r="L20">
        <v>96</v>
      </c>
      <c r="M20">
        <v>96</v>
      </c>
      <c r="N20">
        <v>96</v>
      </c>
      <c r="O20">
        <v>768</v>
      </c>
      <c r="P20" s="1">
        <v>0.85428300000000001</v>
      </c>
    </row>
    <row r="21" spans="1:16" x14ac:dyDescent="0.25">
      <c r="A21" t="s">
        <v>16</v>
      </c>
      <c r="B21" s="16">
        <v>535709141</v>
      </c>
      <c r="C21">
        <v>898</v>
      </c>
      <c r="D21">
        <v>1602</v>
      </c>
      <c r="E21" s="1">
        <v>0.35920000000000002</v>
      </c>
      <c r="F21" s="1">
        <v>0.64080000000000004</v>
      </c>
      <c r="G21">
        <v>140</v>
      </c>
      <c r="H21">
        <v>1</v>
      </c>
      <c r="I21">
        <v>898</v>
      </c>
      <c r="J21" s="20">
        <v>1</v>
      </c>
      <c r="K21">
        <v>9</v>
      </c>
      <c r="L21">
        <v>86</v>
      </c>
      <c r="M21">
        <v>96</v>
      </c>
      <c r="N21">
        <v>66</v>
      </c>
      <c r="O21">
        <v>774</v>
      </c>
      <c r="P21" s="1">
        <v>0.86191499999999999</v>
      </c>
    </row>
    <row r="22" spans="1:16" x14ac:dyDescent="0.25">
      <c r="A22" t="s">
        <v>16</v>
      </c>
      <c r="B22" s="16">
        <v>742556814</v>
      </c>
      <c r="C22">
        <v>658</v>
      </c>
      <c r="D22">
        <v>1842</v>
      </c>
      <c r="E22" s="1">
        <v>0.26319999999999999</v>
      </c>
      <c r="F22" s="1">
        <v>0.73680000000000001</v>
      </c>
      <c r="G22">
        <v>99</v>
      </c>
      <c r="H22">
        <v>1</v>
      </c>
      <c r="I22">
        <v>658</v>
      </c>
      <c r="J22" s="20">
        <v>1</v>
      </c>
      <c r="K22">
        <v>6</v>
      </c>
      <c r="L22">
        <v>96</v>
      </c>
      <c r="M22">
        <v>96</v>
      </c>
      <c r="N22">
        <v>96</v>
      </c>
      <c r="O22">
        <v>576</v>
      </c>
      <c r="P22" s="1">
        <v>0.87538000000000005</v>
      </c>
    </row>
    <row r="23" spans="1:16" x14ac:dyDescent="0.25">
      <c r="A23" t="s">
        <v>16</v>
      </c>
      <c r="B23" s="16">
        <v>1381675190</v>
      </c>
      <c r="C23">
        <v>889</v>
      </c>
      <c r="D23">
        <v>1611</v>
      </c>
      <c r="E23" s="1">
        <v>0.35560000000000003</v>
      </c>
      <c r="F23" s="1">
        <v>0.64439999999999997</v>
      </c>
      <c r="G23">
        <v>128</v>
      </c>
      <c r="H23">
        <v>1</v>
      </c>
      <c r="I23">
        <v>889</v>
      </c>
      <c r="J23" s="20">
        <v>1</v>
      </c>
      <c r="K23">
        <v>9</v>
      </c>
      <c r="L23">
        <v>87.111110999999994</v>
      </c>
      <c r="M23">
        <v>96</v>
      </c>
      <c r="N23">
        <v>56</v>
      </c>
      <c r="O23">
        <v>784</v>
      </c>
      <c r="P23" s="1">
        <v>0.88188999999999995</v>
      </c>
    </row>
    <row r="24" spans="1:16" x14ac:dyDescent="0.25">
      <c r="A24" t="s">
        <v>16</v>
      </c>
      <c r="B24" s="16">
        <v>1558944407</v>
      </c>
      <c r="C24">
        <v>898</v>
      </c>
      <c r="D24">
        <v>1602</v>
      </c>
      <c r="E24" s="1">
        <v>0.35920000000000002</v>
      </c>
      <c r="F24" s="1">
        <v>0.64080000000000004</v>
      </c>
      <c r="G24">
        <v>176</v>
      </c>
      <c r="H24">
        <v>1</v>
      </c>
      <c r="I24">
        <v>898</v>
      </c>
      <c r="J24" s="20">
        <v>1</v>
      </c>
      <c r="K24">
        <v>10</v>
      </c>
      <c r="L24">
        <v>74</v>
      </c>
      <c r="M24">
        <v>96</v>
      </c>
      <c r="N24">
        <v>36</v>
      </c>
      <c r="O24">
        <v>740</v>
      </c>
      <c r="P24" s="1">
        <v>0.82405300000000004</v>
      </c>
    </row>
    <row r="25" spans="1:16" x14ac:dyDescent="0.25">
      <c r="A25" t="s">
        <v>16</v>
      </c>
      <c r="B25" s="16">
        <v>198899657</v>
      </c>
      <c r="C25">
        <v>187</v>
      </c>
      <c r="D25">
        <v>2313</v>
      </c>
      <c r="E25" s="1">
        <v>7.4800000000000005E-2</v>
      </c>
      <c r="F25" s="1">
        <v>0.92520000000000002</v>
      </c>
      <c r="G25">
        <v>31</v>
      </c>
      <c r="H25">
        <v>1</v>
      </c>
      <c r="I25">
        <v>187</v>
      </c>
      <c r="J25" s="20">
        <v>1</v>
      </c>
      <c r="K25">
        <v>2</v>
      </c>
      <c r="L25">
        <v>81</v>
      </c>
      <c r="M25">
        <v>96</v>
      </c>
      <c r="N25">
        <v>66</v>
      </c>
      <c r="O25">
        <v>162</v>
      </c>
      <c r="P25" s="1">
        <v>0.86631000000000002</v>
      </c>
    </row>
    <row r="26" spans="1:16" x14ac:dyDescent="0.25">
      <c r="A26" t="s">
        <v>16</v>
      </c>
      <c r="B26" s="16">
        <v>1880076940</v>
      </c>
      <c r="C26">
        <v>346</v>
      </c>
      <c r="D26">
        <v>2154</v>
      </c>
      <c r="E26" s="1">
        <v>0.1384</v>
      </c>
      <c r="F26" s="1">
        <v>0.86160000000000003</v>
      </c>
      <c r="G26">
        <v>53</v>
      </c>
      <c r="H26">
        <v>1</v>
      </c>
      <c r="I26">
        <v>346</v>
      </c>
      <c r="J26" s="20">
        <v>1</v>
      </c>
      <c r="K26">
        <v>4</v>
      </c>
      <c r="L26">
        <v>71.25</v>
      </c>
      <c r="M26">
        <v>97</v>
      </c>
      <c r="N26">
        <v>46</v>
      </c>
      <c r="O26">
        <v>285</v>
      </c>
      <c r="P26" s="1">
        <v>0.82369899999999996</v>
      </c>
    </row>
    <row r="27" spans="1:16" x14ac:dyDescent="0.25">
      <c r="A27" t="s">
        <v>16</v>
      </c>
      <c r="B27" s="16">
        <v>1381320823</v>
      </c>
      <c r="C27">
        <v>841</v>
      </c>
      <c r="D27">
        <v>1659</v>
      </c>
      <c r="E27" s="1">
        <v>0.33639999999999998</v>
      </c>
      <c r="F27" s="1">
        <v>0.66359999999999997</v>
      </c>
      <c r="G27">
        <v>135</v>
      </c>
      <c r="H27">
        <v>1</v>
      </c>
      <c r="I27">
        <v>841</v>
      </c>
      <c r="J27" s="20">
        <v>1</v>
      </c>
      <c r="K27">
        <v>10</v>
      </c>
      <c r="L27">
        <v>74.400000000000006</v>
      </c>
      <c r="M27">
        <v>96</v>
      </c>
      <c r="N27">
        <v>31</v>
      </c>
      <c r="O27">
        <v>744</v>
      </c>
      <c r="P27" s="1">
        <v>0.88466100000000003</v>
      </c>
    </row>
    <row r="28" spans="1:16" x14ac:dyDescent="0.25">
      <c r="A28" t="s">
        <v>16</v>
      </c>
      <c r="B28" s="16">
        <v>1264211202</v>
      </c>
      <c r="C28">
        <v>831</v>
      </c>
      <c r="D28">
        <v>1669</v>
      </c>
      <c r="E28" s="1">
        <v>0.33239999999999997</v>
      </c>
      <c r="F28" s="1">
        <v>0.66759999999999997</v>
      </c>
      <c r="G28">
        <v>146</v>
      </c>
      <c r="H28">
        <v>1</v>
      </c>
      <c r="I28">
        <v>831</v>
      </c>
      <c r="J28" s="20">
        <v>1</v>
      </c>
      <c r="K28">
        <v>8</v>
      </c>
      <c r="L28">
        <v>88.5</v>
      </c>
      <c r="M28">
        <v>96</v>
      </c>
      <c r="N28">
        <v>66</v>
      </c>
      <c r="O28">
        <v>708</v>
      </c>
      <c r="P28" s="1">
        <v>0.85198600000000002</v>
      </c>
    </row>
    <row r="29" spans="1:16" x14ac:dyDescent="0.25">
      <c r="A29" t="s">
        <v>16</v>
      </c>
      <c r="B29" s="16">
        <v>1210027535</v>
      </c>
      <c r="C29">
        <v>1243</v>
      </c>
      <c r="D29">
        <v>1257</v>
      </c>
      <c r="E29" s="1">
        <v>0.49719999999999998</v>
      </c>
      <c r="F29" s="1">
        <v>0.50280000000000002</v>
      </c>
      <c r="G29">
        <v>194</v>
      </c>
      <c r="H29">
        <v>1</v>
      </c>
      <c r="I29">
        <v>1243</v>
      </c>
      <c r="J29" s="20">
        <v>1</v>
      </c>
      <c r="K29">
        <v>16</v>
      </c>
      <c r="L29">
        <v>65.75</v>
      </c>
      <c r="M29">
        <v>96</v>
      </c>
      <c r="N29">
        <v>26</v>
      </c>
      <c r="O29">
        <v>1052</v>
      </c>
      <c r="P29" s="1">
        <v>0.84633999999999998</v>
      </c>
    </row>
    <row r="30" spans="1:16" x14ac:dyDescent="0.25">
      <c r="A30" t="s">
        <v>16</v>
      </c>
      <c r="B30" s="16">
        <v>339652948</v>
      </c>
      <c r="C30">
        <v>1063</v>
      </c>
      <c r="D30">
        <v>1437</v>
      </c>
      <c r="E30" s="1">
        <v>0.42520000000000002</v>
      </c>
      <c r="F30" s="1">
        <v>0.57479999999999998</v>
      </c>
      <c r="G30">
        <v>124</v>
      </c>
      <c r="H30">
        <v>1</v>
      </c>
      <c r="I30">
        <v>1063</v>
      </c>
      <c r="J30" s="20">
        <v>1</v>
      </c>
      <c r="K30">
        <v>10</v>
      </c>
      <c r="L30">
        <v>88</v>
      </c>
      <c r="M30">
        <v>96</v>
      </c>
      <c r="N30">
        <v>16</v>
      </c>
      <c r="O30">
        <v>880</v>
      </c>
      <c r="P30" s="1">
        <v>0.82784599999999997</v>
      </c>
    </row>
    <row r="31" spans="1:16" x14ac:dyDescent="0.25">
      <c r="A31" t="s">
        <v>16</v>
      </c>
      <c r="B31" s="16">
        <v>1395997245</v>
      </c>
      <c r="C31">
        <v>1042</v>
      </c>
      <c r="D31">
        <v>1458</v>
      </c>
      <c r="E31" s="1">
        <v>0.4168</v>
      </c>
      <c r="F31" s="1">
        <v>0.58320000000000005</v>
      </c>
      <c r="G31">
        <v>84</v>
      </c>
      <c r="H31">
        <v>1</v>
      </c>
      <c r="I31">
        <v>1042</v>
      </c>
      <c r="J31" s="20">
        <v>1</v>
      </c>
      <c r="K31">
        <v>11</v>
      </c>
      <c r="L31">
        <v>80.818181999999993</v>
      </c>
      <c r="M31">
        <v>96</v>
      </c>
      <c r="N31">
        <v>56</v>
      </c>
      <c r="O31">
        <v>889</v>
      </c>
      <c r="P31" s="1">
        <v>0.85316700000000001</v>
      </c>
    </row>
    <row r="32" spans="1:16" x14ac:dyDescent="0.25">
      <c r="A32" t="s">
        <v>16</v>
      </c>
      <c r="B32" s="16">
        <v>611006897</v>
      </c>
      <c r="C32">
        <v>788</v>
      </c>
      <c r="D32">
        <v>1712</v>
      </c>
      <c r="E32" s="1">
        <v>0.31519999999999998</v>
      </c>
      <c r="F32" s="1">
        <v>0.68479999999999996</v>
      </c>
      <c r="G32">
        <v>81</v>
      </c>
      <c r="H32">
        <v>1</v>
      </c>
      <c r="I32">
        <v>788</v>
      </c>
      <c r="J32" s="20">
        <v>1</v>
      </c>
      <c r="K32">
        <v>8</v>
      </c>
      <c r="L32">
        <v>91</v>
      </c>
      <c r="M32">
        <v>96</v>
      </c>
      <c r="N32">
        <v>76</v>
      </c>
      <c r="O32">
        <v>728</v>
      </c>
      <c r="P32" s="1">
        <v>0.92385799999999996</v>
      </c>
    </row>
    <row r="33" spans="1:16" x14ac:dyDescent="0.25">
      <c r="A33" t="s">
        <v>16</v>
      </c>
      <c r="B33" s="16">
        <v>1857234836</v>
      </c>
      <c r="C33">
        <v>957</v>
      </c>
      <c r="D33">
        <v>1543</v>
      </c>
      <c r="E33" s="1">
        <v>0.38279999999999997</v>
      </c>
      <c r="F33" s="1">
        <v>0.61719999999999997</v>
      </c>
      <c r="G33">
        <v>143</v>
      </c>
      <c r="H33">
        <v>1</v>
      </c>
      <c r="I33">
        <v>957</v>
      </c>
      <c r="J33" s="20">
        <v>1</v>
      </c>
      <c r="K33">
        <v>12</v>
      </c>
      <c r="L33">
        <v>63.666666999999997</v>
      </c>
      <c r="M33">
        <v>96</v>
      </c>
      <c r="N33">
        <v>28</v>
      </c>
      <c r="O33">
        <v>764</v>
      </c>
      <c r="P33" s="1">
        <v>0.79832800000000004</v>
      </c>
    </row>
    <row r="34" spans="1:16" x14ac:dyDescent="0.25">
      <c r="A34" t="s">
        <v>16</v>
      </c>
      <c r="B34" s="16">
        <v>1037072411</v>
      </c>
      <c r="C34">
        <v>325</v>
      </c>
      <c r="D34">
        <v>2175</v>
      </c>
      <c r="E34" s="1">
        <v>0.13</v>
      </c>
      <c r="F34" s="1">
        <v>0.87</v>
      </c>
      <c r="G34">
        <v>47</v>
      </c>
      <c r="H34">
        <v>1</v>
      </c>
      <c r="I34">
        <v>325</v>
      </c>
      <c r="J34" s="20">
        <v>1</v>
      </c>
      <c r="K34">
        <v>3</v>
      </c>
      <c r="L34">
        <v>96</v>
      </c>
      <c r="M34">
        <v>96</v>
      </c>
      <c r="N34">
        <v>96</v>
      </c>
      <c r="O34">
        <v>288</v>
      </c>
      <c r="P34" s="1">
        <v>0.886154</v>
      </c>
    </row>
    <row r="35" spans="1:16" x14ac:dyDescent="0.25">
      <c r="A35" t="s">
        <v>16</v>
      </c>
      <c r="B35" s="16">
        <v>115765468</v>
      </c>
      <c r="C35">
        <v>803</v>
      </c>
      <c r="D35">
        <v>1697</v>
      </c>
      <c r="E35" s="1">
        <v>0.32119999999999999</v>
      </c>
      <c r="F35" s="1">
        <v>0.67879999999999996</v>
      </c>
      <c r="G35">
        <v>84</v>
      </c>
      <c r="H35">
        <v>1</v>
      </c>
      <c r="I35">
        <v>803</v>
      </c>
      <c r="J35" s="20">
        <v>1</v>
      </c>
      <c r="K35">
        <v>8</v>
      </c>
      <c r="L35">
        <v>92.25</v>
      </c>
      <c r="M35">
        <v>96</v>
      </c>
      <c r="N35">
        <v>66</v>
      </c>
      <c r="O35">
        <v>738</v>
      </c>
      <c r="P35" s="1">
        <v>0.91905400000000004</v>
      </c>
    </row>
    <row r="36" spans="1:16" x14ac:dyDescent="0.25">
      <c r="A36" t="s">
        <v>16</v>
      </c>
      <c r="B36" s="16">
        <v>35735764</v>
      </c>
      <c r="C36">
        <v>865</v>
      </c>
      <c r="D36">
        <v>1635</v>
      </c>
      <c r="E36" s="1">
        <v>0.34599999999999997</v>
      </c>
      <c r="F36" s="1">
        <v>0.65400000000000003</v>
      </c>
      <c r="G36">
        <v>125</v>
      </c>
      <c r="H36">
        <v>1</v>
      </c>
      <c r="I36">
        <v>865</v>
      </c>
      <c r="J36" s="20">
        <v>1</v>
      </c>
      <c r="K36">
        <v>8</v>
      </c>
      <c r="L36">
        <v>96</v>
      </c>
      <c r="M36">
        <v>96</v>
      </c>
      <c r="N36">
        <v>96</v>
      </c>
      <c r="O36">
        <v>768</v>
      </c>
      <c r="P36" s="1">
        <v>0.88786100000000001</v>
      </c>
    </row>
    <row r="37" spans="1:16" x14ac:dyDescent="0.25">
      <c r="A37" t="s">
        <v>16</v>
      </c>
      <c r="B37" s="16">
        <v>1642094369</v>
      </c>
      <c r="C37">
        <v>818</v>
      </c>
      <c r="D37">
        <v>1682</v>
      </c>
      <c r="E37" s="1">
        <v>0.32719999999999999</v>
      </c>
      <c r="F37" s="1">
        <v>0.67279999999999995</v>
      </c>
      <c r="G37">
        <v>136</v>
      </c>
      <c r="H37">
        <v>1</v>
      </c>
      <c r="I37">
        <v>818</v>
      </c>
      <c r="J37" s="20">
        <v>1</v>
      </c>
      <c r="K37">
        <v>10</v>
      </c>
      <c r="L37">
        <v>67</v>
      </c>
      <c r="M37">
        <v>96</v>
      </c>
      <c r="N37">
        <v>36</v>
      </c>
      <c r="O37">
        <v>670</v>
      </c>
      <c r="P37" s="1">
        <v>0.81907099999999999</v>
      </c>
    </row>
    <row r="38" spans="1:16" x14ac:dyDescent="0.25">
      <c r="A38" t="s">
        <v>16</v>
      </c>
      <c r="B38" s="16">
        <v>1248337307</v>
      </c>
      <c r="C38">
        <v>612</v>
      </c>
      <c r="D38">
        <v>1888</v>
      </c>
      <c r="E38" s="1">
        <v>0.24479999999999999</v>
      </c>
      <c r="F38" s="1">
        <v>0.75519999999999998</v>
      </c>
      <c r="G38">
        <v>73</v>
      </c>
      <c r="H38">
        <v>1</v>
      </c>
      <c r="I38">
        <v>612</v>
      </c>
      <c r="J38" s="20">
        <v>1</v>
      </c>
      <c r="K38">
        <v>6</v>
      </c>
      <c r="L38">
        <v>91</v>
      </c>
      <c r="M38">
        <v>96</v>
      </c>
      <c r="N38">
        <v>66</v>
      </c>
      <c r="O38">
        <v>546</v>
      </c>
      <c r="P38" s="1">
        <v>0.89215699999999998</v>
      </c>
    </row>
    <row r="39" spans="1:16" x14ac:dyDescent="0.25">
      <c r="A39" t="s">
        <v>16</v>
      </c>
      <c r="B39" s="16">
        <v>1619415334</v>
      </c>
      <c r="C39">
        <v>968</v>
      </c>
      <c r="D39">
        <v>1532</v>
      </c>
      <c r="E39" s="1">
        <v>0.38719999999999999</v>
      </c>
      <c r="F39" s="1">
        <v>0.61280000000000001</v>
      </c>
      <c r="G39">
        <v>129</v>
      </c>
      <c r="H39">
        <v>1</v>
      </c>
      <c r="I39">
        <v>968</v>
      </c>
      <c r="J39" s="20">
        <v>1</v>
      </c>
      <c r="K39">
        <v>9</v>
      </c>
      <c r="L39">
        <v>96</v>
      </c>
      <c r="M39">
        <v>96</v>
      </c>
      <c r="N39">
        <v>96</v>
      </c>
      <c r="O39">
        <v>864</v>
      </c>
      <c r="P39" s="1">
        <v>0.89256199999999997</v>
      </c>
    </row>
    <row r="40" spans="1:16" x14ac:dyDescent="0.25">
      <c r="A40" t="s">
        <v>16</v>
      </c>
      <c r="B40" s="16">
        <v>376412403</v>
      </c>
      <c r="C40">
        <v>1116</v>
      </c>
      <c r="D40">
        <v>1384</v>
      </c>
      <c r="E40" s="1">
        <v>0.44640000000000002</v>
      </c>
      <c r="F40" s="1">
        <v>0.55359999999999998</v>
      </c>
      <c r="G40">
        <v>190</v>
      </c>
      <c r="H40">
        <v>1</v>
      </c>
      <c r="I40">
        <v>1116</v>
      </c>
      <c r="J40" s="20">
        <v>1</v>
      </c>
      <c r="K40">
        <v>10</v>
      </c>
      <c r="L40">
        <v>95</v>
      </c>
      <c r="M40">
        <v>96</v>
      </c>
      <c r="N40">
        <v>86</v>
      </c>
      <c r="O40">
        <v>950</v>
      </c>
      <c r="P40" s="1">
        <v>0.85125399999999996</v>
      </c>
    </row>
    <row r="41" spans="1:16" x14ac:dyDescent="0.25">
      <c r="A41" t="s">
        <v>16</v>
      </c>
      <c r="B41" s="16">
        <v>841432059</v>
      </c>
      <c r="C41">
        <v>1014</v>
      </c>
      <c r="D41">
        <v>1486</v>
      </c>
      <c r="E41" s="1">
        <v>0.40560000000000002</v>
      </c>
      <c r="F41" s="1">
        <v>0.59440000000000004</v>
      </c>
      <c r="G41">
        <v>121</v>
      </c>
      <c r="H41">
        <v>1</v>
      </c>
      <c r="I41">
        <v>1014</v>
      </c>
      <c r="J41" s="20">
        <v>1</v>
      </c>
      <c r="K41">
        <v>10</v>
      </c>
      <c r="L41">
        <v>91</v>
      </c>
      <c r="M41">
        <v>96</v>
      </c>
      <c r="N41">
        <v>46</v>
      </c>
      <c r="O41">
        <v>910</v>
      </c>
      <c r="P41" s="1">
        <v>0.89743600000000001</v>
      </c>
    </row>
    <row r="42" spans="1:16" x14ac:dyDescent="0.25">
      <c r="A42" t="s">
        <v>16</v>
      </c>
      <c r="B42" s="16">
        <v>1217814743</v>
      </c>
      <c r="C42">
        <v>896</v>
      </c>
      <c r="D42">
        <v>1604</v>
      </c>
      <c r="E42" s="1">
        <v>0.3584</v>
      </c>
      <c r="F42" s="1">
        <v>0.64159999999999995</v>
      </c>
      <c r="G42">
        <v>107</v>
      </c>
      <c r="H42">
        <v>1</v>
      </c>
      <c r="I42">
        <v>896</v>
      </c>
      <c r="J42" s="20">
        <v>1</v>
      </c>
      <c r="K42">
        <v>9</v>
      </c>
      <c r="L42">
        <v>88.222222000000002</v>
      </c>
      <c r="M42">
        <v>96</v>
      </c>
      <c r="N42">
        <v>56</v>
      </c>
      <c r="O42">
        <v>794</v>
      </c>
      <c r="P42" s="1">
        <v>0.88616099999999998</v>
      </c>
    </row>
    <row r="43" spans="1:16" x14ac:dyDescent="0.25">
      <c r="A43" t="s">
        <v>16</v>
      </c>
      <c r="B43" s="16">
        <v>1487628375</v>
      </c>
      <c r="C43">
        <v>839</v>
      </c>
      <c r="D43">
        <v>1661</v>
      </c>
      <c r="E43" s="1">
        <v>0.33560000000000001</v>
      </c>
      <c r="F43" s="1">
        <v>0.66439999999999999</v>
      </c>
      <c r="G43">
        <v>87</v>
      </c>
      <c r="H43">
        <v>1</v>
      </c>
      <c r="I43">
        <v>839</v>
      </c>
      <c r="J43" s="20">
        <v>1</v>
      </c>
      <c r="K43">
        <v>8</v>
      </c>
      <c r="L43">
        <v>96</v>
      </c>
      <c r="M43">
        <v>96</v>
      </c>
      <c r="N43">
        <v>96</v>
      </c>
      <c r="O43">
        <v>768</v>
      </c>
      <c r="P43" s="1">
        <v>0.91537500000000005</v>
      </c>
    </row>
    <row r="44" spans="1:16" x14ac:dyDescent="0.25">
      <c r="A44" t="s">
        <v>16</v>
      </c>
      <c r="B44" s="16">
        <v>1129741207</v>
      </c>
      <c r="C44">
        <v>920</v>
      </c>
      <c r="D44">
        <v>1580</v>
      </c>
      <c r="E44" s="1">
        <v>0.36799999999999999</v>
      </c>
      <c r="F44" s="1">
        <v>0.63200000000000001</v>
      </c>
      <c r="G44">
        <v>79</v>
      </c>
      <c r="H44">
        <v>1</v>
      </c>
      <c r="I44">
        <v>920</v>
      </c>
      <c r="J44" s="20">
        <v>1</v>
      </c>
      <c r="K44">
        <v>10</v>
      </c>
      <c r="L44">
        <v>79.3</v>
      </c>
      <c r="M44">
        <v>97</v>
      </c>
      <c r="N44">
        <v>38</v>
      </c>
      <c r="O44">
        <v>793</v>
      </c>
      <c r="P44" s="1">
        <v>0.86195699999999997</v>
      </c>
    </row>
    <row r="45" spans="1:16" x14ac:dyDescent="0.25">
      <c r="A45" t="s">
        <v>16</v>
      </c>
      <c r="B45" s="16">
        <v>1172642910</v>
      </c>
      <c r="C45">
        <v>325</v>
      </c>
      <c r="D45">
        <v>2175</v>
      </c>
      <c r="E45" s="1">
        <v>0.13</v>
      </c>
      <c r="F45" s="1">
        <v>0.87</v>
      </c>
      <c r="G45">
        <v>53</v>
      </c>
      <c r="H45">
        <v>1</v>
      </c>
      <c r="I45">
        <v>325</v>
      </c>
      <c r="J45" s="20">
        <v>1</v>
      </c>
      <c r="K45">
        <v>3</v>
      </c>
      <c r="L45">
        <v>96</v>
      </c>
      <c r="M45">
        <v>96</v>
      </c>
      <c r="N45">
        <v>96</v>
      </c>
      <c r="O45">
        <v>288</v>
      </c>
      <c r="P45" s="1">
        <v>0.886154</v>
      </c>
    </row>
    <row r="46" spans="1:16" x14ac:dyDescent="0.25">
      <c r="A46" t="s">
        <v>16</v>
      </c>
      <c r="B46" s="16">
        <v>1418232502</v>
      </c>
      <c r="C46">
        <v>634</v>
      </c>
      <c r="D46">
        <v>1866</v>
      </c>
      <c r="E46" s="1">
        <v>0.25359999999999999</v>
      </c>
      <c r="F46" s="1">
        <v>0.74639999999999995</v>
      </c>
      <c r="G46">
        <v>65</v>
      </c>
      <c r="H46">
        <v>1</v>
      </c>
      <c r="I46">
        <v>634</v>
      </c>
      <c r="J46" s="20">
        <v>1</v>
      </c>
      <c r="K46">
        <v>6</v>
      </c>
      <c r="L46">
        <v>92.666667000000004</v>
      </c>
      <c r="M46">
        <v>96</v>
      </c>
      <c r="N46">
        <v>86</v>
      </c>
      <c r="O46">
        <v>556</v>
      </c>
      <c r="P46" s="1">
        <v>0.87697199999999997</v>
      </c>
    </row>
    <row r="47" spans="1:16" x14ac:dyDescent="0.25">
      <c r="A47" t="s">
        <v>16</v>
      </c>
      <c r="B47" s="16">
        <v>973569230</v>
      </c>
      <c r="C47">
        <v>661</v>
      </c>
      <c r="D47">
        <v>1839</v>
      </c>
      <c r="E47" s="1">
        <v>0.26440000000000002</v>
      </c>
      <c r="F47" s="1">
        <v>0.73560000000000003</v>
      </c>
      <c r="G47">
        <v>108</v>
      </c>
      <c r="H47">
        <v>1</v>
      </c>
      <c r="I47">
        <v>661</v>
      </c>
      <c r="J47" s="20">
        <v>1</v>
      </c>
      <c r="K47">
        <v>6</v>
      </c>
      <c r="L47">
        <v>96</v>
      </c>
      <c r="M47">
        <v>96</v>
      </c>
      <c r="N47">
        <v>96</v>
      </c>
      <c r="O47">
        <v>576</v>
      </c>
      <c r="P47" s="1">
        <v>0.87140700000000004</v>
      </c>
    </row>
    <row r="48" spans="1:16" x14ac:dyDescent="0.25">
      <c r="A48" t="s">
        <v>16</v>
      </c>
      <c r="B48" s="16">
        <v>1221939557</v>
      </c>
      <c r="C48">
        <v>1226</v>
      </c>
      <c r="D48">
        <v>1274</v>
      </c>
      <c r="E48" s="1">
        <v>0.4904</v>
      </c>
      <c r="F48" s="1">
        <v>0.50960000000000005</v>
      </c>
      <c r="G48">
        <v>162</v>
      </c>
      <c r="H48">
        <v>1</v>
      </c>
      <c r="I48">
        <v>1226</v>
      </c>
      <c r="J48" s="20">
        <v>1</v>
      </c>
      <c r="K48">
        <v>12</v>
      </c>
      <c r="L48">
        <v>85.5</v>
      </c>
      <c r="M48">
        <v>96</v>
      </c>
      <c r="N48">
        <v>46</v>
      </c>
      <c r="O48">
        <v>1026</v>
      </c>
      <c r="P48" s="1">
        <v>0.83686799999999995</v>
      </c>
    </row>
    <row r="49" spans="1:16" x14ac:dyDescent="0.25">
      <c r="A49" t="s">
        <v>16</v>
      </c>
      <c r="B49" s="16">
        <v>289356046</v>
      </c>
      <c r="C49">
        <v>1096</v>
      </c>
      <c r="D49">
        <v>1404</v>
      </c>
      <c r="E49" s="1">
        <v>0.43840000000000001</v>
      </c>
      <c r="F49" s="1">
        <v>0.56159999999999999</v>
      </c>
      <c r="G49">
        <v>122</v>
      </c>
      <c r="H49">
        <v>1</v>
      </c>
      <c r="I49">
        <v>1096</v>
      </c>
      <c r="J49" s="20">
        <v>1</v>
      </c>
      <c r="K49">
        <v>14</v>
      </c>
      <c r="L49">
        <v>68.071428999999995</v>
      </c>
      <c r="M49">
        <v>96</v>
      </c>
      <c r="N49">
        <v>32</v>
      </c>
      <c r="O49">
        <v>953</v>
      </c>
      <c r="P49" s="1">
        <v>0.86952600000000002</v>
      </c>
    </row>
    <row r="50" spans="1:16" x14ac:dyDescent="0.25">
      <c r="A50" t="s">
        <v>16</v>
      </c>
      <c r="B50" s="16">
        <v>706250674</v>
      </c>
      <c r="C50">
        <v>910</v>
      </c>
      <c r="D50">
        <v>1590</v>
      </c>
      <c r="E50" s="1">
        <v>0.36399999999999999</v>
      </c>
      <c r="F50" s="1">
        <v>0.63600000000000001</v>
      </c>
      <c r="G50">
        <v>121</v>
      </c>
      <c r="H50">
        <v>1</v>
      </c>
      <c r="I50">
        <v>910</v>
      </c>
      <c r="J50" s="20">
        <v>1</v>
      </c>
      <c r="K50">
        <v>9</v>
      </c>
      <c r="L50">
        <v>90.444444000000004</v>
      </c>
      <c r="M50">
        <v>96</v>
      </c>
      <c r="N50">
        <v>46</v>
      </c>
      <c r="O50">
        <v>814</v>
      </c>
      <c r="P50" s="1">
        <v>0.89450499999999999</v>
      </c>
    </row>
    <row r="51" spans="1:16" x14ac:dyDescent="0.25">
      <c r="A51" t="s">
        <v>16</v>
      </c>
      <c r="B51" s="16">
        <v>1650634776</v>
      </c>
      <c r="C51">
        <v>897</v>
      </c>
      <c r="D51">
        <v>1603</v>
      </c>
      <c r="E51" s="1">
        <v>0.35880000000000001</v>
      </c>
      <c r="F51" s="1">
        <v>0.64119999999999999</v>
      </c>
      <c r="G51">
        <v>216</v>
      </c>
      <c r="H51">
        <v>1</v>
      </c>
      <c r="I51">
        <v>897</v>
      </c>
      <c r="J51" s="20">
        <v>1</v>
      </c>
      <c r="K51">
        <v>12</v>
      </c>
      <c r="L51">
        <v>60.166666999999997</v>
      </c>
      <c r="M51">
        <v>96</v>
      </c>
      <c r="N51">
        <v>46</v>
      </c>
      <c r="O51">
        <v>722</v>
      </c>
      <c r="P51" s="1">
        <v>0.80490499999999998</v>
      </c>
    </row>
    <row r="52" spans="1:16" x14ac:dyDescent="0.25">
      <c r="A52" t="s">
        <v>26</v>
      </c>
      <c r="C52">
        <f>SUBTOTAL(101,AgCon_room10_corr10[floors])</f>
        <v>823.42</v>
      </c>
      <c r="D52">
        <f>SUBTOTAL(101,AgCon_room10_corr10[walls])</f>
        <v>1676.58</v>
      </c>
      <c r="E52" s="2">
        <f>SUBTOTAL(101,AgCon_room10_corr10[floor_percent])</f>
        <v>0.32936799999999999</v>
      </c>
      <c r="F52" s="2">
        <f>SUBTOTAL(101,AgCon_room10_corr10[wall_percent])</f>
        <v>0.67063200000000012</v>
      </c>
      <c r="G52">
        <f>SUBTOTAL(101,AgCon_room10_corr10[longest_shortest_path])</f>
        <v>120.18</v>
      </c>
      <c r="H52">
        <f>SUBTOTAL(101,AgCon_room10_corr10[component_count])</f>
        <v>1</v>
      </c>
      <c r="I52">
        <f>SUBTOTAL(101,AgCon_room10_corr10[max_component_size])</f>
        <v>823.42</v>
      </c>
      <c r="J52" s="20">
        <f>SUBTOTAL(101,AgCon_room10_corr10[connectivity_ratio])</f>
        <v>1</v>
      </c>
      <c r="K52">
        <f>SUBTOTAL(101,AgCon_room10_corr10[room_count])</f>
        <v>8.66</v>
      </c>
      <c r="L52">
        <f>SUBTOTAL(101,AgCon_room10_corr10[avg_room_size])</f>
        <v>84.731349940000015</v>
      </c>
      <c r="M52">
        <f>SUBTOTAL(101,AgCon_room10_corr10[max_room_size])</f>
        <v>97.96</v>
      </c>
      <c r="N52">
        <f>SUBTOTAL(101,AgCon_room10_corr10[min_room_size])</f>
        <v>59.46</v>
      </c>
      <c r="O52">
        <f>SUBTOTAL(101,AgCon_room10_corr10[room_tiles])</f>
        <v>708.68</v>
      </c>
      <c r="P52" s="2">
        <f>SUBTOTAL(101,AgCon_room10_corr10[room_ratio])</f>
        <v>0.85760083999999992</v>
      </c>
    </row>
    <row r="53" spans="1:16" x14ac:dyDescent="0.25">
      <c r="A53" s="19" t="s">
        <v>33</v>
      </c>
      <c r="B53" s="19"/>
      <c r="C53" s="19"/>
      <c r="D53" s="19"/>
      <c r="E53" s="19"/>
    </row>
  </sheetData>
  <mergeCells count="1">
    <mergeCell ref="A53:E53"/>
  </mergeCell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5F46-39B2-41F6-9C43-BED90C10AB59}">
  <dimension ref="A1:P53"/>
  <sheetViews>
    <sheetView topLeftCell="A31" workbookViewId="0">
      <selection activeCell="J31" sqref="J1:J1048576"/>
    </sheetView>
  </sheetViews>
  <sheetFormatPr defaultRowHeight="15" x14ac:dyDescent="0.25"/>
  <cols>
    <col min="1" max="1" width="32.28515625" bestFit="1" customWidth="1"/>
    <col min="2" max="2" width="11" style="16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6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6">
        <v>1676670666</v>
      </c>
      <c r="C2">
        <v>270</v>
      </c>
      <c r="D2">
        <v>2230</v>
      </c>
      <c r="E2" s="1">
        <v>0.108</v>
      </c>
      <c r="F2" s="1">
        <v>0.89200000000000002</v>
      </c>
      <c r="G2">
        <v>35</v>
      </c>
      <c r="H2">
        <v>1</v>
      </c>
      <c r="I2">
        <v>270</v>
      </c>
      <c r="J2" s="20">
        <v>1</v>
      </c>
      <c r="K2">
        <v>5</v>
      </c>
      <c r="L2">
        <v>48.4</v>
      </c>
      <c r="M2">
        <v>96</v>
      </c>
      <c r="N2">
        <v>26</v>
      </c>
      <c r="O2">
        <v>242</v>
      </c>
      <c r="P2" s="1">
        <v>0.89629599999999998</v>
      </c>
    </row>
    <row r="3" spans="1:16" x14ac:dyDescent="0.25">
      <c r="A3" t="s">
        <v>16</v>
      </c>
      <c r="B3" s="16">
        <v>450220934</v>
      </c>
      <c r="C3">
        <v>504</v>
      </c>
      <c r="D3">
        <v>1996</v>
      </c>
      <c r="E3" s="1">
        <v>0.2016</v>
      </c>
      <c r="F3" s="1">
        <v>0.7984</v>
      </c>
      <c r="G3">
        <v>63</v>
      </c>
      <c r="H3">
        <v>1</v>
      </c>
      <c r="I3">
        <v>504</v>
      </c>
      <c r="J3" s="20">
        <v>1</v>
      </c>
      <c r="K3">
        <v>9</v>
      </c>
      <c r="L3">
        <v>50.222222000000002</v>
      </c>
      <c r="M3">
        <v>96</v>
      </c>
      <c r="N3">
        <v>32</v>
      </c>
      <c r="O3">
        <v>452</v>
      </c>
      <c r="P3" s="1">
        <v>0.89682499999999998</v>
      </c>
    </row>
    <row r="4" spans="1:16" x14ac:dyDescent="0.25">
      <c r="A4" t="s">
        <v>16</v>
      </c>
      <c r="B4" s="16">
        <v>476804540</v>
      </c>
      <c r="C4">
        <v>276</v>
      </c>
      <c r="D4">
        <v>2224</v>
      </c>
      <c r="E4" s="1">
        <v>0.1104</v>
      </c>
      <c r="F4" s="1">
        <v>0.88959999999999995</v>
      </c>
      <c r="G4">
        <v>24</v>
      </c>
      <c r="H4">
        <v>1</v>
      </c>
      <c r="I4">
        <v>276</v>
      </c>
      <c r="J4" s="20">
        <v>1</v>
      </c>
      <c r="K4">
        <v>4</v>
      </c>
      <c r="L4">
        <v>63.5</v>
      </c>
      <c r="M4">
        <v>96</v>
      </c>
      <c r="N4">
        <v>46</v>
      </c>
      <c r="O4">
        <v>254</v>
      </c>
      <c r="P4" s="1">
        <v>0.92029000000000005</v>
      </c>
    </row>
    <row r="5" spans="1:16" x14ac:dyDescent="0.25">
      <c r="A5" t="s">
        <v>16</v>
      </c>
      <c r="B5" s="16">
        <v>2081611603</v>
      </c>
      <c r="C5">
        <v>473</v>
      </c>
      <c r="D5">
        <v>2027</v>
      </c>
      <c r="E5" s="1">
        <v>0.18920000000000001</v>
      </c>
      <c r="F5" s="1">
        <v>0.81079999999999997</v>
      </c>
      <c r="G5">
        <v>53</v>
      </c>
      <c r="H5">
        <v>1</v>
      </c>
      <c r="I5">
        <v>473</v>
      </c>
      <c r="J5" s="20">
        <v>1</v>
      </c>
      <c r="K5">
        <v>8</v>
      </c>
      <c r="L5">
        <v>52.25</v>
      </c>
      <c r="M5">
        <v>96</v>
      </c>
      <c r="N5">
        <v>26</v>
      </c>
      <c r="O5">
        <v>418</v>
      </c>
      <c r="P5" s="1">
        <v>0.88372099999999998</v>
      </c>
    </row>
    <row r="6" spans="1:16" x14ac:dyDescent="0.25">
      <c r="A6" t="s">
        <v>16</v>
      </c>
      <c r="B6" s="16">
        <v>663914324</v>
      </c>
      <c r="C6">
        <v>422</v>
      </c>
      <c r="D6">
        <v>2078</v>
      </c>
      <c r="E6" s="1">
        <v>0.16880000000000001</v>
      </c>
      <c r="F6" s="1">
        <v>0.83120000000000005</v>
      </c>
      <c r="G6">
        <v>42</v>
      </c>
      <c r="H6">
        <v>1</v>
      </c>
      <c r="I6">
        <v>422</v>
      </c>
      <c r="J6" s="20">
        <v>1</v>
      </c>
      <c r="K6">
        <v>7</v>
      </c>
      <c r="L6">
        <v>53.857143000000001</v>
      </c>
      <c r="M6">
        <v>96</v>
      </c>
      <c r="N6">
        <v>21</v>
      </c>
      <c r="O6">
        <v>377</v>
      </c>
      <c r="P6" s="1">
        <v>0.89336499999999996</v>
      </c>
    </row>
    <row r="7" spans="1:16" x14ac:dyDescent="0.25">
      <c r="A7" t="s">
        <v>16</v>
      </c>
      <c r="B7" s="16">
        <v>1752155916</v>
      </c>
      <c r="C7">
        <v>395</v>
      </c>
      <c r="D7">
        <v>2105</v>
      </c>
      <c r="E7" s="1">
        <v>0.158</v>
      </c>
      <c r="F7" s="1">
        <v>0.84199999999999997</v>
      </c>
      <c r="G7">
        <v>50</v>
      </c>
      <c r="H7">
        <v>1</v>
      </c>
      <c r="I7">
        <v>395</v>
      </c>
      <c r="J7" s="20">
        <v>1</v>
      </c>
      <c r="K7">
        <v>6</v>
      </c>
      <c r="L7">
        <v>59.333333000000003</v>
      </c>
      <c r="M7">
        <v>96</v>
      </c>
      <c r="N7">
        <v>46</v>
      </c>
      <c r="O7">
        <v>356</v>
      </c>
      <c r="P7" s="1">
        <v>0.90126600000000001</v>
      </c>
    </row>
    <row r="8" spans="1:16" x14ac:dyDescent="0.25">
      <c r="A8" t="s">
        <v>16</v>
      </c>
      <c r="B8" s="16">
        <v>1600559268</v>
      </c>
      <c r="C8">
        <v>90</v>
      </c>
      <c r="D8">
        <v>2410</v>
      </c>
      <c r="E8" s="1">
        <v>3.5999999999999997E-2</v>
      </c>
      <c r="F8" s="1">
        <v>0.96399999999999997</v>
      </c>
      <c r="G8">
        <v>9</v>
      </c>
      <c r="H8">
        <v>1</v>
      </c>
      <c r="I8">
        <v>90</v>
      </c>
      <c r="J8" s="20">
        <v>1</v>
      </c>
      <c r="K8">
        <v>1</v>
      </c>
      <c r="L8">
        <v>86</v>
      </c>
      <c r="M8">
        <v>86</v>
      </c>
      <c r="N8">
        <v>86</v>
      </c>
      <c r="O8">
        <v>86</v>
      </c>
      <c r="P8" s="1">
        <v>0.95555599999999996</v>
      </c>
    </row>
    <row r="9" spans="1:16" x14ac:dyDescent="0.25">
      <c r="A9" t="s">
        <v>16</v>
      </c>
      <c r="B9" s="16">
        <v>147595962</v>
      </c>
      <c r="C9">
        <v>412</v>
      </c>
      <c r="D9">
        <v>2088</v>
      </c>
      <c r="E9" s="1">
        <v>0.1648</v>
      </c>
      <c r="F9" s="1">
        <v>0.83520000000000005</v>
      </c>
      <c r="G9">
        <v>51</v>
      </c>
      <c r="H9">
        <v>1</v>
      </c>
      <c r="I9">
        <v>412</v>
      </c>
      <c r="J9" s="20">
        <v>1</v>
      </c>
      <c r="K9">
        <v>7</v>
      </c>
      <c r="L9">
        <v>52.428570999999998</v>
      </c>
      <c r="M9">
        <v>96</v>
      </c>
      <c r="N9">
        <v>21</v>
      </c>
      <c r="O9">
        <v>367</v>
      </c>
      <c r="P9" s="1">
        <v>0.89077700000000004</v>
      </c>
    </row>
    <row r="10" spans="1:16" x14ac:dyDescent="0.25">
      <c r="A10" t="s">
        <v>16</v>
      </c>
      <c r="B10" s="16">
        <v>938746251</v>
      </c>
      <c r="C10">
        <v>417</v>
      </c>
      <c r="D10">
        <v>2083</v>
      </c>
      <c r="E10" s="1">
        <v>0.1668</v>
      </c>
      <c r="F10" s="1">
        <v>0.83320000000000005</v>
      </c>
      <c r="G10">
        <v>49</v>
      </c>
      <c r="H10">
        <v>1</v>
      </c>
      <c r="I10">
        <v>417</v>
      </c>
      <c r="J10" s="20">
        <v>1</v>
      </c>
      <c r="K10">
        <v>7</v>
      </c>
      <c r="L10">
        <v>53.142856999999999</v>
      </c>
      <c r="M10">
        <v>96</v>
      </c>
      <c r="N10">
        <v>26</v>
      </c>
      <c r="O10">
        <v>372</v>
      </c>
      <c r="P10" s="1">
        <v>0.89208600000000005</v>
      </c>
    </row>
    <row r="11" spans="1:16" x14ac:dyDescent="0.25">
      <c r="A11" t="s">
        <v>16</v>
      </c>
      <c r="B11" s="16">
        <v>1115614830</v>
      </c>
      <c r="C11">
        <v>105</v>
      </c>
      <c r="D11">
        <v>2395</v>
      </c>
      <c r="E11" s="1">
        <v>4.2000000000000003E-2</v>
      </c>
      <c r="F11" s="1">
        <v>0.95799999999999996</v>
      </c>
      <c r="G11">
        <v>14</v>
      </c>
      <c r="H11">
        <v>1</v>
      </c>
      <c r="I11">
        <v>105</v>
      </c>
      <c r="J11" s="20">
        <v>1</v>
      </c>
      <c r="K11">
        <v>1</v>
      </c>
      <c r="L11">
        <v>96</v>
      </c>
      <c r="M11">
        <v>96</v>
      </c>
      <c r="N11">
        <v>96</v>
      </c>
      <c r="O11">
        <v>96</v>
      </c>
      <c r="P11" s="1">
        <v>0.91428600000000004</v>
      </c>
    </row>
    <row r="12" spans="1:16" x14ac:dyDescent="0.25">
      <c r="A12" t="s">
        <v>16</v>
      </c>
      <c r="B12" s="16">
        <v>298714804</v>
      </c>
      <c r="C12">
        <v>631</v>
      </c>
      <c r="D12">
        <v>1869</v>
      </c>
      <c r="E12" s="1">
        <v>0.25240000000000001</v>
      </c>
      <c r="F12" s="1">
        <v>0.74760000000000004</v>
      </c>
      <c r="G12">
        <v>74</v>
      </c>
      <c r="H12">
        <v>1</v>
      </c>
      <c r="I12">
        <v>631</v>
      </c>
      <c r="J12" s="20">
        <v>1</v>
      </c>
      <c r="K12">
        <v>11</v>
      </c>
      <c r="L12">
        <v>51.454545000000003</v>
      </c>
      <c r="M12">
        <v>96</v>
      </c>
      <c r="N12">
        <v>26</v>
      </c>
      <c r="O12">
        <v>566</v>
      </c>
      <c r="P12" s="1">
        <v>0.89698900000000004</v>
      </c>
    </row>
    <row r="13" spans="1:16" x14ac:dyDescent="0.25">
      <c r="A13" t="s">
        <v>16</v>
      </c>
      <c r="B13" s="16">
        <v>1803221244</v>
      </c>
      <c r="C13">
        <v>184</v>
      </c>
      <c r="D13">
        <v>2316</v>
      </c>
      <c r="E13" s="1">
        <v>7.3599999999999999E-2</v>
      </c>
      <c r="F13" s="1">
        <v>0.9264</v>
      </c>
      <c r="G13">
        <v>23</v>
      </c>
      <c r="H13">
        <v>1</v>
      </c>
      <c r="I13">
        <v>184</v>
      </c>
      <c r="J13" s="20">
        <v>1</v>
      </c>
      <c r="K13">
        <v>3</v>
      </c>
      <c r="L13">
        <v>56</v>
      </c>
      <c r="M13">
        <v>86</v>
      </c>
      <c r="N13">
        <v>41</v>
      </c>
      <c r="O13">
        <v>168</v>
      </c>
      <c r="P13" s="1">
        <v>0.91304300000000005</v>
      </c>
    </row>
    <row r="14" spans="1:16" x14ac:dyDescent="0.25">
      <c r="A14" t="s">
        <v>16</v>
      </c>
      <c r="B14" s="16">
        <v>217198594</v>
      </c>
      <c r="C14">
        <v>141</v>
      </c>
      <c r="D14">
        <v>2359</v>
      </c>
      <c r="E14" s="1">
        <v>5.6399999999999999E-2</v>
      </c>
      <c r="F14" s="1">
        <v>0.94359999999999999</v>
      </c>
      <c r="G14">
        <v>39</v>
      </c>
      <c r="H14">
        <v>1</v>
      </c>
      <c r="I14">
        <v>141</v>
      </c>
      <c r="J14" s="20">
        <v>1</v>
      </c>
      <c r="K14">
        <v>3</v>
      </c>
      <c r="L14">
        <v>36</v>
      </c>
      <c r="M14">
        <v>56</v>
      </c>
      <c r="N14">
        <v>26</v>
      </c>
      <c r="O14">
        <v>108</v>
      </c>
      <c r="P14" s="1">
        <v>0.765957</v>
      </c>
    </row>
    <row r="15" spans="1:16" x14ac:dyDescent="0.25">
      <c r="A15" t="s">
        <v>16</v>
      </c>
      <c r="B15" s="16">
        <v>1201058766</v>
      </c>
      <c r="C15">
        <v>269</v>
      </c>
      <c r="D15">
        <v>2231</v>
      </c>
      <c r="E15" s="1">
        <v>0.1076</v>
      </c>
      <c r="F15" s="1">
        <v>0.89239999999999997</v>
      </c>
      <c r="G15">
        <v>40</v>
      </c>
      <c r="H15">
        <v>1</v>
      </c>
      <c r="I15">
        <v>269</v>
      </c>
      <c r="J15" s="20">
        <v>1</v>
      </c>
      <c r="K15">
        <v>6</v>
      </c>
      <c r="L15">
        <v>38.333333000000003</v>
      </c>
      <c r="M15">
        <v>96</v>
      </c>
      <c r="N15">
        <v>16</v>
      </c>
      <c r="O15">
        <v>230</v>
      </c>
      <c r="P15" s="1">
        <v>0.85501899999999997</v>
      </c>
    </row>
    <row r="16" spans="1:16" x14ac:dyDescent="0.25">
      <c r="A16" t="s">
        <v>16</v>
      </c>
      <c r="B16" s="16">
        <v>268739930</v>
      </c>
      <c r="C16">
        <v>209</v>
      </c>
      <c r="D16">
        <v>2291</v>
      </c>
      <c r="E16" s="1">
        <v>8.3599999999999994E-2</v>
      </c>
      <c r="F16" s="1">
        <v>0.91639999999999999</v>
      </c>
      <c r="G16">
        <v>28</v>
      </c>
      <c r="H16">
        <v>1</v>
      </c>
      <c r="I16">
        <v>209</v>
      </c>
      <c r="J16" s="20">
        <v>1</v>
      </c>
      <c r="K16">
        <v>3</v>
      </c>
      <c r="L16">
        <v>62.666666999999997</v>
      </c>
      <c r="M16">
        <v>96</v>
      </c>
      <c r="N16">
        <v>46</v>
      </c>
      <c r="O16">
        <v>188</v>
      </c>
      <c r="P16" s="1">
        <v>0.89952200000000004</v>
      </c>
    </row>
    <row r="17" spans="1:16" x14ac:dyDescent="0.25">
      <c r="A17" t="s">
        <v>16</v>
      </c>
      <c r="B17" s="16">
        <v>1249368410</v>
      </c>
      <c r="C17">
        <v>167</v>
      </c>
      <c r="D17">
        <v>2333</v>
      </c>
      <c r="E17" s="1">
        <v>6.6799999999999998E-2</v>
      </c>
      <c r="F17" s="1">
        <v>0.93320000000000003</v>
      </c>
      <c r="G17">
        <v>22</v>
      </c>
      <c r="H17">
        <v>1</v>
      </c>
      <c r="I17">
        <v>167</v>
      </c>
      <c r="J17" s="20">
        <v>1</v>
      </c>
      <c r="K17">
        <v>2</v>
      </c>
      <c r="L17">
        <v>76</v>
      </c>
      <c r="M17">
        <v>96</v>
      </c>
      <c r="N17">
        <v>56</v>
      </c>
      <c r="O17">
        <v>152</v>
      </c>
      <c r="P17" s="1">
        <v>0.91017999999999999</v>
      </c>
    </row>
    <row r="18" spans="1:16" x14ac:dyDescent="0.25">
      <c r="A18" t="s">
        <v>16</v>
      </c>
      <c r="B18" s="16">
        <v>1850745368</v>
      </c>
      <c r="C18">
        <v>104</v>
      </c>
      <c r="D18">
        <v>2396</v>
      </c>
      <c r="E18" s="1">
        <v>4.1599999999999998E-2</v>
      </c>
      <c r="F18" s="1">
        <v>0.95840000000000003</v>
      </c>
      <c r="G18">
        <v>23</v>
      </c>
      <c r="H18">
        <v>1</v>
      </c>
      <c r="I18">
        <v>104</v>
      </c>
      <c r="J18" s="20">
        <v>1</v>
      </c>
      <c r="K18">
        <v>3</v>
      </c>
      <c r="L18">
        <v>29.333333</v>
      </c>
      <c r="M18">
        <v>46</v>
      </c>
      <c r="N18">
        <v>21</v>
      </c>
      <c r="O18">
        <v>88</v>
      </c>
      <c r="P18" s="1">
        <v>0.84615399999999996</v>
      </c>
    </row>
    <row r="19" spans="1:16" x14ac:dyDescent="0.25">
      <c r="A19" t="s">
        <v>16</v>
      </c>
      <c r="B19" s="16">
        <v>200557634</v>
      </c>
      <c r="C19">
        <v>578</v>
      </c>
      <c r="D19">
        <v>1922</v>
      </c>
      <c r="E19" s="1">
        <v>0.23119999999999999</v>
      </c>
      <c r="F19" s="1">
        <v>0.76880000000000004</v>
      </c>
      <c r="G19">
        <v>58</v>
      </c>
      <c r="H19">
        <v>1</v>
      </c>
      <c r="I19">
        <v>578</v>
      </c>
      <c r="J19" s="20">
        <v>1</v>
      </c>
      <c r="K19">
        <v>10</v>
      </c>
      <c r="L19">
        <v>52</v>
      </c>
      <c r="M19">
        <v>96</v>
      </c>
      <c r="N19">
        <v>26</v>
      </c>
      <c r="O19">
        <v>520</v>
      </c>
      <c r="P19" s="1">
        <v>0.89965399999999995</v>
      </c>
    </row>
    <row r="20" spans="1:16" x14ac:dyDescent="0.25">
      <c r="A20" t="s">
        <v>16</v>
      </c>
      <c r="B20" s="16">
        <v>1040594718</v>
      </c>
      <c r="C20">
        <v>409</v>
      </c>
      <c r="D20">
        <v>2091</v>
      </c>
      <c r="E20" s="1">
        <v>0.1636</v>
      </c>
      <c r="F20" s="1">
        <v>0.83640000000000003</v>
      </c>
      <c r="G20">
        <v>54</v>
      </c>
      <c r="H20">
        <v>1</v>
      </c>
      <c r="I20">
        <v>409</v>
      </c>
      <c r="J20" s="20">
        <v>1</v>
      </c>
      <c r="K20">
        <v>6</v>
      </c>
      <c r="L20">
        <v>61</v>
      </c>
      <c r="M20">
        <v>96</v>
      </c>
      <c r="N20">
        <v>46</v>
      </c>
      <c r="O20">
        <v>366</v>
      </c>
      <c r="P20" s="1">
        <v>0.89486600000000005</v>
      </c>
    </row>
    <row r="21" spans="1:16" x14ac:dyDescent="0.25">
      <c r="A21" t="s">
        <v>16</v>
      </c>
      <c r="B21" s="16">
        <v>1596008098</v>
      </c>
      <c r="C21">
        <v>229</v>
      </c>
      <c r="D21">
        <v>2271</v>
      </c>
      <c r="E21" s="1">
        <v>9.1600000000000001E-2</v>
      </c>
      <c r="F21" s="1">
        <v>0.90839999999999999</v>
      </c>
      <c r="G21">
        <v>28</v>
      </c>
      <c r="H21">
        <v>1</v>
      </c>
      <c r="I21">
        <v>229</v>
      </c>
      <c r="J21" s="20">
        <v>1</v>
      </c>
      <c r="K21">
        <v>3</v>
      </c>
      <c r="L21">
        <v>69.333332999999996</v>
      </c>
      <c r="M21">
        <v>96</v>
      </c>
      <c r="N21">
        <v>56</v>
      </c>
      <c r="O21">
        <v>208</v>
      </c>
      <c r="P21" s="1">
        <v>0.90829700000000002</v>
      </c>
    </row>
    <row r="22" spans="1:16" x14ac:dyDescent="0.25">
      <c r="A22" t="s">
        <v>16</v>
      </c>
      <c r="B22" s="16">
        <v>1729300293</v>
      </c>
      <c r="C22">
        <v>660</v>
      </c>
      <c r="D22">
        <v>1840</v>
      </c>
      <c r="E22" s="1">
        <v>0.26400000000000001</v>
      </c>
      <c r="F22" s="1">
        <v>0.73599999999999999</v>
      </c>
      <c r="G22">
        <v>74</v>
      </c>
      <c r="H22">
        <v>1</v>
      </c>
      <c r="I22">
        <v>660</v>
      </c>
      <c r="J22" s="20">
        <v>1</v>
      </c>
      <c r="K22">
        <v>11</v>
      </c>
      <c r="L22">
        <v>54.181818</v>
      </c>
      <c r="M22">
        <v>96</v>
      </c>
      <c r="N22">
        <v>26</v>
      </c>
      <c r="O22">
        <v>596</v>
      </c>
      <c r="P22" s="1">
        <v>0.90303</v>
      </c>
    </row>
    <row r="23" spans="1:16" x14ac:dyDescent="0.25">
      <c r="A23" t="s">
        <v>16</v>
      </c>
      <c r="B23" s="16">
        <v>562911852</v>
      </c>
      <c r="C23">
        <v>312</v>
      </c>
      <c r="D23">
        <v>2188</v>
      </c>
      <c r="E23" s="1">
        <v>0.12479999999999999</v>
      </c>
      <c r="F23" s="1">
        <v>0.87519999999999998</v>
      </c>
      <c r="G23">
        <v>36</v>
      </c>
      <c r="H23">
        <v>1</v>
      </c>
      <c r="I23">
        <v>312</v>
      </c>
      <c r="J23" s="20">
        <v>1</v>
      </c>
      <c r="K23">
        <v>5</v>
      </c>
      <c r="L23">
        <v>56.8</v>
      </c>
      <c r="M23">
        <v>96</v>
      </c>
      <c r="N23">
        <v>46</v>
      </c>
      <c r="O23">
        <v>284</v>
      </c>
      <c r="P23" s="1">
        <v>0.91025599999999995</v>
      </c>
    </row>
    <row r="24" spans="1:16" x14ac:dyDescent="0.25">
      <c r="A24" t="s">
        <v>16</v>
      </c>
      <c r="B24" s="16">
        <v>1966516567</v>
      </c>
      <c r="C24">
        <v>484</v>
      </c>
      <c r="D24">
        <v>2016</v>
      </c>
      <c r="E24" s="1">
        <v>0.19359999999999999</v>
      </c>
      <c r="F24" s="1">
        <v>0.80640000000000001</v>
      </c>
      <c r="G24">
        <v>45</v>
      </c>
      <c r="H24">
        <v>1</v>
      </c>
      <c r="I24">
        <v>484</v>
      </c>
      <c r="J24" s="20">
        <v>1</v>
      </c>
      <c r="K24">
        <v>8</v>
      </c>
      <c r="L24">
        <v>54.75</v>
      </c>
      <c r="M24">
        <v>96</v>
      </c>
      <c r="N24">
        <v>26</v>
      </c>
      <c r="O24">
        <v>438</v>
      </c>
      <c r="P24" s="1">
        <v>0.90495899999999996</v>
      </c>
    </row>
    <row r="25" spans="1:16" x14ac:dyDescent="0.25">
      <c r="A25" t="s">
        <v>16</v>
      </c>
      <c r="B25" s="16">
        <v>587127813</v>
      </c>
      <c r="C25">
        <v>171</v>
      </c>
      <c r="D25">
        <v>2329</v>
      </c>
      <c r="E25" s="1">
        <v>6.8400000000000002E-2</v>
      </c>
      <c r="F25" s="1">
        <v>0.93159999999999998</v>
      </c>
      <c r="G25">
        <v>24</v>
      </c>
      <c r="H25">
        <v>1</v>
      </c>
      <c r="I25">
        <v>171</v>
      </c>
      <c r="J25" s="20">
        <v>1</v>
      </c>
      <c r="K25">
        <v>2</v>
      </c>
      <c r="L25">
        <v>76</v>
      </c>
      <c r="M25">
        <v>96</v>
      </c>
      <c r="N25">
        <v>56</v>
      </c>
      <c r="O25">
        <v>152</v>
      </c>
      <c r="P25" s="1">
        <v>0.88888900000000004</v>
      </c>
    </row>
    <row r="26" spans="1:16" x14ac:dyDescent="0.25">
      <c r="A26" t="s">
        <v>16</v>
      </c>
      <c r="B26" s="16">
        <v>443717228</v>
      </c>
      <c r="C26">
        <v>276</v>
      </c>
      <c r="D26">
        <v>2224</v>
      </c>
      <c r="E26" s="1">
        <v>0.1104</v>
      </c>
      <c r="F26" s="1">
        <v>0.88959999999999995</v>
      </c>
      <c r="G26">
        <v>24</v>
      </c>
      <c r="H26">
        <v>1</v>
      </c>
      <c r="I26">
        <v>276</v>
      </c>
      <c r="J26" s="20">
        <v>1</v>
      </c>
      <c r="K26">
        <v>4</v>
      </c>
      <c r="L26">
        <v>63.5</v>
      </c>
      <c r="M26">
        <v>96</v>
      </c>
      <c r="N26">
        <v>46</v>
      </c>
      <c r="O26">
        <v>254</v>
      </c>
      <c r="P26" s="1">
        <v>0.92029000000000005</v>
      </c>
    </row>
    <row r="27" spans="1:16" x14ac:dyDescent="0.25">
      <c r="A27" t="s">
        <v>16</v>
      </c>
      <c r="B27" s="16">
        <v>241779040</v>
      </c>
      <c r="C27">
        <v>523</v>
      </c>
      <c r="D27">
        <v>1977</v>
      </c>
      <c r="E27" s="1">
        <v>0.2092</v>
      </c>
      <c r="F27" s="1">
        <v>0.79079999999999995</v>
      </c>
      <c r="G27">
        <v>72</v>
      </c>
      <c r="H27">
        <v>1</v>
      </c>
      <c r="I27">
        <v>523</v>
      </c>
      <c r="J27" s="20">
        <v>1</v>
      </c>
      <c r="K27">
        <v>11</v>
      </c>
      <c r="L27">
        <v>41.272727000000003</v>
      </c>
      <c r="M27">
        <v>76</v>
      </c>
      <c r="N27">
        <v>16</v>
      </c>
      <c r="O27">
        <v>454</v>
      </c>
      <c r="P27" s="1">
        <v>0.86806899999999998</v>
      </c>
    </row>
    <row r="28" spans="1:16" x14ac:dyDescent="0.25">
      <c r="A28" t="s">
        <v>16</v>
      </c>
      <c r="B28" s="16">
        <v>1250928150</v>
      </c>
      <c r="C28">
        <v>613</v>
      </c>
      <c r="D28">
        <v>1887</v>
      </c>
      <c r="E28" s="1">
        <v>0.2452</v>
      </c>
      <c r="F28" s="1">
        <v>0.75480000000000003</v>
      </c>
      <c r="G28">
        <v>83</v>
      </c>
      <c r="H28">
        <v>1</v>
      </c>
      <c r="I28">
        <v>613</v>
      </c>
      <c r="J28" s="20">
        <v>1</v>
      </c>
      <c r="K28">
        <v>11</v>
      </c>
      <c r="L28">
        <v>49.090909000000003</v>
      </c>
      <c r="M28">
        <v>86</v>
      </c>
      <c r="N28">
        <v>26</v>
      </c>
      <c r="O28">
        <v>540</v>
      </c>
      <c r="P28" s="1">
        <v>0.88091399999999997</v>
      </c>
    </row>
    <row r="29" spans="1:16" x14ac:dyDescent="0.25">
      <c r="A29" t="s">
        <v>16</v>
      </c>
      <c r="B29" s="16">
        <v>954945980</v>
      </c>
      <c r="C29">
        <v>171</v>
      </c>
      <c r="D29">
        <v>2329</v>
      </c>
      <c r="E29" s="1">
        <v>6.8400000000000002E-2</v>
      </c>
      <c r="F29" s="1">
        <v>0.93159999999999998</v>
      </c>
      <c r="G29">
        <v>26</v>
      </c>
      <c r="H29">
        <v>1</v>
      </c>
      <c r="I29">
        <v>171</v>
      </c>
      <c r="J29" s="20">
        <v>1</v>
      </c>
      <c r="K29">
        <v>3</v>
      </c>
      <c r="L29">
        <v>50</v>
      </c>
      <c r="M29">
        <v>66</v>
      </c>
      <c r="N29">
        <v>38</v>
      </c>
      <c r="O29">
        <v>150</v>
      </c>
      <c r="P29" s="1">
        <v>0.877193</v>
      </c>
    </row>
    <row r="30" spans="1:16" x14ac:dyDescent="0.25">
      <c r="A30" t="s">
        <v>16</v>
      </c>
      <c r="B30" s="16">
        <v>130333274</v>
      </c>
      <c r="C30">
        <v>402</v>
      </c>
      <c r="D30">
        <v>2098</v>
      </c>
      <c r="E30" s="1">
        <v>0.1608</v>
      </c>
      <c r="F30" s="1">
        <v>0.83919999999999995</v>
      </c>
      <c r="G30">
        <v>53</v>
      </c>
      <c r="H30">
        <v>1</v>
      </c>
      <c r="I30">
        <v>402</v>
      </c>
      <c r="J30" s="20">
        <v>1</v>
      </c>
      <c r="K30">
        <v>8</v>
      </c>
      <c r="L30">
        <v>44.5</v>
      </c>
      <c r="M30">
        <v>86</v>
      </c>
      <c r="N30">
        <v>26</v>
      </c>
      <c r="O30">
        <v>356</v>
      </c>
      <c r="P30" s="1">
        <v>0.88557200000000003</v>
      </c>
    </row>
    <row r="31" spans="1:16" x14ac:dyDescent="0.25">
      <c r="A31" t="s">
        <v>16</v>
      </c>
      <c r="B31" s="16">
        <v>338478896</v>
      </c>
      <c r="C31">
        <v>403</v>
      </c>
      <c r="D31">
        <v>2097</v>
      </c>
      <c r="E31" s="1">
        <v>0.16120000000000001</v>
      </c>
      <c r="F31" s="1">
        <v>0.83879999999999999</v>
      </c>
      <c r="G31">
        <v>41</v>
      </c>
      <c r="H31">
        <v>1</v>
      </c>
      <c r="I31">
        <v>403</v>
      </c>
      <c r="J31" s="20">
        <v>1</v>
      </c>
      <c r="K31">
        <v>7</v>
      </c>
      <c r="L31">
        <v>51.857143000000001</v>
      </c>
      <c r="M31">
        <v>96</v>
      </c>
      <c r="N31">
        <v>32</v>
      </c>
      <c r="O31">
        <v>363</v>
      </c>
      <c r="P31" s="1">
        <v>0.90074399999999999</v>
      </c>
    </row>
    <row r="32" spans="1:16" x14ac:dyDescent="0.25">
      <c r="A32" t="s">
        <v>16</v>
      </c>
      <c r="B32" s="16">
        <v>1506522472</v>
      </c>
      <c r="C32">
        <v>429</v>
      </c>
      <c r="D32">
        <v>2071</v>
      </c>
      <c r="E32" s="1">
        <v>0.1716</v>
      </c>
      <c r="F32" s="1">
        <v>0.82840000000000003</v>
      </c>
      <c r="G32">
        <v>52</v>
      </c>
      <c r="H32">
        <v>1</v>
      </c>
      <c r="I32">
        <v>429</v>
      </c>
      <c r="J32" s="20">
        <v>1</v>
      </c>
      <c r="K32">
        <v>9</v>
      </c>
      <c r="L32">
        <v>40.888888999999999</v>
      </c>
      <c r="M32">
        <v>56</v>
      </c>
      <c r="N32">
        <v>12</v>
      </c>
      <c r="O32">
        <v>368</v>
      </c>
      <c r="P32" s="1">
        <v>0.85780900000000004</v>
      </c>
    </row>
    <row r="33" spans="1:16" x14ac:dyDescent="0.25">
      <c r="A33" t="s">
        <v>16</v>
      </c>
      <c r="B33" s="16">
        <v>1506860582</v>
      </c>
      <c r="C33">
        <v>414</v>
      </c>
      <c r="D33">
        <v>2086</v>
      </c>
      <c r="E33" s="1">
        <v>0.1656</v>
      </c>
      <c r="F33" s="1">
        <v>0.83440000000000003</v>
      </c>
      <c r="G33">
        <v>57</v>
      </c>
      <c r="H33">
        <v>1</v>
      </c>
      <c r="I33">
        <v>414</v>
      </c>
      <c r="J33" s="20">
        <v>1</v>
      </c>
      <c r="K33">
        <v>7</v>
      </c>
      <c r="L33">
        <v>52.142856999999999</v>
      </c>
      <c r="M33">
        <v>86</v>
      </c>
      <c r="N33">
        <v>41</v>
      </c>
      <c r="O33">
        <v>365</v>
      </c>
      <c r="P33" s="1">
        <v>0.88164299999999995</v>
      </c>
    </row>
    <row r="34" spans="1:16" x14ac:dyDescent="0.25">
      <c r="A34" t="s">
        <v>16</v>
      </c>
      <c r="B34" s="16">
        <v>1242629566</v>
      </c>
      <c r="C34">
        <v>105</v>
      </c>
      <c r="D34">
        <v>2395</v>
      </c>
      <c r="E34" s="1">
        <v>4.2000000000000003E-2</v>
      </c>
      <c r="F34" s="1">
        <v>0.95799999999999996</v>
      </c>
      <c r="G34">
        <v>14</v>
      </c>
      <c r="H34">
        <v>1</v>
      </c>
      <c r="I34">
        <v>105</v>
      </c>
      <c r="J34" s="20">
        <v>1</v>
      </c>
      <c r="K34">
        <v>1</v>
      </c>
      <c r="L34">
        <v>96</v>
      </c>
      <c r="M34">
        <v>96</v>
      </c>
      <c r="N34">
        <v>96</v>
      </c>
      <c r="O34">
        <v>96</v>
      </c>
      <c r="P34" s="1">
        <v>0.91428600000000004</v>
      </c>
    </row>
    <row r="35" spans="1:16" x14ac:dyDescent="0.25">
      <c r="A35" t="s">
        <v>16</v>
      </c>
      <c r="B35" s="16">
        <v>1314980505</v>
      </c>
      <c r="C35">
        <v>401</v>
      </c>
      <c r="D35">
        <v>2099</v>
      </c>
      <c r="E35" s="1">
        <v>0.16039999999999999</v>
      </c>
      <c r="F35" s="1">
        <v>0.83960000000000001</v>
      </c>
      <c r="G35">
        <v>55</v>
      </c>
      <c r="H35">
        <v>1</v>
      </c>
      <c r="I35">
        <v>401</v>
      </c>
      <c r="J35" s="20">
        <v>1</v>
      </c>
      <c r="K35">
        <v>7</v>
      </c>
      <c r="L35">
        <v>50.285713999999999</v>
      </c>
      <c r="M35">
        <v>96</v>
      </c>
      <c r="N35">
        <v>26</v>
      </c>
      <c r="O35">
        <v>352</v>
      </c>
      <c r="P35" s="1">
        <v>0.87780499999999995</v>
      </c>
    </row>
    <row r="36" spans="1:16" x14ac:dyDescent="0.25">
      <c r="A36" t="s">
        <v>16</v>
      </c>
      <c r="B36" s="16">
        <v>7589962</v>
      </c>
      <c r="C36">
        <v>113</v>
      </c>
      <c r="D36">
        <v>2387</v>
      </c>
      <c r="E36" s="1">
        <v>4.5199999999999997E-2</v>
      </c>
      <c r="F36" s="1">
        <v>0.95479999999999998</v>
      </c>
      <c r="G36">
        <v>21</v>
      </c>
      <c r="H36">
        <v>1</v>
      </c>
      <c r="I36">
        <v>113</v>
      </c>
      <c r="J36" s="20">
        <v>1</v>
      </c>
      <c r="K36">
        <v>1</v>
      </c>
      <c r="L36">
        <v>96</v>
      </c>
      <c r="M36">
        <v>96</v>
      </c>
      <c r="N36">
        <v>96</v>
      </c>
      <c r="O36">
        <v>96</v>
      </c>
      <c r="P36" s="1">
        <v>0.84955800000000004</v>
      </c>
    </row>
    <row r="37" spans="1:16" x14ac:dyDescent="0.25">
      <c r="A37" t="s">
        <v>16</v>
      </c>
      <c r="B37" s="16">
        <v>1996405130</v>
      </c>
      <c r="C37">
        <v>229</v>
      </c>
      <c r="D37">
        <v>2271</v>
      </c>
      <c r="E37" s="1">
        <v>9.1600000000000001E-2</v>
      </c>
      <c r="F37" s="1">
        <v>0.90839999999999999</v>
      </c>
      <c r="G37">
        <v>29</v>
      </c>
      <c r="H37">
        <v>1</v>
      </c>
      <c r="I37">
        <v>229</v>
      </c>
      <c r="J37" s="20">
        <v>1</v>
      </c>
      <c r="K37">
        <v>3</v>
      </c>
      <c r="L37">
        <v>69.333332999999996</v>
      </c>
      <c r="M37">
        <v>96</v>
      </c>
      <c r="N37">
        <v>56</v>
      </c>
      <c r="O37">
        <v>208</v>
      </c>
      <c r="P37" s="1">
        <v>0.90829700000000002</v>
      </c>
    </row>
    <row r="38" spans="1:16" x14ac:dyDescent="0.25">
      <c r="A38" t="s">
        <v>16</v>
      </c>
      <c r="B38" s="16">
        <v>1713029629</v>
      </c>
      <c r="C38">
        <v>109</v>
      </c>
      <c r="D38">
        <v>2391</v>
      </c>
      <c r="E38" s="1">
        <v>4.36E-2</v>
      </c>
      <c r="F38" s="1">
        <v>0.95640000000000003</v>
      </c>
      <c r="G38">
        <v>17</v>
      </c>
      <c r="H38">
        <v>1</v>
      </c>
      <c r="I38">
        <v>109</v>
      </c>
      <c r="J38" s="20">
        <v>1</v>
      </c>
      <c r="K38">
        <v>1</v>
      </c>
      <c r="L38">
        <v>96</v>
      </c>
      <c r="M38">
        <v>96</v>
      </c>
      <c r="N38">
        <v>96</v>
      </c>
      <c r="O38">
        <v>96</v>
      </c>
      <c r="P38" s="1">
        <v>0.88073400000000002</v>
      </c>
    </row>
    <row r="39" spans="1:16" x14ac:dyDescent="0.25">
      <c r="A39" t="s">
        <v>16</v>
      </c>
      <c r="B39" s="16">
        <v>1297442163</v>
      </c>
      <c r="C39">
        <v>221</v>
      </c>
      <c r="D39">
        <v>2279</v>
      </c>
      <c r="E39" s="1">
        <v>8.8400000000000006E-2</v>
      </c>
      <c r="F39" s="1">
        <v>0.91159999999999997</v>
      </c>
      <c r="G39">
        <v>29</v>
      </c>
      <c r="H39">
        <v>1</v>
      </c>
      <c r="I39">
        <v>221</v>
      </c>
      <c r="J39" s="20">
        <v>1</v>
      </c>
      <c r="K39">
        <v>4</v>
      </c>
      <c r="L39">
        <v>48.5</v>
      </c>
      <c r="M39">
        <v>56</v>
      </c>
      <c r="N39">
        <v>46</v>
      </c>
      <c r="O39">
        <v>194</v>
      </c>
      <c r="P39" s="1">
        <v>0.87782800000000005</v>
      </c>
    </row>
    <row r="40" spans="1:16" x14ac:dyDescent="0.25">
      <c r="A40" t="s">
        <v>16</v>
      </c>
      <c r="B40" s="16">
        <v>1580791349</v>
      </c>
      <c r="C40">
        <v>444</v>
      </c>
      <c r="D40">
        <v>2056</v>
      </c>
      <c r="E40" s="1">
        <v>0.17760000000000001</v>
      </c>
      <c r="F40" s="1">
        <v>0.82240000000000002</v>
      </c>
      <c r="G40">
        <v>50</v>
      </c>
      <c r="H40">
        <v>1</v>
      </c>
      <c r="I40">
        <v>444</v>
      </c>
      <c r="J40" s="20">
        <v>1</v>
      </c>
      <c r="K40">
        <v>8</v>
      </c>
      <c r="L40">
        <v>49.75</v>
      </c>
      <c r="M40">
        <v>96</v>
      </c>
      <c r="N40">
        <v>20</v>
      </c>
      <c r="O40">
        <v>398</v>
      </c>
      <c r="P40" s="1">
        <v>0.89639599999999997</v>
      </c>
    </row>
    <row r="41" spans="1:16" x14ac:dyDescent="0.25">
      <c r="A41" t="s">
        <v>16</v>
      </c>
      <c r="B41" s="16">
        <v>1073098103</v>
      </c>
      <c r="C41">
        <v>100</v>
      </c>
      <c r="D41">
        <v>2400</v>
      </c>
      <c r="E41" s="1">
        <v>0.04</v>
      </c>
      <c r="F41" s="1">
        <v>0.96</v>
      </c>
      <c r="G41">
        <v>9</v>
      </c>
      <c r="H41">
        <v>1</v>
      </c>
      <c r="I41">
        <v>100</v>
      </c>
      <c r="J41" s="20">
        <v>1</v>
      </c>
      <c r="K41">
        <v>1</v>
      </c>
      <c r="L41">
        <v>96</v>
      </c>
      <c r="M41">
        <v>96</v>
      </c>
      <c r="N41">
        <v>96</v>
      </c>
      <c r="O41">
        <v>96</v>
      </c>
      <c r="P41" s="1">
        <v>0.96</v>
      </c>
    </row>
    <row r="42" spans="1:16" x14ac:dyDescent="0.25">
      <c r="A42" t="s">
        <v>16</v>
      </c>
      <c r="B42" s="16">
        <v>266095788</v>
      </c>
      <c r="C42">
        <v>442</v>
      </c>
      <c r="D42">
        <v>2058</v>
      </c>
      <c r="E42" s="1">
        <v>0.17680000000000001</v>
      </c>
      <c r="F42" s="1">
        <v>0.82320000000000004</v>
      </c>
      <c r="G42">
        <v>44</v>
      </c>
      <c r="H42">
        <v>1</v>
      </c>
      <c r="I42">
        <v>442</v>
      </c>
      <c r="J42" s="20">
        <v>1</v>
      </c>
      <c r="K42">
        <v>7</v>
      </c>
      <c r="L42">
        <v>57.428570999999998</v>
      </c>
      <c r="M42">
        <v>96</v>
      </c>
      <c r="N42">
        <v>46</v>
      </c>
      <c r="O42">
        <v>402</v>
      </c>
      <c r="P42" s="1">
        <v>0.90950200000000003</v>
      </c>
    </row>
    <row r="43" spans="1:16" x14ac:dyDescent="0.25">
      <c r="A43" t="s">
        <v>16</v>
      </c>
      <c r="B43" s="16">
        <v>1982974513</v>
      </c>
      <c r="C43">
        <v>255</v>
      </c>
      <c r="D43">
        <v>2245</v>
      </c>
      <c r="E43" s="1">
        <v>0.10199999999999999</v>
      </c>
      <c r="F43" s="1">
        <v>0.89800000000000002</v>
      </c>
      <c r="G43">
        <v>36</v>
      </c>
      <c r="H43">
        <v>1</v>
      </c>
      <c r="I43">
        <v>255</v>
      </c>
      <c r="J43" s="20">
        <v>1</v>
      </c>
      <c r="K43">
        <v>4</v>
      </c>
      <c r="L43">
        <v>56</v>
      </c>
      <c r="M43">
        <v>66</v>
      </c>
      <c r="N43">
        <v>46</v>
      </c>
      <c r="O43">
        <v>224</v>
      </c>
      <c r="P43" s="1">
        <v>0.87843099999999996</v>
      </c>
    </row>
    <row r="44" spans="1:16" x14ac:dyDescent="0.25">
      <c r="A44" t="s">
        <v>16</v>
      </c>
      <c r="B44" s="16">
        <v>1580326018</v>
      </c>
      <c r="C44">
        <v>471</v>
      </c>
      <c r="D44">
        <v>2029</v>
      </c>
      <c r="E44" s="1">
        <v>0.18840000000000001</v>
      </c>
      <c r="F44" s="1">
        <v>0.81159999999999999</v>
      </c>
      <c r="G44">
        <v>54</v>
      </c>
      <c r="H44">
        <v>1</v>
      </c>
      <c r="I44">
        <v>471</v>
      </c>
      <c r="J44" s="20">
        <v>1</v>
      </c>
      <c r="K44">
        <v>9</v>
      </c>
      <c r="L44">
        <v>46.555556000000003</v>
      </c>
      <c r="M44">
        <v>96</v>
      </c>
      <c r="N44">
        <v>21</v>
      </c>
      <c r="O44">
        <v>419</v>
      </c>
      <c r="P44" s="1">
        <v>0.88959699999999997</v>
      </c>
    </row>
    <row r="45" spans="1:16" x14ac:dyDescent="0.25">
      <c r="A45" t="s">
        <v>16</v>
      </c>
      <c r="B45" s="16">
        <v>130245684</v>
      </c>
      <c r="C45">
        <v>350</v>
      </c>
      <c r="D45">
        <v>2150</v>
      </c>
      <c r="E45" s="1">
        <v>0.14000000000000001</v>
      </c>
      <c r="F45" s="1">
        <v>0.86</v>
      </c>
      <c r="G45">
        <v>41</v>
      </c>
      <c r="H45">
        <v>1</v>
      </c>
      <c r="I45">
        <v>350</v>
      </c>
      <c r="J45" s="20">
        <v>1</v>
      </c>
      <c r="K45">
        <v>6</v>
      </c>
      <c r="L45">
        <v>52.666666999999997</v>
      </c>
      <c r="M45">
        <v>96</v>
      </c>
      <c r="N45">
        <v>36</v>
      </c>
      <c r="O45">
        <v>316</v>
      </c>
      <c r="P45" s="1">
        <v>0.90285700000000002</v>
      </c>
    </row>
    <row r="46" spans="1:16" x14ac:dyDescent="0.25">
      <c r="A46" t="s">
        <v>16</v>
      </c>
      <c r="B46" s="16">
        <v>1399088347</v>
      </c>
      <c r="C46">
        <v>367</v>
      </c>
      <c r="D46">
        <v>2133</v>
      </c>
      <c r="E46" s="1">
        <v>0.14680000000000001</v>
      </c>
      <c r="F46" s="1">
        <v>0.85319999999999996</v>
      </c>
      <c r="G46">
        <v>39</v>
      </c>
      <c r="H46">
        <v>1</v>
      </c>
      <c r="I46">
        <v>367</v>
      </c>
      <c r="J46" s="20">
        <v>1</v>
      </c>
      <c r="K46">
        <v>7</v>
      </c>
      <c r="L46">
        <v>46.714286000000001</v>
      </c>
      <c r="M46">
        <v>96</v>
      </c>
      <c r="N46">
        <v>21</v>
      </c>
      <c r="O46">
        <v>327</v>
      </c>
      <c r="P46" s="1">
        <v>0.89100800000000002</v>
      </c>
    </row>
    <row r="47" spans="1:16" x14ac:dyDescent="0.25">
      <c r="A47" t="s">
        <v>16</v>
      </c>
      <c r="B47" s="16">
        <v>2055088021</v>
      </c>
      <c r="C47">
        <v>681</v>
      </c>
      <c r="D47">
        <v>1819</v>
      </c>
      <c r="E47" s="1">
        <v>0.27239999999999998</v>
      </c>
      <c r="F47" s="1">
        <v>0.72760000000000002</v>
      </c>
      <c r="G47">
        <v>59</v>
      </c>
      <c r="H47">
        <v>1</v>
      </c>
      <c r="I47">
        <v>681</v>
      </c>
      <c r="J47" s="20">
        <v>1</v>
      </c>
      <c r="K47">
        <v>13</v>
      </c>
      <c r="L47">
        <v>46.538462000000003</v>
      </c>
      <c r="M47">
        <v>56</v>
      </c>
      <c r="N47">
        <v>32</v>
      </c>
      <c r="O47">
        <v>605</v>
      </c>
      <c r="P47" s="1">
        <v>0.88839900000000005</v>
      </c>
    </row>
    <row r="48" spans="1:16" x14ac:dyDescent="0.25">
      <c r="A48" t="s">
        <v>16</v>
      </c>
      <c r="B48" s="16">
        <v>920862974</v>
      </c>
      <c r="C48">
        <v>109</v>
      </c>
      <c r="D48">
        <v>2391</v>
      </c>
      <c r="E48" s="1">
        <v>4.36E-2</v>
      </c>
      <c r="F48" s="1">
        <v>0.95640000000000003</v>
      </c>
      <c r="G48">
        <v>17</v>
      </c>
      <c r="H48">
        <v>1</v>
      </c>
      <c r="I48">
        <v>109</v>
      </c>
      <c r="J48" s="20">
        <v>1</v>
      </c>
      <c r="K48">
        <v>1</v>
      </c>
      <c r="L48">
        <v>96</v>
      </c>
      <c r="M48">
        <v>96</v>
      </c>
      <c r="N48">
        <v>96</v>
      </c>
      <c r="O48">
        <v>96</v>
      </c>
      <c r="P48" s="1">
        <v>0.88073400000000002</v>
      </c>
    </row>
    <row r="49" spans="1:16" x14ac:dyDescent="0.25">
      <c r="A49" t="s">
        <v>16</v>
      </c>
      <c r="B49" s="16">
        <v>1279064768</v>
      </c>
      <c r="C49">
        <v>312</v>
      </c>
      <c r="D49">
        <v>2188</v>
      </c>
      <c r="E49" s="1">
        <v>0.12479999999999999</v>
      </c>
      <c r="F49" s="1">
        <v>0.87519999999999998</v>
      </c>
      <c r="G49">
        <v>39</v>
      </c>
      <c r="H49">
        <v>1</v>
      </c>
      <c r="I49">
        <v>312</v>
      </c>
      <c r="J49" s="20">
        <v>1</v>
      </c>
      <c r="K49">
        <v>5</v>
      </c>
      <c r="L49">
        <v>55</v>
      </c>
      <c r="M49">
        <v>96</v>
      </c>
      <c r="N49">
        <v>21</v>
      </c>
      <c r="O49">
        <v>275</v>
      </c>
      <c r="P49" s="1">
        <v>0.88141000000000003</v>
      </c>
    </row>
    <row r="50" spans="1:16" x14ac:dyDescent="0.25">
      <c r="A50" t="s">
        <v>16</v>
      </c>
      <c r="B50" s="16">
        <v>10345949</v>
      </c>
      <c r="C50">
        <v>418</v>
      </c>
      <c r="D50">
        <v>2082</v>
      </c>
      <c r="E50" s="1">
        <v>0.16719999999999999</v>
      </c>
      <c r="F50" s="1">
        <v>0.83279999999999998</v>
      </c>
      <c r="G50">
        <v>45</v>
      </c>
      <c r="H50">
        <v>1</v>
      </c>
      <c r="I50">
        <v>418</v>
      </c>
      <c r="J50" s="20">
        <v>1</v>
      </c>
      <c r="K50">
        <v>8</v>
      </c>
      <c r="L50">
        <v>46.5</v>
      </c>
      <c r="M50">
        <v>96</v>
      </c>
      <c r="N50">
        <v>26</v>
      </c>
      <c r="O50">
        <v>372</v>
      </c>
      <c r="P50" s="1">
        <v>0.88995199999999997</v>
      </c>
    </row>
    <row r="51" spans="1:16" x14ac:dyDescent="0.25">
      <c r="A51" t="s">
        <v>16</v>
      </c>
      <c r="B51" s="16">
        <v>142745877</v>
      </c>
      <c r="C51">
        <v>80</v>
      </c>
      <c r="D51">
        <v>2420</v>
      </c>
      <c r="E51" s="1">
        <v>3.2000000000000001E-2</v>
      </c>
      <c r="F51" s="1">
        <v>0.96799999999999997</v>
      </c>
      <c r="G51">
        <v>9</v>
      </c>
      <c r="H51">
        <v>1</v>
      </c>
      <c r="I51">
        <v>80</v>
      </c>
      <c r="J51" s="20">
        <v>1</v>
      </c>
      <c r="K51">
        <v>1</v>
      </c>
      <c r="L51">
        <v>76</v>
      </c>
      <c r="M51">
        <v>76</v>
      </c>
      <c r="N51">
        <v>76</v>
      </c>
      <c r="O51">
        <v>76</v>
      </c>
      <c r="P51" s="1">
        <v>0.95</v>
      </c>
    </row>
    <row r="52" spans="1:16" x14ac:dyDescent="0.25">
      <c r="A52" t="s">
        <v>26</v>
      </c>
      <c r="B52"/>
      <c r="C52">
        <f>SUBTOTAL(101,AgCon_room10_corr4[floors])</f>
        <v>327</v>
      </c>
      <c r="D52">
        <f>SUBTOTAL(101,AgCon_room10_corr4[walls])</f>
        <v>2173</v>
      </c>
      <c r="E52" s="2">
        <f>SUBTOTAL(101,AgCon_room10_corr4[floor_percent])</f>
        <v>0.1308</v>
      </c>
      <c r="F52" s="2">
        <f>SUBTOTAL(101,AgCon_room10_corr4[wall_percent])</f>
        <v>0.86920000000000019</v>
      </c>
      <c r="G52">
        <f>SUBTOTAL(101,AgCon_room10_corr4[longest_shortest_path])</f>
        <v>39.46</v>
      </c>
      <c r="H52">
        <f>SUBTOTAL(101,AgCon_room10_corr4[component_count])</f>
        <v>1</v>
      </c>
      <c r="I52">
        <f>SUBTOTAL(101,AgCon_room10_corr4[max_component_size])</f>
        <v>327</v>
      </c>
      <c r="J52" s="20">
        <f>SUBTOTAL(101,AgCon_room10_corr4[connectivity_ratio])</f>
        <v>1</v>
      </c>
      <c r="K52">
        <f>SUBTOTAL(101,AgCon_room10_corr4[room_count])</f>
        <v>5.56</v>
      </c>
      <c r="L52">
        <f>SUBTOTAL(101,AgCon_room10_corr4[avg_room_size])</f>
        <v>59.270245379999999</v>
      </c>
      <c r="M52">
        <f>SUBTOTAL(101,AgCon_room10_corr4[max_room_size])</f>
        <v>88.8</v>
      </c>
      <c r="N52">
        <f>SUBTOTAL(101,AgCon_room10_corr4[min_room_size])</f>
        <v>42.6</v>
      </c>
      <c r="O52">
        <f>SUBTOTAL(101,AgCon_room10_corr4[room_tiles])</f>
        <v>291.64</v>
      </c>
      <c r="P52" s="2">
        <f>SUBTOTAL(101,AgCon_room10_corr4[room_ratio])</f>
        <v>0.89280622000000009</v>
      </c>
    </row>
    <row r="53" spans="1:16" x14ac:dyDescent="0.25">
      <c r="A53" s="19" t="s">
        <v>34</v>
      </c>
      <c r="B53" s="19"/>
      <c r="C53" s="19"/>
      <c r="D53" s="19"/>
    </row>
  </sheetData>
  <mergeCells count="1">
    <mergeCell ref="A53:D53"/>
  </mergeCells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BA95-350E-4CAC-8BE2-D0E2F7CE769E}">
  <dimension ref="A1:P53"/>
  <sheetViews>
    <sheetView topLeftCell="A22" workbookViewId="0">
      <selection activeCell="J22" sqref="J1:J1048576"/>
    </sheetView>
  </sheetViews>
  <sheetFormatPr defaultRowHeight="15" x14ac:dyDescent="0.25"/>
  <cols>
    <col min="1" max="1" width="32.28515625" bestFit="1" customWidth="1"/>
    <col min="2" max="2" width="11" style="16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6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6">
        <v>1218935689</v>
      </c>
      <c r="C2">
        <v>242</v>
      </c>
      <c r="D2">
        <v>2258</v>
      </c>
      <c r="E2" s="1">
        <v>9.6799999999999997E-2</v>
      </c>
      <c r="F2" s="1">
        <v>0.9032</v>
      </c>
      <c r="G2">
        <v>107</v>
      </c>
      <c r="H2">
        <v>1</v>
      </c>
      <c r="I2">
        <v>242</v>
      </c>
      <c r="J2" s="20">
        <v>1</v>
      </c>
      <c r="K2">
        <v>9</v>
      </c>
      <c r="L2">
        <v>12.111110999999999</v>
      </c>
      <c r="M2">
        <v>13</v>
      </c>
      <c r="N2">
        <v>12</v>
      </c>
      <c r="O2">
        <v>109</v>
      </c>
      <c r="P2" s="1">
        <v>0.45041300000000001</v>
      </c>
    </row>
    <row r="3" spans="1:16" x14ac:dyDescent="0.25">
      <c r="A3" t="s">
        <v>16</v>
      </c>
      <c r="B3" s="16">
        <v>1936234949</v>
      </c>
      <c r="C3">
        <v>317</v>
      </c>
      <c r="D3">
        <v>2183</v>
      </c>
      <c r="E3" s="1">
        <v>0.1268</v>
      </c>
      <c r="F3" s="1">
        <v>0.87319999999999998</v>
      </c>
      <c r="G3">
        <v>62</v>
      </c>
      <c r="H3">
        <v>1</v>
      </c>
      <c r="I3">
        <v>317</v>
      </c>
      <c r="J3" s="20">
        <v>1</v>
      </c>
      <c r="K3">
        <v>13</v>
      </c>
      <c r="L3">
        <v>12.615385</v>
      </c>
      <c r="M3">
        <v>17</v>
      </c>
      <c r="N3">
        <v>12</v>
      </c>
      <c r="O3">
        <v>164</v>
      </c>
      <c r="P3" s="1">
        <v>0.51734999999999998</v>
      </c>
    </row>
    <row r="4" spans="1:16" x14ac:dyDescent="0.25">
      <c r="A4" t="s">
        <v>16</v>
      </c>
      <c r="B4" s="16">
        <v>1640346819</v>
      </c>
      <c r="C4">
        <v>451</v>
      </c>
      <c r="D4">
        <v>2049</v>
      </c>
      <c r="E4" s="1">
        <v>0.1804</v>
      </c>
      <c r="F4" s="1">
        <v>0.8196</v>
      </c>
      <c r="G4">
        <v>226</v>
      </c>
      <c r="H4">
        <v>1</v>
      </c>
      <c r="I4">
        <v>451</v>
      </c>
      <c r="J4" s="20">
        <v>1</v>
      </c>
      <c r="K4">
        <v>17</v>
      </c>
      <c r="L4">
        <v>12.117647</v>
      </c>
      <c r="M4">
        <v>13</v>
      </c>
      <c r="N4">
        <v>12</v>
      </c>
      <c r="O4">
        <v>206</v>
      </c>
      <c r="P4" s="1">
        <v>0.45676299999999997</v>
      </c>
    </row>
    <row r="5" spans="1:16" x14ac:dyDescent="0.25">
      <c r="A5" t="s">
        <v>16</v>
      </c>
      <c r="B5" s="16">
        <v>1557997851</v>
      </c>
      <c r="C5">
        <v>200</v>
      </c>
      <c r="D5">
        <v>2300</v>
      </c>
      <c r="E5" s="1">
        <v>0.08</v>
      </c>
      <c r="F5" s="1">
        <v>0.92</v>
      </c>
      <c r="G5">
        <v>52</v>
      </c>
      <c r="H5">
        <v>1</v>
      </c>
      <c r="I5">
        <v>200</v>
      </c>
      <c r="J5" s="20">
        <v>1</v>
      </c>
      <c r="K5">
        <v>7</v>
      </c>
      <c r="L5">
        <v>14.428571</v>
      </c>
      <c r="M5">
        <v>21</v>
      </c>
      <c r="N5">
        <v>12</v>
      </c>
      <c r="O5">
        <v>101</v>
      </c>
      <c r="P5" s="1">
        <v>0.505</v>
      </c>
    </row>
    <row r="6" spans="1:16" x14ac:dyDescent="0.25">
      <c r="A6" t="s">
        <v>16</v>
      </c>
      <c r="B6" s="16">
        <v>1118664418</v>
      </c>
      <c r="C6">
        <v>180</v>
      </c>
      <c r="D6">
        <v>2320</v>
      </c>
      <c r="E6" s="1">
        <v>7.1999999999999995E-2</v>
      </c>
      <c r="F6" s="1">
        <v>0.92800000000000005</v>
      </c>
      <c r="G6">
        <v>51</v>
      </c>
      <c r="H6">
        <v>1</v>
      </c>
      <c r="I6">
        <v>180</v>
      </c>
      <c r="J6" s="20">
        <v>1</v>
      </c>
      <c r="K6">
        <v>6</v>
      </c>
      <c r="L6">
        <v>13.666667</v>
      </c>
      <c r="M6">
        <v>21</v>
      </c>
      <c r="N6">
        <v>12</v>
      </c>
      <c r="O6">
        <v>82</v>
      </c>
      <c r="P6" s="1">
        <v>0.45555600000000002</v>
      </c>
    </row>
    <row r="7" spans="1:16" x14ac:dyDescent="0.25">
      <c r="A7" t="s">
        <v>16</v>
      </c>
      <c r="B7" s="16">
        <v>258444825</v>
      </c>
      <c r="C7">
        <v>571</v>
      </c>
      <c r="D7">
        <v>1929</v>
      </c>
      <c r="E7" s="1">
        <v>0.22839999999999999</v>
      </c>
      <c r="F7" s="1">
        <v>0.77159999999999995</v>
      </c>
      <c r="G7">
        <v>165</v>
      </c>
      <c r="H7">
        <v>1</v>
      </c>
      <c r="I7">
        <v>571</v>
      </c>
      <c r="J7" s="20">
        <v>1</v>
      </c>
      <c r="K7">
        <v>20</v>
      </c>
      <c r="L7">
        <v>13.4</v>
      </c>
      <c r="M7">
        <v>39</v>
      </c>
      <c r="N7">
        <v>12</v>
      </c>
      <c r="O7">
        <v>268</v>
      </c>
      <c r="P7" s="1">
        <v>0.46935199999999999</v>
      </c>
    </row>
    <row r="8" spans="1:16" x14ac:dyDescent="0.25">
      <c r="A8" t="s">
        <v>16</v>
      </c>
      <c r="B8" s="16">
        <v>1845791748</v>
      </c>
      <c r="C8">
        <v>315</v>
      </c>
      <c r="D8">
        <v>2185</v>
      </c>
      <c r="E8" s="1">
        <v>0.126</v>
      </c>
      <c r="F8" s="1">
        <v>0.874</v>
      </c>
      <c r="G8">
        <v>146</v>
      </c>
      <c r="H8">
        <v>1</v>
      </c>
      <c r="I8">
        <v>315</v>
      </c>
      <c r="J8" s="20">
        <v>1</v>
      </c>
      <c r="K8">
        <v>11</v>
      </c>
      <c r="L8">
        <v>12.090909</v>
      </c>
      <c r="M8">
        <v>13</v>
      </c>
      <c r="N8">
        <v>12</v>
      </c>
      <c r="O8">
        <v>133</v>
      </c>
      <c r="P8" s="1">
        <v>0.42222199999999999</v>
      </c>
    </row>
    <row r="9" spans="1:16" x14ac:dyDescent="0.25">
      <c r="A9" t="s">
        <v>16</v>
      </c>
      <c r="B9" s="16">
        <v>964075957</v>
      </c>
      <c r="C9">
        <v>205</v>
      </c>
      <c r="D9">
        <v>2295</v>
      </c>
      <c r="E9" s="1">
        <v>8.2000000000000003E-2</v>
      </c>
      <c r="F9" s="1">
        <v>0.91800000000000004</v>
      </c>
      <c r="G9">
        <v>97</v>
      </c>
      <c r="H9">
        <v>1</v>
      </c>
      <c r="I9">
        <v>205</v>
      </c>
      <c r="J9" s="20">
        <v>1</v>
      </c>
      <c r="K9">
        <v>7</v>
      </c>
      <c r="L9">
        <v>12.142856999999999</v>
      </c>
      <c r="M9">
        <v>13</v>
      </c>
      <c r="N9">
        <v>12</v>
      </c>
      <c r="O9">
        <v>85</v>
      </c>
      <c r="P9" s="1">
        <v>0.414634</v>
      </c>
    </row>
    <row r="10" spans="1:16" x14ac:dyDescent="0.25">
      <c r="A10" t="s">
        <v>16</v>
      </c>
      <c r="B10" s="16">
        <v>597717353</v>
      </c>
      <c r="C10">
        <v>475</v>
      </c>
      <c r="D10">
        <v>2025</v>
      </c>
      <c r="E10" s="1">
        <v>0.19</v>
      </c>
      <c r="F10" s="1">
        <v>0.81</v>
      </c>
      <c r="G10">
        <v>156</v>
      </c>
      <c r="H10">
        <v>1</v>
      </c>
      <c r="I10">
        <v>475</v>
      </c>
      <c r="J10" s="20">
        <v>1</v>
      </c>
      <c r="K10">
        <v>16</v>
      </c>
      <c r="L10">
        <v>11.8125</v>
      </c>
      <c r="M10">
        <v>13</v>
      </c>
      <c r="N10">
        <v>8</v>
      </c>
      <c r="O10">
        <v>189</v>
      </c>
      <c r="P10" s="1">
        <v>0.397895</v>
      </c>
    </row>
    <row r="11" spans="1:16" x14ac:dyDescent="0.25">
      <c r="A11" t="s">
        <v>16</v>
      </c>
      <c r="B11" s="16">
        <v>537387433</v>
      </c>
      <c r="C11">
        <v>433</v>
      </c>
      <c r="D11">
        <v>2067</v>
      </c>
      <c r="E11" s="1">
        <v>0.17319999999999999</v>
      </c>
      <c r="F11" s="1">
        <v>0.82679999999999998</v>
      </c>
      <c r="G11">
        <v>208</v>
      </c>
      <c r="H11">
        <v>1</v>
      </c>
      <c r="I11">
        <v>433</v>
      </c>
      <c r="J11" s="20">
        <v>1</v>
      </c>
      <c r="K11">
        <v>16</v>
      </c>
      <c r="L11">
        <v>12.375</v>
      </c>
      <c r="M11">
        <v>17</v>
      </c>
      <c r="N11">
        <v>12</v>
      </c>
      <c r="O11">
        <v>198</v>
      </c>
      <c r="P11" s="1">
        <v>0.45727499999999999</v>
      </c>
    </row>
    <row r="12" spans="1:16" x14ac:dyDescent="0.25">
      <c r="A12" t="s">
        <v>16</v>
      </c>
      <c r="B12" s="16">
        <v>600009774</v>
      </c>
      <c r="C12">
        <v>457</v>
      </c>
      <c r="D12">
        <v>2043</v>
      </c>
      <c r="E12" s="1">
        <v>0.18279999999999999</v>
      </c>
      <c r="F12" s="1">
        <v>0.81720000000000004</v>
      </c>
      <c r="G12">
        <v>185</v>
      </c>
      <c r="H12">
        <v>1</v>
      </c>
      <c r="I12">
        <v>457</v>
      </c>
      <c r="J12" s="20">
        <v>1</v>
      </c>
      <c r="K12">
        <v>17</v>
      </c>
      <c r="L12">
        <v>12.352941</v>
      </c>
      <c r="M12">
        <v>16</v>
      </c>
      <c r="N12">
        <v>12</v>
      </c>
      <c r="O12">
        <v>210</v>
      </c>
      <c r="P12" s="1">
        <v>0.45951900000000001</v>
      </c>
    </row>
    <row r="13" spans="1:16" x14ac:dyDescent="0.25">
      <c r="A13" t="s">
        <v>16</v>
      </c>
      <c r="B13" s="16">
        <v>1460387618</v>
      </c>
      <c r="C13">
        <v>359</v>
      </c>
      <c r="D13">
        <v>2141</v>
      </c>
      <c r="E13" s="1">
        <v>0.14360000000000001</v>
      </c>
      <c r="F13" s="1">
        <v>0.85640000000000005</v>
      </c>
      <c r="G13">
        <v>164</v>
      </c>
      <c r="H13">
        <v>1</v>
      </c>
      <c r="I13">
        <v>359</v>
      </c>
      <c r="J13" s="20">
        <v>1</v>
      </c>
      <c r="K13">
        <v>14</v>
      </c>
      <c r="L13">
        <v>12.071429</v>
      </c>
      <c r="M13">
        <v>13</v>
      </c>
      <c r="N13">
        <v>12</v>
      </c>
      <c r="O13">
        <v>169</v>
      </c>
      <c r="P13" s="1">
        <v>0.470752</v>
      </c>
    </row>
    <row r="14" spans="1:16" x14ac:dyDescent="0.25">
      <c r="A14" t="s">
        <v>16</v>
      </c>
      <c r="B14" s="16">
        <v>712075302</v>
      </c>
      <c r="C14">
        <v>401</v>
      </c>
      <c r="D14">
        <v>2099</v>
      </c>
      <c r="E14" s="1">
        <v>0.16039999999999999</v>
      </c>
      <c r="F14" s="1">
        <v>0.83960000000000001</v>
      </c>
      <c r="G14">
        <v>163</v>
      </c>
      <c r="H14">
        <v>1</v>
      </c>
      <c r="I14">
        <v>401</v>
      </c>
      <c r="J14" s="20">
        <v>1</v>
      </c>
      <c r="K14">
        <v>16</v>
      </c>
      <c r="L14">
        <v>12.1875</v>
      </c>
      <c r="M14">
        <v>13</v>
      </c>
      <c r="N14">
        <v>12</v>
      </c>
      <c r="O14">
        <v>195</v>
      </c>
      <c r="P14" s="1">
        <v>0.48628399999999999</v>
      </c>
    </row>
    <row r="15" spans="1:16" x14ac:dyDescent="0.25">
      <c r="A15" t="s">
        <v>16</v>
      </c>
      <c r="B15" s="16">
        <v>1942944458</v>
      </c>
      <c r="C15">
        <v>320</v>
      </c>
      <c r="D15">
        <v>2180</v>
      </c>
      <c r="E15" s="1">
        <v>0.128</v>
      </c>
      <c r="F15" s="1">
        <v>0.872</v>
      </c>
      <c r="G15">
        <v>159</v>
      </c>
      <c r="H15">
        <v>1</v>
      </c>
      <c r="I15">
        <v>320</v>
      </c>
      <c r="J15" s="20">
        <v>1</v>
      </c>
      <c r="K15">
        <v>12</v>
      </c>
      <c r="L15">
        <v>12.083333</v>
      </c>
      <c r="M15">
        <v>13</v>
      </c>
      <c r="N15">
        <v>12</v>
      </c>
      <c r="O15">
        <v>145</v>
      </c>
      <c r="P15" s="1">
        <v>0.453125</v>
      </c>
    </row>
    <row r="16" spans="1:16" x14ac:dyDescent="0.25">
      <c r="A16" t="s">
        <v>16</v>
      </c>
      <c r="B16" s="16">
        <v>1612201577</v>
      </c>
      <c r="C16">
        <v>201</v>
      </c>
      <c r="D16">
        <v>2299</v>
      </c>
      <c r="E16" s="1">
        <v>8.0399999999999999E-2</v>
      </c>
      <c r="F16" s="1">
        <v>0.91959999999999997</v>
      </c>
      <c r="G16">
        <v>89</v>
      </c>
      <c r="H16">
        <v>1</v>
      </c>
      <c r="I16">
        <v>201</v>
      </c>
      <c r="J16" s="20">
        <v>1</v>
      </c>
      <c r="K16">
        <v>8</v>
      </c>
      <c r="L16">
        <v>12.25</v>
      </c>
      <c r="M16">
        <v>13</v>
      </c>
      <c r="N16">
        <v>12</v>
      </c>
      <c r="O16">
        <v>98</v>
      </c>
      <c r="P16" s="1">
        <v>0.487562</v>
      </c>
    </row>
    <row r="17" spans="1:16" x14ac:dyDescent="0.25">
      <c r="A17" t="s">
        <v>16</v>
      </c>
      <c r="B17" s="16">
        <v>1190802639</v>
      </c>
      <c r="C17">
        <v>340</v>
      </c>
      <c r="D17">
        <v>2160</v>
      </c>
      <c r="E17" s="1">
        <v>0.13600000000000001</v>
      </c>
      <c r="F17" s="1">
        <v>0.86399999999999999</v>
      </c>
      <c r="G17">
        <v>177</v>
      </c>
      <c r="H17">
        <v>1</v>
      </c>
      <c r="I17">
        <v>340</v>
      </c>
      <c r="J17" s="20">
        <v>1</v>
      </c>
      <c r="K17">
        <v>11</v>
      </c>
      <c r="L17">
        <v>12.181818</v>
      </c>
      <c r="M17">
        <v>13</v>
      </c>
      <c r="N17">
        <v>12</v>
      </c>
      <c r="O17">
        <v>134</v>
      </c>
      <c r="P17" s="1">
        <v>0.39411800000000002</v>
      </c>
    </row>
    <row r="18" spans="1:16" x14ac:dyDescent="0.25">
      <c r="A18" t="s">
        <v>16</v>
      </c>
      <c r="B18" s="16">
        <v>2043246336</v>
      </c>
      <c r="C18">
        <v>342</v>
      </c>
      <c r="D18">
        <v>2158</v>
      </c>
      <c r="E18" s="1">
        <v>0.1368</v>
      </c>
      <c r="F18" s="1">
        <v>0.86319999999999997</v>
      </c>
      <c r="G18">
        <v>117</v>
      </c>
      <c r="H18">
        <v>1</v>
      </c>
      <c r="I18">
        <v>342</v>
      </c>
      <c r="J18" s="20">
        <v>1</v>
      </c>
      <c r="K18">
        <v>13</v>
      </c>
      <c r="L18">
        <v>11.923076999999999</v>
      </c>
      <c r="M18">
        <v>13</v>
      </c>
      <c r="N18">
        <v>9</v>
      </c>
      <c r="O18">
        <v>155</v>
      </c>
      <c r="P18" s="1">
        <v>0.45321600000000001</v>
      </c>
    </row>
    <row r="19" spans="1:16" x14ac:dyDescent="0.25">
      <c r="A19" t="s">
        <v>16</v>
      </c>
      <c r="B19" s="16">
        <v>423488023</v>
      </c>
      <c r="C19">
        <v>216</v>
      </c>
      <c r="D19">
        <v>2284</v>
      </c>
      <c r="E19" s="1">
        <v>8.6400000000000005E-2</v>
      </c>
      <c r="F19" s="1">
        <v>0.91359999999999997</v>
      </c>
      <c r="G19">
        <v>118</v>
      </c>
      <c r="H19">
        <v>1</v>
      </c>
      <c r="I19">
        <v>216</v>
      </c>
      <c r="J19" s="20">
        <v>1</v>
      </c>
      <c r="K19">
        <v>7</v>
      </c>
      <c r="L19">
        <v>12.142856999999999</v>
      </c>
      <c r="M19">
        <v>13</v>
      </c>
      <c r="N19">
        <v>12</v>
      </c>
      <c r="O19">
        <v>85</v>
      </c>
      <c r="P19" s="1">
        <v>0.39351900000000001</v>
      </c>
    </row>
    <row r="20" spans="1:16" x14ac:dyDescent="0.25">
      <c r="A20" t="s">
        <v>16</v>
      </c>
      <c r="B20" s="16">
        <v>1497669919</v>
      </c>
      <c r="C20">
        <v>374</v>
      </c>
      <c r="D20">
        <v>2126</v>
      </c>
      <c r="E20" s="1">
        <v>0.14960000000000001</v>
      </c>
      <c r="F20" s="1">
        <v>0.85040000000000004</v>
      </c>
      <c r="G20">
        <v>204</v>
      </c>
      <c r="H20">
        <v>1</v>
      </c>
      <c r="I20">
        <v>374</v>
      </c>
      <c r="J20" s="20">
        <v>1</v>
      </c>
      <c r="K20">
        <v>12</v>
      </c>
      <c r="L20">
        <v>12.166667</v>
      </c>
      <c r="M20">
        <v>13</v>
      </c>
      <c r="N20">
        <v>12</v>
      </c>
      <c r="O20">
        <v>146</v>
      </c>
      <c r="P20" s="1">
        <v>0.390374</v>
      </c>
    </row>
    <row r="21" spans="1:16" x14ac:dyDescent="0.25">
      <c r="A21" t="s">
        <v>16</v>
      </c>
      <c r="B21" s="16">
        <v>994722748</v>
      </c>
      <c r="C21">
        <v>217</v>
      </c>
      <c r="D21">
        <v>2283</v>
      </c>
      <c r="E21" s="1">
        <v>8.6800000000000002E-2</v>
      </c>
      <c r="F21" s="1">
        <v>0.91320000000000001</v>
      </c>
      <c r="G21">
        <v>85</v>
      </c>
      <c r="H21">
        <v>1</v>
      </c>
      <c r="I21">
        <v>217</v>
      </c>
      <c r="J21" s="20">
        <v>1</v>
      </c>
      <c r="K21">
        <v>8</v>
      </c>
      <c r="L21">
        <v>12.25</v>
      </c>
      <c r="M21">
        <v>13</v>
      </c>
      <c r="N21">
        <v>12</v>
      </c>
      <c r="O21">
        <v>98</v>
      </c>
      <c r="P21" s="1">
        <v>0.45161299999999999</v>
      </c>
    </row>
    <row r="22" spans="1:16" x14ac:dyDescent="0.25">
      <c r="A22" t="s">
        <v>16</v>
      </c>
      <c r="B22" s="16">
        <v>1704013599</v>
      </c>
      <c r="C22">
        <v>326</v>
      </c>
      <c r="D22">
        <v>2174</v>
      </c>
      <c r="E22" s="1">
        <v>0.13039999999999999</v>
      </c>
      <c r="F22" s="1">
        <v>0.86960000000000004</v>
      </c>
      <c r="G22">
        <v>162</v>
      </c>
      <c r="H22">
        <v>1</v>
      </c>
      <c r="I22">
        <v>326</v>
      </c>
      <c r="J22" s="20">
        <v>1</v>
      </c>
      <c r="K22">
        <v>12</v>
      </c>
      <c r="L22">
        <v>12.25</v>
      </c>
      <c r="M22">
        <v>13</v>
      </c>
      <c r="N22">
        <v>12</v>
      </c>
      <c r="O22">
        <v>147</v>
      </c>
      <c r="P22" s="1">
        <v>0.45091999999999999</v>
      </c>
    </row>
    <row r="23" spans="1:16" x14ac:dyDescent="0.25">
      <c r="A23" t="s">
        <v>16</v>
      </c>
      <c r="B23" s="16">
        <v>971015625</v>
      </c>
      <c r="C23">
        <v>491</v>
      </c>
      <c r="D23">
        <v>2009</v>
      </c>
      <c r="E23" s="1">
        <v>0.19639999999999999</v>
      </c>
      <c r="F23" s="1">
        <v>0.80359999999999998</v>
      </c>
      <c r="G23">
        <v>241</v>
      </c>
      <c r="H23">
        <v>1</v>
      </c>
      <c r="I23">
        <v>491</v>
      </c>
      <c r="J23" s="20">
        <v>1</v>
      </c>
      <c r="K23">
        <v>15</v>
      </c>
      <c r="L23">
        <v>12.2</v>
      </c>
      <c r="M23">
        <v>13</v>
      </c>
      <c r="N23">
        <v>12</v>
      </c>
      <c r="O23">
        <v>183</v>
      </c>
      <c r="P23" s="1">
        <v>0.37270900000000001</v>
      </c>
    </row>
    <row r="24" spans="1:16" x14ac:dyDescent="0.25">
      <c r="A24" t="s">
        <v>16</v>
      </c>
      <c r="B24" s="16">
        <v>403368664</v>
      </c>
      <c r="C24">
        <v>398</v>
      </c>
      <c r="D24">
        <v>2102</v>
      </c>
      <c r="E24" s="1">
        <v>0.15920000000000001</v>
      </c>
      <c r="F24" s="1">
        <v>0.84079999999999999</v>
      </c>
      <c r="G24">
        <v>195</v>
      </c>
      <c r="H24">
        <v>1</v>
      </c>
      <c r="I24">
        <v>398</v>
      </c>
      <c r="J24" s="20">
        <v>1</v>
      </c>
      <c r="K24">
        <v>15</v>
      </c>
      <c r="L24">
        <v>12.066667000000001</v>
      </c>
      <c r="M24">
        <v>13</v>
      </c>
      <c r="N24">
        <v>12</v>
      </c>
      <c r="O24">
        <v>181</v>
      </c>
      <c r="P24" s="1">
        <v>0.45477400000000001</v>
      </c>
    </row>
    <row r="25" spans="1:16" x14ac:dyDescent="0.25">
      <c r="A25" t="s">
        <v>16</v>
      </c>
      <c r="B25" s="16">
        <v>1579951607</v>
      </c>
      <c r="C25">
        <v>329</v>
      </c>
      <c r="D25">
        <v>2171</v>
      </c>
      <c r="E25" s="1">
        <v>0.13159999999999999</v>
      </c>
      <c r="F25" s="1">
        <v>0.86839999999999995</v>
      </c>
      <c r="G25">
        <v>76</v>
      </c>
      <c r="H25">
        <v>1</v>
      </c>
      <c r="I25">
        <v>329</v>
      </c>
      <c r="J25" s="20">
        <v>1</v>
      </c>
      <c r="K25">
        <v>14</v>
      </c>
      <c r="L25">
        <v>12.142856999999999</v>
      </c>
      <c r="M25">
        <v>13</v>
      </c>
      <c r="N25">
        <v>12</v>
      </c>
      <c r="O25">
        <v>170</v>
      </c>
      <c r="P25" s="1">
        <v>0.51671699999999998</v>
      </c>
    </row>
    <row r="26" spans="1:16" x14ac:dyDescent="0.25">
      <c r="A26" t="s">
        <v>16</v>
      </c>
      <c r="B26" s="16">
        <v>682153785</v>
      </c>
      <c r="C26">
        <v>269</v>
      </c>
      <c r="D26">
        <v>2231</v>
      </c>
      <c r="E26" s="1">
        <v>0.1076</v>
      </c>
      <c r="F26" s="1">
        <v>0.89239999999999997</v>
      </c>
      <c r="G26">
        <v>111</v>
      </c>
      <c r="H26">
        <v>1</v>
      </c>
      <c r="I26">
        <v>269</v>
      </c>
      <c r="J26" s="20">
        <v>1</v>
      </c>
      <c r="K26">
        <v>8</v>
      </c>
      <c r="L26">
        <v>17.875</v>
      </c>
      <c r="M26">
        <v>58</v>
      </c>
      <c r="N26">
        <v>12</v>
      </c>
      <c r="O26">
        <v>143</v>
      </c>
      <c r="P26" s="1">
        <v>0.53159900000000004</v>
      </c>
    </row>
    <row r="27" spans="1:16" x14ac:dyDescent="0.25">
      <c r="A27" t="s">
        <v>16</v>
      </c>
      <c r="B27" s="16">
        <v>1523254227</v>
      </c>
      <c r="C27">
        <v>143</v>
      </c>
      <c r="D27">
        <v>2357</v>
      </c>
      <c r="E27" s="1">
        <v>5.7200000000000001E-2</v>
      </c>
      <c r="F27" s="1">
        <v>0.94279999999999997</v>
      </c>
      <c r="G27">
        <v>53</v>
      </c>
      <c r="H27">
        <v>1</v>
      </c>
      <c r="I27">
        <v>143</v>
      </c>
      <c r="J27" s="20">
        <v>1</v>
      </c>
      <c r="K27">
        <v>6</v>
      </c>
      <c r="L27">
        <v>12.166667</v>
      </c>
      <c r="M27">
        <v>13</v>
      </c>
      <c r="N27">
        <v>12</v>
      </c>
      <c r="O27">
        <v>73</v>
      </c>
      <c r="P27" s="1">
        <v>0.51049</v>
      </c>
    </row>
    <row r="28" spans="1:16" x14ac:dyDescent="0.25">
      <c r="A28" t="s">
        <v>16</v>
      </c>
      <c r="B28" s="16">
        <v>1747425219</v>
      </c>
      <c r="C28">
        <v>425</v>
      </c>
      <c r="D28">
        <v>2075</v>
      </c>
      <c r="E28" s="1">
        <v>0.17</v>
      </c>
      <c r="F28" s="1">
        <v>0.83</v>
      </c>
      <c r="G28">
        <v>111</v>
      </c>
      <c r="H28">
        <v>1</v>
      </c>
      <c r="I28">
        <v>425</v>
      </c>
      <c r="J28" s="20">
        <v>1</v>
      </c>
      <c r="K28">
        <v>18</v>
      </c>
      <c r="L28">
        <v>12.444444000000001</v>
      </c>
      <c r="M28">
        <v>16</v>
      </c>
      <c r="N28">
        <v>12</v>
      </c>
      <c r="O28">
        <v>224</v>
      </c>
      <c r="P28" s="1">
        <v>0.52705900000000006</v>
      </c>
    </row>
    <row r="29" spans="1:16" x14ac:dyDescent="0.25">
      <c r="A29" t="s">
        <v>16</v>
      </c>
      <c r="B29" s="16">
        <v>1719317193</v>
      </c>
      <c r="C29">
        <v>342</v>
      </c>
      <c r="D29">
        <v>2158</v>
      </c>
      <c r="E29" s="1">
        <v>0.1368</v>
      </c>
      <c r="F29" s="1">
        <v>0.86319999999999997</v>
      </c>
      <c r="G29">
        <v>149</v>
      </c>
      <c r="H29">
        <v>1</v>
      </c>
      <c r="I29">
        <v>342</v>
      </c>
      <c r="J29" s="20">
        <v>1</v>
      </c>
      <c r="K29">
        <v>14</v>
      </c>
      <c r="L29">
        <v>12.142856999999999</v>
      </c>
      <c r="M29">
        <v>13</v>
      </c>
      <c r="N29">
        <v>12</v>
      </c>
      <c r="O29">
        <v>170</v>
      </c>
      <c r="P29" s="1">
        <v>0.49707600000000002</v>
      </c>
    </row>
    <row r="30" spans="1:16" x14ac:dyDescent="0.25">
      <c r="A30" t="s">
        <v>16</v>
      </c>
      <c r="B30" s="16">
        <v>325272956</v>
      </c>
      <c r="C30">
        <v>251</v>
      </c>
      <c r="D30">
        <v>2249</v>
      </c>
      <c r="E30" s="1">
        <v>0.1004</v>
      </c>
      <c r="F30" s="1">
        <v>0.89959999999999996</v>
      </c>
      <c r="G30">
        <v>146</v>
      </c>
      <c r="H30">
        <v>1</v>
      </c>
      <c r="I30">
        <v>251</v>
      </c>
      <c r="J30" s="20">
        <v>1</v>
      </c>
      <c r="K30">
        <v>8</v>
      </c>
      <c r="L30">
        <v>12.125</v>
      </c>
      <c r="M30">
        <v>13</v>
      </c>
      <c r="N30">
        <v>12</v>
      </c>
      <c r="O30">
        <v>97</v>
      </c>
      <c r="P30" s="1">
        <v>0.38645400000000002</v>
      </c>
    </row>
    <row r="31" spans="1:16" x14ac:dyDescent="0.25">
      <c r="A31" t="s">
        <v>16</v>
      </c>
      <c r="B31" s="16">
        <v>886995427</v>
      </c>
      <c r="C31">
        <v>370</v>
      </c>
      <c r="D31">
        <v>2130</v>
      </c>
      <c r="E31" s="1">
        <v>0.14799999999999999</v>
      </c>
      <c r="F31" s="1">
        <v>0.85199999999999998</v>
      </c>
      <c r="G31">
        <v>157</v>
      </c>
      <c r="H31">
        <v>1</v>
      </c>
      <c r="I31">
        <v>370</v>
      </c>
      <c r="J31" s="20">
        <v>1</v>
      </c>
      <c r="K31">
        <v>14</v>
      </c>
      <c r="L31">
        <v>12.285714</v>
      </c>
      <c r="M31">
        <v>13</v>
      </c>
      <c r="N31">
        <v>12</v>
      </c>
      <c r="O31">
        <v>172</v>
      </c>
      <c r="P31" s="1">
        <v>0.46486499999999997</v>
      </c>
    </row>
    <row r="32" spans="1:16" x14ac:dyDescent="0.25">
      <c r="A32" t="s">
        <v>16</v>
      </c>
      <c r="B32" s="16">
        <v>1696182123</v>
      </c>
      <c r="C32">
        <v>264</v>
      </c>
      <c r="D32">
        <v>2236</v>
      </c>
      <c r="E32" s="1">
        <v>0.1056</v>
      </c>
      <c r="F32" s="1">
        <v>0.89439999999999997</v>
      </c>
      <c r="G32">
        <v>128</v>
      </c>
      <c r="H32">
        <v>1</v>
      </c>
      <c r="I32">
        <v>264</v>
      </c>
      <c r="J32" s="20">
        <v>1</v>
      </c>
      <c r="K32">
        <v>10</v>
      </c>
      <c r="L32">
        <v>12.1</v>
      </c>
      <c r="M32">
        <v>13</v>
      </c>
      <c r="N32">
        <v>12</v>
      </c>
      <c r="O32">
        <v>121</v>
      </c>
      <c r="P32" s="1">
        <v>0.45833299999999999</v>
      </c>
    </row>
    <row r="33" spans="1:16" x14ac:dyDescent="0.25">
      <c r="A33" t="s">
        <v>16</v>
      </c>
      <c r="B33" s="16">
        <v>650616162</v>
      </c>
      <c r="C33">
        <v>335</v>
      </c>
      <c r="D33">
        <v>2165</v>
      </c>
      <c r="E33" s="1">
        <v>0.13400000000000001</v>
      </c>
      <c r="F33" s="1">
        <v>0.86599999999999999</v>
      </c>
      <c r="G33">
        <v>111</v>
      </c>
      <c r="H33">
        <v>1</v>
      </c>
      <c r="I33">
        <v>335</v>
      </c>
      <c r="J33" s="20">
        <v>1</v>
      </c>
      <c r="K33">
        <v>12</v>
      </c>
      <c r="L33">
        <v>12.916667</v>
      </c>
      <c r="M33">
        <v>21</v>
      </c>
      <c r="N33">
        <v>12</v>
      </c>
      <c r="O33">
        <v>155</v>
      </c>
      <c r="P33" s="1">
        <v>0.46268700000000001</v>
      </c>
    </row>
    <row r="34" spans="1:16" x14ac:dyDescent="0.25">
      <c r="A34" t="s">
        <v>16</v>
      </c>
      <c r="B34" s="16">
        <v>463819879</v>
      </c>
      <c r="C34">
        <v>388</v>
      </c>
      <c r="D34">
        <v>2112</v>
      </c>
      <c r="E34" s="1">
        <v>0.1552</v>
      </c>
      <c r="F34" s="1">
        <v>0.8448</v>
      </c>
      <c r="G34">
        <v>183</v>
      </c>
      <c r="H34">
        <v>1</v>
      </c>
      <c r="I34">
        <v>388</v>
      </c>
      <c r="J34" s="20">
        <v>1</v>
      </c>
      <c r="K34">
        <v>15</v>
      </c>
      <c r="L34">
        <v>12.133333</v>
      </c>
      <c r="M34">
        <v>13</v>
      </c>
      <c r="N34">
        <v>12</v>
      </c>
      <c r="O34">
        <v>182</v>
      </c>
      <c r="P34" s="1">
        <v>0.46907199999999999</v>
      </c>
    </row>
    <row r="35" spans="1:16" x14ac:dyDescent="0.25">
      <c r="A35" t="s">
        <v>16</v>
      </c>
      <c r="B35" s="16">
        <v>1871778664</v>
      </c>
      <c r="C35">
        <v>415</v>
      </c>
      <c r="D35">
        <v>2085</v>
      </c>
      <c r="E35" s="1">
        <v>0.16600000000000001</v>
      </c>
      <c r="F35" s="1">
        <v>0.83399999999999996</v>
      </c>
      <c r="G35">
        <v>151</v>
      </c>
      <c r="H35">
        <v>1</v>
      </c>
      <c r="I35">
        <v>415</v>
      </c>
      <c r="J35" s="20">
        <v>1</v>
      </c>
      <c r="K35">
        <v>16</v>
      </c>
      <c r="L35">
        <v>12.1875</v>
      </c>
      <c r="M35">
        <v>13</v>
      </c>
      <c r="N35">
        <v>12</v>
      </c>
      <c r="O35">
        <v>195</v>
      </c>
      <c r="P35" s="1">
        <v>0.46988000000000002</v>
      </c>
    </row>
    <row r="36" spans="1:16" x14ac:dyDescent="0.25">
      <c r="A36" t="s">
        <v>16</v>
      </c>
      <c r="B36" s="16">
        <v>806300221</v>
      </c>
      <c r="C36">
        <v>287</v>
      </c>
      <c r="D36">
        <v>2213</v>
      </c>
      <c r="E36" s="1">
        <v>0.1148</v>
      </c>
      <c r="F36" s="1">
        <v>0.88519999999999999</v>
      </c>
      <c r="G36">
        <v>82</v>
      </c>
      <c r="H36">
        <v>1</v>
      </c>
      <c r="I36">
        <v>287</v>
      </c>
      <c r="J36" s="20">
        <v>1</v>
      </c>
      <c r="K36">
        <v>13</v>
      </c>
      <c r="L36">
        <v>12.384615</v>
      </c>
      <c r="M36">
        <v>16</v>
      </c>
      <c r="N36">
        <v>12</v>
      </c>
      <c r="O36">
        <v>161</v>
      </c>
      <c r="P36" s="1">
        <v>0.56097600000000003</v>
      </c>
    </row>
    <row r="37" spans="1:16" x14ac:dyDescent="0.25">
      <c r="A37" t="s">
        <v>16</v>
      </c>
      <c r="B37" s="16">
        <v>1402196256</v>
      </c>
      <c r="C37">
        <v>399</v>
      </c>
      <c r="D37">
        <v>2101</v>
      </c>
      <c r="E37" s="1">
        <v>0.15959999999999999</v>
      </c>
      <c r="F37" s="1">
        <v>0.84040000000000004</v>
      </c>
      <c r="G37">
        <v>85</v>
      </c>
      <c r="H37">
        <v>1</v>
      </c>
      <c r="I37">
        <v>399</v>
      </c>
      <c r="J37" s="20">
        <v>1</v>
      </c>
      <c r="K37">
        <v>15</v>
      </c>
      <c r="L37">
        <v>12.266667</v>
      </c>
      <c r="M37">
        <v>13</v>
      </c>
      <c r="N37">
        <v>12</v>
      </c>
      <c r="O37">
        <v>184</v>
      </c>
      <c r="P37" s="1">
        <v>0.46115299999999998</v>
      </c>
    </row>
    <row r="38" spans="1:16" x14ac:dyDescent="0.25">
      <c r="A38" t="s">
        <v>16</v>
      </c>
      <c r="B38" s="16">
        <v>586930763</v>
      </c>
      <c r="C38">
        <v>118</v>
      </c>
      <c r="D38">
        <v>2382</v>
      </c>
      <c r="E38" s="1">
        <v>4.7199999999999999E-2</v>
      </c>
      <c r="F38" s="1">
        <v>0.95279999999999998</v>
      </c>
      <c r="G38">
        <v>74</v>
      </c>
      <c r="H38">
        <v>1</v>
      </c>
      <c r="I38">
        <v>118</v>
      </c>
      <c r="J38" s="20">
        <v>1</v>
      </c>
      <c r="K38">
        <v>3</v>
      </c>
      <c r="L38">
        <v>12</v>
      </c>
      <c r="M38">
        <v>12</v>
      </c>
      <c r="N38">
        <v>12</v>
      </c>
      <c r="O38">
        <v>36</v>
      </c>
      <c r="P38" s="1">
        <v>0.305085</v>
      </c>
    </row>
    <row r="39" spans="1:16" x14ac:dyDescent="0.25">
      <c r="A39" t="s">
        <v>16</v>
      </c>
      <c r="B39" s="16">
        <v>806311744</v>
      </c>
      <c r="C39">
        <v>389</v>
      </c>
      <c r="D39">
        <v>2111</v>
      </c>
      <c r="E39" s="1">
        <v>0.15559999999999999</v>
      </c>
      <c r="F39" s="1">
        <v>0.84440000000000004</v>
      </c>
      <c r="G39">
        <v>174</v>
      </c>
      <c r="H39">
        <v>1</v>
      </c>
      <c r="I39">
        <v>389</v>
      </c>
      <c r="J39" s="20">
        <v>1</v>
      </c>
      <c r="K39">
        <v>15</v>
      </c>
      <c r="L39">
        <v>12.133333</v>
      </c>
      <c r="M39">
        <v>13</v>
      </c>
      <c r="N39">
        <v>12</v>
      </c>
      <c r="O39">
        <v>182</v>
      </c>
      <c r="P39" s="1">
        <v>0.467866</v>
      </c>
    </row>
    <row r="40" spans="1:16" x14ac:dyDescent="0.25">
      <c r="A40" t="s">
        <v>16</v>
      </c>
      <c r="B40" s="16">
        <v>1232499774</v>
      </c>
      <c r="C40">
        <v>270</v>
      </c>
      <c r="D40">
        <v>2230</v>
      </c>
      <c r="E40" s="1">
        <v>0.108</v>
      </c>
      <c r="F40" s="1">
        <v>0.89200000000000002</v>
      </c>
      <c r="G40">
        <v>84</v>
      </c>
      <c r="H40">
        <v>1</v>
      </c>
      <c r="I40">
        <v>270</v>
      </c>
      <c r="J40" s="20">
        <v>1</v>
      </c>
      <c r="K40">
        <v>11</v>
      </c>
      <c r="L40">
        <v>11.909091</v>
      </c>
      <c r="M40">
        <v>13</v>
      </c>
      <c r="N40">
        <v>9</v>
      </c>
      <c r="O40">
        <v>131</v>
      </c>
      <c r="P40" s="1">
        <v>0.48518499999999998</v>
      </c>
    </row>
    <row r="41" spans="1:16" x14ac:dyDescent="0.25">
      <c r="A41" t="s">
        <v>16</v>
      </c>
      <c r="B41" s="16">
        <v>1050204917</v>
      </c>
      <c r="C41">
        <v>481</v>
      </c>
      <c r="D41">
        <v>2019</v>
      </c>
      <c r="E41" s="1">
        <v>0.19239999999999999</v>
      </c>
      <c r="F41" s="1">
        <v>0.80759999999999998</v>
      </c>
      <c r="G41">
        <v>172</v>
      </c>
      <c r="H41">
        <v>1</v>
      </c>
      <c r="I41">
        <v>481</v>
      </c>
      <c r="J41" s="20">
        <v>1</v>
      </c>
      <c r="K41">
        <v>19</v>
      </c>
      <c r="L41">
        <v>12.210526</v>
      </c>
      <c r="M41">
        <v>13</v>
      </c>
      <c r="N41">
        <v>12</v>
      </c>
      <c r="O41">
        <v>232</v>
      </c>
      <c r="P41" s="1">
        <v>0.48232799999999998</v>
      </c>
    </row>
    <row r="42" spans="1:16" x14ac:dyDescent="0.25">
      <c r="A42" t="s">
        <v>16</v>
      </c>
      <c r="B42" s="16">
        <v>343614210</v>
      </c>
      <c r="C42">
        <v>338</v>
      </c>
      <c r="D42">
        <v>2162</v>
      </c>
      <c r="E42" s="1">
        <v>0.13519999999999999</v>
      </c>
      <c r="F42" s="1">
        <v>0.86480000000000001</v>
      </c>
      <c r="G42">
        <v>162</v>
      </c>
      <c r="H42">
        <v>1</v>
      </c>
      <c r="I42">
        <v>338</v>
      </c>
      <c r="J42" s="20">
        <v>1</v>
      </c>
      <c r="K42">
        <v>12</v>
      </c>
      <c r="L42">
        <v>12.083333</v>
      </c>
      <c r="M42">
        <v>13</v>
      </c>
      <c r="N42">
        <v>12</v>
      </c>
      <c r="O42">
        <v>145</v>
      </c>
      <c r="P42" s="1">
        <v>0.42899399999999999</v>
      </c>
    </row>
    <row r="43" spans="1:16" x14ac:dyDescent="0.25">
      <c r="A43" t="s">
        <v>16</v>
      </c>
      <c r="B43" s="16">
        <v>242909117</v>
      </c>
      <c r="C43">
        <v>175</v>
      </c>
      <c r="D43">
        <v>2325</v>
      </c>
      <c r="E43" s="1">
        <v>7.0000000000000007E-2</v>
      </c>
      <c r="F43" s="1">
        <v>0.93</v>
      </c>
      <c r="G43">
        <v>95</v>
      </c>
      <c r="H43">
        <v>1</v>
      </c>
      <c r="I43">
        <v>175</v>
      </c>
      <c r="J43" s="20">
        <v>1</v>
      </c>
      <c r="K43">
        <v>5</v>
      </c>
      <c r="L43">
        <v>12.2</v>
      </c>
      <c r="M43">
        <v>13</v>
      </c>
      <c r="N43">
        <v>12</v>
      </c>
      <c r="O43">
        <v>61</v>
      </c>
      <c r="P43" s="1">
        <v>0.34857100000000002</v>
      </c>
    </row>
    <row r="44" spans="1:16" x14ac:dyDescent="0.25">
      <c r="A44" t="s">
        <v>16</v>
      </c>
      <c r="B44" s="16">
        <v>445931335</v>
      </c>
      <c r="C44">
        <v>517</v>
      </c>
      <c r="D44">
        <v>1983</v>
      </c>
      <c r="E44" s="1">
        <v>0.20680000000000001</v>
      </c>
      <c r="F44" s="1">
        <v>0.79320000000000002</v>
      </c>
      <c r="G44">
        <v>250</v>
      </c>
      <c r="H44">
        <v>1</v>
      </c>
      <c r="I44">
        <v>517</v>
      </c>
      <c r="J44" s="20">
        <v>1</v>
      </c>
      <c r="K44">
        <v>18</v>
      </c>
      <c r="L44">
        <v>12.055555999999999</v>
      </c>
      <c r="M44">
        <v>13</v>
      </c>
      <c r="N44">
        <v>12</v>
      </c>
      <c r="O44">
        <v>217</v>
      </c>
      <c r="P44" s="1">
        <v>0.41972900000000002</v>
      </c>
    </row>
    <row r="45" spans="1:16" x14ac:dyDescent="0.25">
      <c r="A45" t="s">
        <v>16</v>
      </c>
      <c r="B45" s="16">
        <v>1813232495</v>
      </c>
      <c r="C45">
        <v>332</v>
      </c>
      <c r="D45">
        <v>2168</v>
      </c>
      <c r="E45" s="1">
        <v>0.1328</v>
      </c>
      <c r="F45" s="1">
        <v>0.86719999999999997</v>
      </c>
      <c r="G45">
        <v>147</v>
      </c>
      <c r="H45">
        <v>1</v>
      </c>
      <c r="I45">
        <v>332</v>
      </c>
      <c r="J45" s="20">
        <v>1</v>
      </c>
      <c r="K45">
        <v>12</v>
      </c>
      <c r="L45">
        <v>12.25</v>
      </c>
      <c r="M45">
        <v>13</v>
      </c>
      <c r="N45">
        <v>12</v>
      </c>
      <c r="O45">
        <v>147</v>
      </c>
      <c r="P45" s="1">
        <v>0.44277100000000003</v>
      </c>
    </row>
    <row r="46" spans="1:16" x14ac:dyDescent="0.25">
      <c r="A46" t="s">
        <v>16</v>
      </c>
      <c r="B46" s="16">
        <v>1497040691</v>
      </c>
      <c r="C46">
        <v>98</v>
      </c>
      <c r="D46">
        <v>2402</v>
      </c>
      <c r="E46" s="1">
        <v>3.9199999999999999E-2</v>
      </c>
      <c r="F46" s="1">
        <v>0.96079999999999999</v>
      </c>
      <c r="G46">
        <v>53</v>
      </c>
      <c r="H46">
        <v>1</v>
      </c>
      <c r="I46">
        <v>98</v>
      </c>
      <c r="J46" s="20">
        <v>1</v>
      </c>
      <c r="K46">
        <v>3</v>
      </c>
      <c r="L46">
        <v>12.333333</v>
      </c>
      <c r="M46">
        <v>13</v>
      </c>
      <c r="N46">
        <v>12</v>
      </c>
      <c r="O46">
        <v>37</v>
      </c>
      <c r="P46" s="1">
        <v>0.37755100000000003</v>
      </c>
    </row>
    <row r="47" spans="1:16" x14ac:dyDescent="0.25">
      <c r="A47" t="s">
        <v>16</v>
      </c>
      <c r="B47" s="16">
        <v>908864224</v>
      </c>
      <c r="C47">
        <v>105</v>
      </c>
      <c r="D47">
        <v>2395</v>
      </c>
      <c r="E47" s="1">
        <v>4.2000000000000003E-2</v>
      </c>
      <c r="F47" s="1">
        <v>0.95799999999999996</v>
      </c>
      <c r="G47">
        <v>40</v>
      </c>
      <c r="H47">
        <v>1</v>
      </c>
      <c r="I47">
        <v>105</v>
      </c>
      <c r="J47" s="20">
        <v>1</v>
      </c>
      <c r="K47">
        <v>4</v>
      </c>
      <c r="L47">
        <v>12.25</v>
      </c>
      <c r="M47">
        <v>13</v>
      </c>
      <c r="N47">
        <v>12</v>
      </c>
      <c r="O47">
        <v>49</v>
      </c>
      <c r="P47" s="1">
        <v>0.466667</v>
      </c>
    </row>
    <row r="48" spans="1:16" x14ac:dyDescent="0.25">
      <c r="A48" t="s">
        <v>16</v>
      </c>
      <c r="B48" s="16">
        <v>2082274715</v>
      </c>
      <c r="C48">
        <v>407</v>
      </c>
      <c r="D48">
        <v>2093</v>
      </c>
      <c r="E48" s="1">
        <v>0.1628</v>
      </c>
      <c r="F48" s="1">
        <v>0.83720000000000006</v>
      </c>
      <c r="G48">
        <v>197</v>
      </c>
      <c r="H48">
        <v>1</v>
      </c>
      <c r="I48">
        <v>407</v>
      </c>
      <c r="J48" s="20">
        <v>1</v>
      </c>
      <c r="K48">
        <v>12</v>
      </c>
      <c r="L48">
        <v>14.166667</v>
      </c>
      <c r="M48">
        <v>37</v>
      </c>
      <c r="N48">
        <v>12</v>
      </c>
      <c r="O48">
        <v>170</v>
      </c>
      <c r="P48" s="1">
        <v>0.41769000000000001</v>
      </c>
    </row>
    <row r="49" spans="1:16" x14ac:dyDescent="0.25">
      <c r="A49" t="s">
        <v>16</v>
      </c>
      <c r="B49" s="16">
        <v>1683517104</v>
      </c>
      <c r="C49">
        <v>409</v>
      </c>
      <c r="D49">
        <v>2091</v>
      </c>
      <c r="E49" s="1">
        <v>0.1636</v>
      </c>
      <c r="F49" s="1">
        <v>0.83640000000000003</v>
      </c>
      <c r="G49">
        <v>127</v>
      </c>
      <c r="H49">
        <v>1</v>
      </c>
      <c r="I49">
        <v>409</v>
      </c>
      <c r="J49" s="20">
        <v>1</v>
      </c>
      <c r="K49">
        <v>16</v>
      </c>
      <c r="L49">
        <v>12.75</v>
      </c>
      <c r="M49">
        <v>16</v>
      </c>
      <c r="N49">
        <v>12</v>
      </c>
      <c r="O49">
        <v>204</v>
      </c>
      <c r="P49" s="1">
        <v>0.498778</v>
      </c>
    </row>
    <row r="50" spans="1:16" x14ac:dyDescent="0.25">
      <c r="A50" t="s">
        <v>16</v>
      </c>
      <c r="B50" s="16">
        <v>377759941</v>
      </c>
      <c r="C50">
        <v>342</v>
      </c>
      <c r="D50">
        <v>2158</v>
      </c>
      <c r="E50" s="1">
        <v>0.1368</v>
      </c>
      <c r="F50" s="1">
        <v>0.86319999999999997</v>
      </c>
      <c r="G50">
        <v>145</v>
      </c>
      <c r="H50">
        <v>1</v>
      </c>
      <c r="I50">
        <v>342</v>
      </c>
      <c r="J50" s="20">
        <v>1</v>
      </c>
      <c r="K50">
        <v>10</v>
      </c>
      <c r="L50">
        <v>12.3</v>
      </c>
      <c r="M50">
        <v>13</v>
      </c>
      <c r="N50">
        <v>12</v>
      </c>
      <c r="O50">
        <v>123</v>
      </c>
      <c r="P50" s="1">
        <v>0.359649</v>
      </c>
    </row>
    <row r="51" spans="1:16" x14ac:dyDescent="0.25">
      <c r="A51" t="s">
        <v>16</v>
      </c>
      <c r="B51" s="16">
        <v>99971146</v>
      </c>
      <c r="C51">
        <v>287</v>
      </c>
      <c r="D51">
        <v>2213</v>
      </c>
      <c r="E51" s="1">
        <v>0.1148</v>
      </c>
      <c r="F51" s="1">
        <v>0.88519999999999999</v>
      </c>
      <c r="G51">
        <v>100</v>
      </c>
      <c r="H51">
        <v>1</v>
      </c>
      <c r="I51">
        <v>287</v>
      </c>
      <c r="J51" s="20">
        <v>1</v>
      </c>
      <c r="K51">
        <v>12</v>
      </c>
      <c r="L51">
        <v>12.25</v>
      </c>
      <c r="M51">
        <v>13</v>
      </c>
      <c r="N51">
        <v>12</v>
      </c>
      <c r="O51">
        <v>147</v>
      </c>
      <c r="P51" s="1">
        <v>0.51219499999999996</v>
      </c>
    </row>
    <row r="52" spans="1:16" x14ac:dyDescent="0.25">
      <c r="A52" t="s">
        <v>26</v>
      </c>
      <c r="B52"/>
      <c r="C52">
        <f>SUBTOTAL(101,AgCon_room4_corr10[floors])</f>
        <v>326.32</v>
      </c>
      <c r="D52">
        <f>SUBTOTAL(101,AgCon_room4_corr10[walls])</f>
        <v>2173.6799999999998</v>
      </c>
      <c r="E52" s="2">
        <f>SUBTOTAL(101,AgCon_room4_corr10[floor_percent])</f>
        <v>0.13052800000000001</v>
      </c>
      <c r="F52" s="2">
        <f>SUBTOTAL(101,AgCon_room4_corr10[wall_percent])</f>
        <v>0.8694719999999998</v>
      </c>
      <c r="G52">
        <f>SUBTOTAL(101,AgCon_room4_corr10[longest_shortest_path])</f>
        <v>133.84</v>
      </c>
      <c r="H52">
        <f>SUBTOTAL(101,AgCon_room4_corr10[component_count])</f>
        <v>1</v>
      </c>
      <c r="I52">
        <f>SUBTOTAL(101,AgCon_room4_corr10[max_component_size])</f>
        <v>326.32</v>
      </c>
      <c r="J52" s="20">
        <f>SUBTOTAL(101,AgCon_room4_corr10[connectivity_ratio])</f>
        <v>1</v>
      </c>
      <c r="K52">
        <f>SUBTOTAL(101,AgCon_room4_corr10[room_count])</f>
        <v>11.94</v>
      </c>
      <c r="L52">
        <f>SUBTOTAL(101,AgCon_room4_corr10[avg_room_size])</f>
        <v>12.459001919999999</v>
      </c>
      <c r="M52">
        <f>SUBTOTAL(101,AgCon_room4_corr10[max_room_size])</f>
        <v>15.76</v>
      </c>
      <c r="N52">
        <f>SUBTOTAL(101,AgCon_room4_corr10[min_room_size])</f>
        <v>11.8</v>
      </c>
      <c r="O52">
        <f>SUBTOTAL(101,AgCon_room4_corr10[room_tiles])</f>
        <v>148.18</v>
      </c>
      <c r="P52" s="2">
        <f>SUBTOTAL(101,AgCon_room4_corr10[room_ratio])</f>
        <v>0.45188730000000005</v>
      </c>
    </row>
    <row r="53" spans="1:16" x14ac:dyDescent="0.25">
      <c r="A53" s="19" t="s">
        <v>35</v>
      </c>
      <c r="B53" s="19"/>
      <c r="C53" s="19"/>
      <c r="D53" s="19"/>
    </row>
  </sheetData>
  <mergeCells count="1">
    <mergeCell ref="A53:D53"/>
  </mergeCells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C559-CFFC-4893-BFE8-FB911A909A80}">
  <dimension ref="A1:P53"/>
  <sheetViews>
    <sheetView tabSelected="1" workbookViewId="0">
      <selection activeCell="J1" sqref="J1:J1048576"/>
    </sheetView>
  </sheetViews>
  <sheetFormatPr defaultRowHeight="15" x14ac:dyDescent="0.25"/>
  <cols>
    <col min="1" max="1" width="32.28515625" bestFit="1" customWidth="1"/>
    <col min="2" max="2" width="11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6">
        <v>839795004</v>
      </c>
      <c r="C2">
        <v>149</v>
      </c>
      <c r="D2">
        <v>2351</v>
      </c>
      <c r="E2" s="1">
        <v>5.96E-2</v>
      </c>
      <c r="F2" s="1">
        <v>0.94040000000000001</v>
      </c>
      <c r="G2">
        <v>29</v>
      </c>
      <c r="H2">
        <v>1</v>
      </c>
      <c r="I2">
        <v>149</v>
      </c>
      <c r="J2" s="20">
        <v>1</v>
      </c>
      <c r="K2">
        <v>8</v>
      </c>
      <c r="L2">
        <v>12.25</v>
      </c>
      <c r="M2">
        <v>13</v>
      </c>
      <c r="N2">
        <v>12</v>
      </c>
      <c r="O2">
        <v>98</v>
      </c>
      <c r="P2" s="1">
        <v>0.65771800000000002</v>
      </c>
    </row>
    <row r="3" spans="1:16" x14ac:dyDescent="0.25">
      <c r="A3" t="s">
        <v>16</v>
      </c>
      <c r="B3" s="16">
        <v>747743701</v>
      </c>
      <c r="C3">
        <v>25</v>
      </c>
      <c r="D3">
        <v>2475</v>
      </c>
      <c r="E3" s="1">
        <v>0.01</v>
      </c>
      <c r="F3" s="1">
        <v>0.99</v>
      </c>
      <c r="G3">
        <v>11</v>
      </c>
      <c r="H3">
        <v>1</v>
      </c>
      <c r="I3">
        <v>25</v>
      </c>
      <c r="J3" s="20">
        <v>1</v>
      </c>
      <c r="K3">
        <v>1</v>
      </c>
      <c r="L3">
        <v>12</v>
      </c>
      <c r="M3">
        <v>12</v>
      </c>
      <c r="N3">
        <v>12</v>
      </c>
      <c r="O3">
        <v>12</v>
      </c>
      <c r="P3" s="1">
        <v>0.48</v>
      </c>
    </row>
    <row r="4" spans="1:16" x14ac:dyDescent="0.25">
      <c r="A4" t="s">
        <v>16</v>
      </c>
      <c r="B4" s="16">
        <v>846754570</v>
      </c>
      <c r="C4">
        <v>16</v>
      </c>
      <c r="D4">
        <v>2484</v>
      </c>
      <c r="E4" s="1">
        <v>6.4000000000000003E-3</v>
      </c>
      <c r="F4" s="1">
        <v>0.99360000000000004</v>
      </c>
      <c r="G4">
        <v>3</v>
      </c>
      <c r="H4">
        <v>1</v>
      </c>
      <c r="I4">
        <v>16</v>
      </c>
      <c r="J4" s="20">
        <v>1</v>
      </c>
      <c r="K4">
        <v>1</v>
      </c>
      <c r="L4">
        <v>12</v>
      </c>
      <c r="M4">
        <v>12</v>
      </c>
      <c r="N4">
        <v>12</v>
      </c>
      <c r="O4">
        <v>12</v>
      </c>
      <c r="P4" s="1">
        <v>0.75</v>
      </c>
    </row>
    <row r="5" spans="1:16" x14ac:dyDescent="0.25">
      <c r="A5" t="s">
        <v>16</v>
      </c>
      <c r="B5" s="16">
        <v>771569651</v>
      </c>
      <c r="C5">
        <v>279</v>
      </c>
      <c r="D5">
        <v>2221</v>
      </c>
      <c r="E5" s="1">
        <v>0.1116</v>
      </c>
      <c r="F5" s="1">
        <v>0.88839999999999997</v>
      </c>
      <c r="G5">
        <v>77</v>
      </c>
      <c r="H5">
        <v>1</v>
      </c>
      <c r="I5">
        <v>279</v>
      </c>
      <c r="J5" s="20">
        <v>1</v>
      </c>
      <c r="K5">
        <v>15</v>
      </c>
      <c r="L5">
        <v>12.133333</v>
      </c>
      <c r="M5">
        <v>13</v>
      </c>
      <c r="N5">
        <v>12</v>
      </c>
      <c r="O5">
        <v>182</v>
      </c>
      <c r="P5" s="1">
        <v>0.65232999999999997</v>
      </c>
    </row>
    <row r="6" spans="1:16" x14ac:dyDescent="0.25">
      <c r="A6" t="s">
        <v>16</v>
      </c>
      <c r="B6" s="16">
        <v>1621869663</v>
      </c>
      <c r="C6">
        <v>131</v>
      </c>
      <c r="D6">
        <v>2369</v>
      </c>
      <c r="E6" s="1">
        <v>5.2400000000000002E-2</v>
      </c>
      <c r="F6" s="1">
        <v>0.9476</v>
      </c>
      <c r="G6">
        <v>35</v>
      </c>
      <c r="H6">
        <v>1</v>
      </c>
      <c r="I6">
        <v>131</v>
      </c>
      <c r="J6" s="20">
        <v>1</v>
      </c>
      <c r="K6">
        <v>7</v>
      </c>
      <c r="L6">
        <v>12.142856999999999</v>
      </c>
      <c r="M6">
        <v>13</v>
      </c>
      <c r="N6">
        <v>12</v>
      </c>
      <c r="O6">
        <v>85</v>
      </c>
      <c r="P6" s="1">
        <v>0.64885499999999996</v>
      </c>
    </row>
    <row r="7" spans="1:16" x14ac:dyDescent="0.25">
      <c r="A7" t="s">
        <v>16</v>
      </c>
      <c r="B7" s="16">
        <v>1705714258</v>
      </c>
      <c r="C7">
        <v>40</v>
      </c>
      <c r="D7">
        <v>2460</v>
      </c>
      <c r="E7" s="1">
        <v>1.6E-2</v>
      </c>
      <c r="F7" s="1">
        <v>0.98399999999999999</v>
      </c>
      <c r="G7">
        <v>12</v>
      </c>
      <c r="H7">
        <v>1</v>
      </c>
      <c r="I7">
        <v>40</v>
      </c>
      <c r="J7" s="20">
        <v>1</v>
      </c>
      <c r="K7">
        <v>2</v>
      </c>
      <c r="L7">
        <v>12.5</v>
      </c>
      <c r="M7">
        <v>13</v>
      </c>
      <c r="N7">
        <v>12</v>
      </c>
      <c r="O7">
        <v>25</v>
      </c>
      <c r="P7" s="1">
        <v>0.625</v>
      </c>
    </row>
    <row r="8" spans="1:16" x14ac:dyDescent="0.25">
      <c r="A8" t="s">
        <v>16</v>
      </c>
      <c r="B8" s="16">
        <v>685380312</v>
      </c>
      <c r="C8">
        <v>100</v>
      </c>
      <c r="D8">
        <v>2400</v>
      </c>
      <c r="E8" s="1">
        <v>0.04</v>
      </c>
      <c r="F8" s="1">
        <v>0.96</v>
      </c>
      <c r="G8">
        <v>28</v>
      </c>
      <c r="H8">
        <v>1</v>
      </c>
      <c r="I8">
        <v>100</v>
      </c>
      <c r="J8" s="20">
        <v>1</v>
      </c>
      <c r="K8">
        <v>5</v>
      </c>
      <c r="L8">
        <v>12.2</v>
      </c>
      <c r="M8">
        <v>13</v>
      </c>
      <c r="N8">
        <v>12</v>
      </c>
      <c r="O8">
        <v>61</v>
      </c>
      <c r="P8" s="1">
        <v>0.61</v>
      </c>
    </row>
    <row r="9" spans="1:16" x14ac:dyDescent="0.25">
      <c r="A9" t="s">
        <v>16</v>
      </c>
      <c r="B9" s="16">
        <v>240224491</v>
      </c>
      <c r="C9">
        <v>163</v>
      </c>
      <c r="D9">
        <v>2337</v>
      </c>
      <c r="E9" s="1">
        <v>6.5199999999999994E-2</v>
      </c>
      <c r="F9" s="1">
        <v>0.93479999999999996</v>
      </c>
      <c r="G9">
        <v>42</v>
      </c>
      <c r="H9">
        <v>1</v>
      </c>
      <c r="I9">
        <v>163</v>
      </c>
      <c r="J9" s="20">
        <v>1</v>
      </c>
      <c r="K9">
        <v>9</v>
      </c>
      <c r="L9">
        <v>12</v>
      </c>
      <c r="M9">
        <v>12</v>
      </c>
      <c r="N9">
        <v>12</v>
      </c>
      <c r="O9">
        <v>108</v>
      </c>
      <c r="P9" s="1">
        <v>0.66257699999999997</v>
      </c>
    </row>
    <row r="10" spans="1:16" x14ac:dyDescent="0.25">
      <c r="A10" t="s">
        <v>16</v>
      </c>
      <c r="B10" s="16">
        <v>534829282</v>
      </c>
      <c r="C10">
        <v>108</v>
      </c>
      <c r="D10">
        <v>2392</v>
      </c>
      <c r="E10" s="1">
        <v>4.3200000000000002E-2</v>
      </c>
      <c r="F10" s="1">
        <v>0.95679999999999998</v>
      </c>
      <c r="G10">
        <v>25</v>
      </c>
      <c r="H10">
        <v>1</v>
      </c>
      <c r="I10">
        <v>108</v>
      </c>
      <c r="J10" s="20">
        <v>1</v>
      </c>
      <c r="K10">
        <v>6</v>
      </c>
      <c r="L10">
        <v>12</v>
      </c>
      <c r="M10">
        <v>12</v>
      </c>
      <c r="N10">
        <v>12</v>
      </c>
      <c r="O10">
        <v>72</v>
      </c>
      <c r="P10" s="1">
        <v>0.66666700000000001</v>
      </c>
    </row>
    <row r="11" spans="1:16" x14ac:dyDescent="0.25">
      <c r="A11" t="s">
        <v>16</v>
      </c>
      <c r="B11" s="16">
        <v>939257635</v>
      </c>
      <c r="C11">
        <v>169</v>
      </c>
      <c r="D11">
        <v>2331</v>
      </c>
      <c r="E11" s="1">
        <v>6.7599999999999993E-2</v>
      </c>
      <c r="F11" s="1">
        <v>0.93240000000000001</v>
      </c>
      <c r="G11">
        <v>46</v>
      </c>
      <c r="H11">
        <v>1</v>
      </c>
      <c r="I11">
        <v>169</v>
      </c>
      <c r="J11" s="20">
        <v>1</v>
      </c>
      <c r="K11">
        <v>9</v>
      </c>
      <c r="L11">
        <v>12</v>
      </c>
      <c r="M11">
        <v>12</v>
      </c>
      <c r="N11">
        <v>12</v>
      </c>
      <c r="O11">
        <v>108</v>
      </c>
      <c r="P11" s="1">
        <v>0.63905299999999998</v>
      </c>
    </row>
    <row r="12" spans="1:16" x14ac:dyDescent="0.25">
      <c r="A12" t="s">
        <v>16</v>
      </c>
      <c r="B12" s="16">
        <v>1116254195</v>
      </c>
      <c r="C12">
        <v>108</v>
      </c>
      <c r="D12">
        <v>2392</v>
      </c>
      <c r="E12" s="1">
        <v>4.3200000000000002E-2</v>
      </c>
      <c r="F12" s="1">
        <v>0.95679999999999998</v>
      </c>
      <c r="G12">
        <v>31</v>
      </c>
      <c r="H12">
        <v>1</v>
      </c>
      <c r="I12">
        <v>108</v>
      </c>
      <c r="J12" s="20">
        <v>1</v>
      </c>
      <c r="K12">
        <v>6</v>
      </c>
      <c r="L12">
        <v>12</v>
      </c>
      <c r="M12">
        <v>12</v>
      </c>
      <c r="N12">
        <v>12</v>
      </c>
      <c r="O12">
        <v>72</v>
      </c>
      <c r="P12" s="1">
        <v>0.66666700000000001</v>
      </c>
    </row>
    <row r="13" spans="1:16" x14ac:dyDescent="0.25">
      <c r="A13" t="s">
        <v>16</v>
      </c>
      <c r="B13" s="16">
        <v>1000406465</v>
      </c>
      <c r="C13">
        <v>182</v>
      </c>
      <c r="D13">
        <v>2318</v>
      </c>
      <c r="E13" s="1">
        <v>7.2800000000000004E-2</v>
      </c>
      <c r="F13" s="1">
        <v>0.92720000000000002</v>
      </c>
      <c r="G13">
        <v>49</v>
      </c>
      <c r="H13">
        <v>1</v>
      </c>
      <c r="I13">
        <v>182</v>
      </c>
      <c r="J13" s="20">
        <v>1</v>
      </c>
      <c r="K13">
        <v>10</v>
      </c>
      <c r="L13">
        <v>12.2</v>
      </c>
      <c r="M13">
        <v>13</v>
      </c>
      <c r="N13">
        <v>12</v>
      </c>
      <c r="O13">
        <v>122</v>
      </c>
      <c r="P13" s="1">
        <v>0.67032999999999998</v>
      </c>
    </row>
    <row r="14" spans="1:16" x14ac:dyDescent="0.25">
      <c r="A14" t="s">
        <v>16</v>
      </c>
      <c r="B14" s="16">
        <v>2119364230</v>
      </c>
      <c r="C14">
        <v>72</v>
      </c>
      <c r="D14">
        <v>2428</v>
      </c>
      <c r="E14" s="1">
        <v>2.8799999999999999E-2</v>
      </c>
      <c r="F14" s="1">
        <v>0.97119999999999995</v>
      </c>
      <c r="G14">
        <v>18</v>
      </c>
      <c r="H14">
        <v>1</v>
      </c>
      <c r="I14">
        <v>72</v>
      </c>
      <c r="J14" s="20">
        <v>1</v>
      </c>
      <c r="K14">
        <v>4</v>
      </c>
      <c r="L14">
        <v>12.25</v>
      </c>
      <c r="M14">
        <v>13</v>
      </c>
      <c r="N14">
        <v>12</v>
      </c>
      <c r="O14">
        <v>49</v>
      </c>
      <c r="P14" s="1">
        <v>0.68055600000000005</v>
      </c>
    </row>
    <row r="15" spans="1:16" x14ac:dyDescent="0.25">
      <c r="A15" t="s">
        <v>16</v>
      </c>
      <c r="B15" s="16">
        <v>1205148758</v>
      </c>
      <c r="C15">
        <v>241</v>
      </c>
      <c r="D15">
        <v>2259</v>
      </c>
      <c r="E15" s="1">
        <v>9.64E-2</v>
      </c>
      <c r="F15" s="1">
        <v>0.90359999999999996</v>
      </c>
      <c r="G15">
        <v>67</v>
      </c>
      <c r="H15">
        <v>1</v>
      </c>
      <c r="I15">
        <v>241</v>
      </c>
      <c r="J15" s="20">
        <v>1</v>
      </c>
      <c r="K15">
        <v>13</v>
      </c>
      <c r="L15">
        <v>12.076923000000001</v>
      </c>
      <c r="M15">
        <v>13</v>
      </c>
      <c r="N15">
        <v>12</v>
      </c>
      <c r="O15">
        <v>157</v>
      </c>
      <c r="P15" s="1">
        <v>0.65145200000000003</v>
      </c>
    </row>
    <row r="16" spans="1:16" x14ac:dyDescent="0.25">
      <c r="A16" t="s">
        <v>16</v>
      </c>
      <c r="B16" s="16">
        <v>1755862280</v>
      </c>
      <c r="C16">
        <v>220</v>
      </c>
      <c r="D16">
        <v>2280</v>
      </c>
      <c r="E16" s="1">
        <v>8.7999999999999995E-2</v>
      </c>
      <c r="F16" s="1">
        <v>0.91200000000000003</v>
      </c>
      <c r="G16">
        <v>61</v>
      </c>
      <c r="H16">
        <v>1</v>
      </c>
      <c r="I16">
        <v>220</v>
      </c>
      <c r="J16" s="20">
        <v>1</v>
      </c>
      <c r="K16">
        <v>12</v>
      </c>
      <c r="L16">
        <v>12.166667</v>
      </c>
      <c r="M16">
        <v>13</v>
      </c>
      <c r="N16">
        <v>12</v>
      </c>
      <c r="O16">
        <v>146</v>
      </c>
      <c r="P16" s="1">
        <v>0.663636</v>
      </c>
    </row>
    <row r="17" spans="1:16" x14ac:dyDescent="0.25">
      <c r="A17" t="s">
        <v>16</v>
      </c>
      <c r="B17" s="16">
        <v>1360380584</v>
      </c>
      <c r="C17">
        <v>81</v>
      </c>
      <c r="D17">
        <v>2419</v>
      </c>
      <c r="E17" s="1">
        <v>3.2399999999999998E-2</v>
      </c>
      <c r="F17" s="1">
        <v>0.96760000000000002</v>
      </c>
      <c r="G17">
        <v>31</v>
      </c>
      <c r="H17">
        <v>1</v>
      </c>
      <c r="I17">
        <v>81</v>
      </c>
      <c r="J17" s="20">
        <v>1</v>
      </c>
      <c r="K17">
        <v>4</v>
      </c>
      <c r="L17">
        <v>12</v>
      </c>
      <c r="M17">
        <v>12</v>
      </c>
      <c r="N17">
        <v>12</v>
      </c>
      <c r="O17">
        <v>48</v>
      </c>
      <c r="P17" s="1">
        <v>0.59259300000000004</v>
      </c>
    </row>
    <row r="18" spans="1:16" x14ac:dyDescent="0.25">
      <c r="A18" t="s">
        <v>16</v>
      </c>
      <c r="B18" s="16">
        <v>434860959</v>
      </c>
      <c r="C18">
        <v>53</v>
      </c>
      <c r="D18">
        <v>2447</v>
      </c>
      <c r="E18" s="1">
        <v>2.12E-2</v>
      </c>
      <c r="F18" s="1">
        <v>0.9788</v>
      </c>
      <c r="G18">
        <v>16</v>
      </c>
      <c r="H18">
        <v>1</v>
      </c>
      <c r="I18">
        <v>53</v>
      </c>
      <c r="J18" s="20">
        <v>1</v>
      </c>
      <c r="K18">
        <v>3</v>
      </c>
      <c r="L18">
        <v>12</v>
      </c>
      <c r="M18">
        <v>12</v>
      </c>
      <c r="N18">
        <v>12</v>
      </c>
      <c r="O18">
        <v>36</v>
      </c>
      <c r="P18" s="1">
        <v>0.67924499999999999</v>
      </c>
    </row>
    <row r="19" spans="1:16" x14ac:dyDescent="0.25">
      <c r="A19" t="s">
        <v>16</v>
      </c>
      <c r="B19" s="16">
        <v>728540968</v>
      </c>
      <c r="C19">
        <v>58</v>
      </c>
      <c r="D19">
        <v>2442</v>
      </c>
      <c r="E19" s="1">
        <v>2.3199999999999998E-2</v>
      </c>
      <c r="F19" s="1">
        <v>0.9768</v>
      </c>
      <c r="G19">
        <v>21</v>
      </c>
      <c r="H19">
        <v>1</v>
      </c>
      <c r="I19">
        <v>58</v>
      </c>
      <c r="J19" s="20">
        <v>1</v>
      </c>
      <c r="K19">
        <v>3</v>
      </c>
      <c r="L19">
        <v>12</v>
      </c>
      <c r="M19">
        <v>12</v>
      </c>
      <c r="N19">
        <v>12</v>
      </c>
      <c r="O19">
        <v>36</v>
      </c>
      <c r="P19" s="1">
        <v>0.62068999999999996</v>
      </c>
    </row>
    <row r="20" spans="1:16" x14ac:dyDescent="0.25">
      <c r="A20" t="s">
        <v>16</v>
      </c>
      <c r="B20" s="16">
        <v>899787109</v>
      </c>
      <c r="C20">
        <v>62</v>
      </c>
      <c r="D20">
        <v>2438</v>
      </c>
      <c r="E20" s="1">
        <v>2.4799999999999999E-2</v>
      </c>
      <c r="F20" s="1">
        <v>0.97519999999999996</v>
      </c>
      <c r="G20">
        <v>21</v>
      </c>
      <c r="H20">
        <v>1</v>
      </c>
      <c r="I20">
        <v>62</v>
      </c>
      <c r="J20" s="20">
        <v>1</v>
      </c>
      <c r="K20">
        <v>3</v>
      </c>
      <c r="L20">
        <v>12.333333</v>
      </c>
      <c r="M20">
        <v>13</v>
      </c>
      <c r="N20">
        <v>12</v>
      </c>
      <c r="O20">
        <v>37</v>
      </c>
      <c r="P20" s="1">
        <v>0.59677400000000003</v>
      </c>
    </row>
    <row r="21" spans="1:16" x14ac:dyDescent="0.25">
      <c r="A21" t="s">
        <v>16</v>
      </c>
      <c r="B21" s="16">
        <v>605287764</v>
      </c>
      <c r="C21">
        <v>257</v>
      </c>
      <c r="D21">
        <v>2243</v>
      </c>
      <c r="E21" s="1">
        <v>0.1028</v>
      </c>
      <c r="F21" s="1">
        <v>0.8972</v>
      </c>
      <c r="G21">
        <v>50</v>
      </c>
      <c r="H21">
        <v>1</v>
      </c>
      <c r="I21">
        <v>257</v>
      </c>
      <c r="J21" s="20">
        <v>1</v>
      </c>
      <c r="K21">
        <v>14</v>
      </c>
      <c r="L21">
        <v>12.142856999999999</v>
      </c>
      <c r="M21">
        <v>13</v>
      </c>
      <c r="N21">
        <v>12</v>
      </c>
      <c r="O21">
        <v>170</v>
      </c>
      <c r="P21" s="1">
        <v>0.66147900000000004</v>
      </c>
    </row>
    <row r="22" spans="1:16" x14ac:dyDescent="0.25">
      <c r="A22" t="s">
        <v>16</v>
      </c>
      <c r="B22" s="16">
        <v>1468420541</v>
      </c>
      <c r="C22">
        <v>114</v>
      </c>
      <c r="D22">
        <v>2386</v>
      </c>
      <c r="E22" s="1">
        <v>4.5600000000000002E-2</v>
      </c>
      <c r="F22" s="1">
        <v>0.95440000000000003</v>
      </c>
      <c r="G22">
        <v>29</v>
      </c>
      <c r="H22">
        <v>1</v>
      </c>
      <c r="I22">
        <v>114</v>
      </c>
      <c r="J22" s="20">
        <v>1</v>
      </c>
      <c r="K22">
        <v>6</v>
      </c>
      <c r="L22">
        <v>12</v>
      </c>
      <c r="M22">
        <v>12</v>
      </c>
      <c r="N22">
        <v>12</v>
      </c>
      <c r="O22">
        <v>72</v>
      </c>
      <c r="P22" s="1">
        <v>0.631579</v>
      </c>
    </row>
    <row r="23" spans="1:16" x14ac:dyDescent="0.25">
      <c r="A23" t="s">
        <v>16</v>
      </c>
      <c r="B23" s="16">
        <v>119811955</v>
      </c>
      <c r="C23">
        <v>198</v>
      </c>
      <c r="D23">
        <v>2302</v>
      </c>
      <c r="E23" s="1">
        <v>7.9200000000000007E-2</v>
      </c>
      <c r="F23" s="1">
        <v>0.92079999999999995</v>
      </c>
      <c r="G23">
        <v>46</v>
      </c>
      <c r="H23">
        <v>1</v>
      </c>
      <c r="I23">
        <v>198</v>
      </c>
      <c r="J23" s="20">
        <v>1</v>
      </c>
      <c r="K23">
        <v>10</v>
      </c>
      <c r="L23">
        <v>12.3</v>
      </c>
      <c r="M23">
        <v>13</v>
      </c>
      <c r="N23">
        <v>12</v>
      </c>
      <c r="O23">
        <v>123</v>
      </c>
      <c r="P23" s="1">
        <v>0.62121199999999999</v>
      </c>
    </row>
    <row r="24" spans="1:16" x14ac:dyDescent="0.25">
      <c r="A24" t="s">
        <v>16</v>
      </c>
      <c r="B24" s="16">
        <v>710663101</v>
      </c>
      <c r="C24">
        <v>127</v>
      </c>
      <c r="D24">
        <v>2373</v>
      </c>
      <c r="E24" s="1">
        <v>5.0799999999999998E-2</v>
      </c>
      <c r="F24" s="1">
        <v>0.94920000000000004</v>
      </c>
      <c r="G24">
        <v>36</v>
      </c>
      <c r="H24">
        <v>1</v>
      </c>
      <c r="I24">
        <v>127</v>
      </c>
      <c r="J24" s="20">
        <v>1</v>
      </c>
      <c r="K24">
        <v>7</v>
      </c>
      <c r="L24">
        <v>12</v>
      </c>
      <c r="M24">
        <v>12</v>
      </c>
      <c r="N24">
        <v>12</v>
      </c>
      <c r="O24">
        <v>84</v>
      </c>
      <c r="P24" s="1">
        <v>0.66141700000000003</v>
      </c>
    </row>
    <row r="25" spans="1:16" x14ac:dyDescent="0.25">
      <c r="A25" t="s">
        <v>16</v>
      </c>
      <c r="B25" s="16">
        <v>1847753524</v>
      </c>
      <c r="C25">
        <v>368</v>
      </c>
      <c r="D25">
        <v>2132</v>
      </c>
      <c r="E25" s="1">
        <v>0.1472</v>
      </c>
      <c r="F25" s="1">
        <v>0.8528</v>
      </c>
      <c r="G25">
        <v>93</v>
      </c>
      <c r="H25">
        <v>1</v>
      </c>
      <c r="I25">
        <v>368</v>
      </c>
      <c r="J25" s="20">
        <v>1</v>
      </c>
      <c r="K25">
        <v>20</v>
      </c>
      <c r="L25">
        <v>12.15</v>
      </c>
      <c r="M25">
        <v>13</v>
      </c>
      <c r="N25">
        <v>12</v>
      </c>
      <c r="O25">
        <v>243</v>
      </c>
      <c r="P25" s="1">
        <v>0.66032599999999997</v>
      </c>
    </row>
    <row r="26" spans="1:16" x14ac:dyDescent="0.25">
      <c r="A26" t="s">
        <v>16</v>
      </c>
      <c r="B26" s="16">
        <v>200813076</v>
      </c>
      <c r="C26">
        <v>35</v>
      </c>
      <c r="D26">
        <v>2465</v>
      </c>
      <c r="E26" s="1">
        <v>1.4E-2</v>
      </c>
      <c r="F26" s="1">
        <v>0.98599999999999999</v>
      </c>
      <c r="G26">
        <v>10</v>
      </c>
      <c r="H26">
        <v>1</v>
      </c>
      <c r="I26">
        <v>35</v>
      </c>
      <c r="J26" s="20">
        <v>1</v>
      </c>
      <c r="K26">
        <v>2</v>
      </c>
      <c r="L26">
        <v>12</v>
      </c>
      <c r="M26">
        <v>12</v>
      </c>
      <c r="N26">
        <v>12</v>
      </c>
      <c r="O26">
        <v>24</v>
      </c>
      <c r="P26" s="1">
        <v>0.68571400000000005</v>
      </c>
    </row>
    <row r="27" spans="1:16" x14ac:dyDescent="0.25">
      <c r="A27" t="s">
        <v>16</v>
      </c>
      <c r="B27" s="16">
        <v>1073940131</v>
      </c>
      <c r="C27">
        <v>168</v>
      </c>
      <c r="D27">
        <v>2332</v>
      </c>
      <c r="E27" s="1">
        <v>6.7199999999999996E-2</v>
      </c>
      <c r="F27" s="1">
        <v>0.93279999999999996</v>
      </c>
      <c r="G27">
        <v>40</v>
      </c>
      <c r="H27">
        <v>1</v>
      </c>
      <c r="I27">
        <v>168</v>
      </c>
      <c r="J27" s="20">
        <v>1</v>
      </c>
      <c r="K27">
        <v>9</v>
      </c>
      <c r="L27">
        <v>12</v>
      </c>
      <c r="M27">
        <v>12</v>
      </c>
      <c r="N27">
        <v>12</v>
      </c>
      <c r="O27">
        <v>108</v>
      </c>
      <c r="P27" s="1">
        <v>0.64285700000000001</v>
      </c>
    </row>
    <row r="28" spans="1:16" x14ac:dyDescent="0.25">
      <c r="A28" t="s">
        <v>16</v>
      </c>
      <c r="B28" s="16">
        <v>973588579</v>
      </c>
      <c r="C28">
        <v>54</v>
      </c>
      <c r="D28">
        <v>2446</v>
      </c>
      <c r="E28" s="1">
        <v>2.1600000000000001E-2</v>
      </c>
      <c r="F28" s="1">
        <v>0.97840000000000005</v>
      </c>
      <c r="G28">
        <v>17</v>
      </c>
      <c r="H28">
        <v>1</v>
      </c>
      <c r="I28">
        <v>54</v>
      </c>
      <c r="J28" s="20">
        <v>1</v>
      </c>
      <c r="K28">
        <v>3</v>
      </c>
      <c r="L28">
        <v>12</v>
      </c>
      <c r="M28">
        <v>12</v>
      </c>
      <c r="N28">
        <v>12</v>
      </c>
      <c r="O28">
        <v>36</v>
      </c>
      <c r="P28" s="1">
        <v>0.66666700000000001</v>
      </c>
    </row>
    <row r="29" spans="1:16" x14ac:dyDescent="0.25">
      <c r="A29" t="s">
        <v>16</v>
      </c>
      <c r="B29" s="16">
        <v>41337187</v>
      </c>
      <c r="C29">
        <v>183</v>
      </c>
      <c r="D29">
        <v>2317</v>
      </c>
      <c r="E29" s="1">
        <v>7.3200000000000001E-2</v>
      </c>
      <c r="F29" s="1">
        <v>0.92679999999999996</v>
      </c>
      <c r="G29">
        <v>52</v>
      </c>
      <c r="H29">
        <v>1</v>
      </c>
      <c r="I29">
        <v>183</v>
      </c>
      <c r="J29" s="20">
        <v>1</v>
      </c>
      <c r="K29">
        <v>10</v>
      </c>
      <c r="L29">
        <v>12</v>
      </c>
      <c r="M29">
        <v>12</v>
      </c>
      <c r="N29">
        <v>12</v>
      </c>
      <c r="O29">
        <v>120</v>
      </c>
      <c r="P29" s="1">
        <v>0.65573800000000004</v>
      </c>
    </row>
    <row r="30" spans="1:16" x14ac:dyDescent="0.25">
      <c r="A30" t="s">
        <v>16</v>
      </c>
      <c r="B30" s="16">
        <v>1655548481</v>
      </c>
      <c r="C30">
        <v>109</v>
      </c>
      <c r="D30">
        <v>2391</v>
      </c>
      <c r="E30" s="1">
        <v>4.36E-2</v>
      </c>
      <c r="F30" s="1">
        <v>0.95640000000000003</v>
      </c>
      <c r="G30">
        <v>29</v>
      </c>
      <c r="H30">
        <v>1</v>
      </c>
      <c r="I30">
        <v>109</v>
      </c>
      <c r="J30" s="20">
        <v>1</v>
      </c>
      <c r="K30">
        <v>6</v>
      </c>
      <c r="L30">
        <v>12.166667</v>
      </c>
      <c r="M30">
        <v>13</v>
      </c>
      <c r="N30">
        <v>12</v>
      </c>
      <c r="O30">
        <v>73</v>
      </c>
      <c r="P30" s="1">
        <v>0.66972500000000001</v>
      </c>
    </row>
    <row r="31" spans="1:16" x14ac:dyDescent="0.25">
      <c r="A31" t="s">
        <v>16</v>
      </c>
      <c r="B31" s="16">
        <v>797208890</v>
      </c>
      <c r="C31">
        <v>130</v>
      </c>
      <c r="D31">
        <v>2370</v>
      </c>
      <c r="E31" s="1">
        <v>5.1999999999999998E-2</v>
      </c>
      <c r="F31" s="1">
        <v>0.94799999999999995</v>
      </c>
      <c r="G31">
        <v>34</v>
      </c>
      <c r="H31">
        <v>1</v>
      </c>
      <c r="I31">
        <v>130</v>
      </c>
      <c r="J31" s="20">
        <v>1</v>
      </c>
      <c r="K31">
        <v>7</v>
      </c>
      <c r="L31">
        <v>12.142856999999999</v>
      </c>
      <c r="M31">
        <v>13</v>
      </c>
      <c r="N31">
        <v>12</v>
      </c>
      <c r="O31">
        <v>85</v>
      </c>
      <c r="P31" s="1">
        <v>0.65384600000000004</v>
      </c>
    </row>
    <row r="32" spans="1:16" x14ac:dyDescent="0.25">
      <c r="A32" t="s">
        <v>16</v>
      </c>
      <c r="B32" s="16">
        <v>1987102393</v>
      </c>
      <c r="C32">
        <v>220</v>
      </c>
      <c r="D32">
        <v>2280</v>
      </c>
      <c r="E32" s="1">
        <v>8.7999999999999995E-2</v>
      </c>
      <c r="F32" s="1">
        <v>0.91200000000000003</v>
      </c>
      <c r="G32">
        <v>61</v>
      </c>
      <c r="H32">
        <v>1</v>
      </c>
      <c r="I32">
        <v>220</v>
      </c>
      <c r="J32" s="20">
        <v>1</v>
      </c>
      <c r="K32">
        <v>12</v>
      </c>
      <c r="L32">
        <v>12.083333</v>
      </c>
      <c r="M32">
        <v>13</v>
      </c>
      <c r="N32">
        <v>12</v>
      </c>
      <c r="O32">
        <v>145</v>
      </c>
      <c r="P32" s="1">
        <v>0.65909099999999998</v>
      </c>
    </row>
    <row r="33" spans="1:16" x14ac:dyDescent="0.25">
      <c r="A33" t="s">
        <v>16</v>
      </c>
      <c r="B33" s="16">
        <v>578188657</v>
      </c>
      <c r="C33">
        <v>94</v>
      </c>
      <c r="D33">
        <v>2406</v>
      </c>
      <c r="E33" s="1">
        <v>3.7600000000000001E-2</v>
      </c>
      <c r="F33" s="1">
        <v>0.96240000000000003</v>
      </c>
      <c r="G33">
        <v>26</v>
      </c>
      <c r="H33">
        <v>1</v>
      </c>
      <c r="I33">
        <v>94</v>
      </c>
      <c r="J33" s="20">
        <v>1</v>
      </c>
      <c r="K33">
        <v>5</v>
      </c>
      <c r="L33">
        <v>12.2</v>
      </c>
      <c r="M33">
        <v>13</v>
      </c>
      <c r="N33">
        <v>12</v>
      </c>
      <c r="O33">
        <v>61</v>
      </c>
      <c r="P33" s="1">
        <v>0.64893599999999996</v>
      </c>
    </row>
    <row r="34" spans="1:16" x14ac:dyDescent="0.25">
      <c r="A34" t="s">
        <v>16</v>
      </c>
      <c r="B34" s="16">
        <v>1724973474</v>
      </c>
      <c r="C34">
        <v>133</v>
      </c>
      <c r="D34">
        <v>2367</v>
      </c>
      <c r="E34" s="1">
        <v>5.3199999999999997E-2</v>
      </c>
      <c r="F34" s="1">
        <v>0.94679999999999997</v>
      </c>
      <c r="G34">
        <v>35</v>
      </c>
      <c r="H34">
        <v>1</v>
      </c>
      <c r="I34">
        <v>133</v>
      </c>
      <c r="J34" s="20">
        <v>1</v>
      </c>
      <c r="K34">
        <v>7</v>
      </c>
      <c r="L34">
        <v>12</v>
      </c>
      <c r="M34">
        <v>12</v>
      </c>
      <c r="N34">
        <v>12</v>
      </c>
      <c r="O34">
        <v>84</v>
      </c>
      <c r="P34" s="1">
        <v>0.631579</v>
      </c>
    </row>
    <row r="35" spans="1:16" x14ac:dyDescent="0.25">
      <c r="A35" t="s">
        <v>16</v>
      </c>
      <c r="B35" s="16">
        <v>682919998</v>
      </c>
      <c r="C35">
        <v>52</v>
      </c>
      <c r="D35">
        <v>2448</v>
      </c>
      <c r="E35" s="1">
        <v>2.0799999999999999E-2</v>
      </c>
      <c r="F35" s="1">
        <v>0.97919999999999996</v>
      </c>
      <c r="G35">
        <v>15</v>
      </c>
      <c r="H35">
        <v>1</v>
      </c>
      <c r="I35">
        <v>52</v>
      </c>
      <c r="J35" s="20">
        <v>1</v>
      </c>
      <c r="K35">
        <v>3</v>
      </c>
      <c r="L35">
        <v>12</v>
      </c>
      <c r="M35">
        <v>12</v>
      </c>
      <c r="N35">
        <v>12</v>
      </c>
      <c r="O35">
        <v>36</v>
      </c>
      <c r="P35" s="1">
        <v>0.69230800000000003</v>
      </c>
    </row>
    <row r="36" spans="1:16" x14ac:dyDescent="0.25">
      <c r="A36" t="s">
        <v>16</v>
      </c>
      <c r="B36" s="16">
        <v>460016287</v>
      </c>
      <c r="C36">
        <v>35</v>
      </c>
      <c r="D36">
        <v>2465</v>
      </c>
      <c r="E36" s="1">
        <v>1.4E-2</v>
      </c>
      <c r="F36" s="1">
        <v>0.98599999999999999</v>
      </c>
      <c r="G36">
        <v>10</v>
      </c>
      <c r="H36">
        <v>1</v>
      </c>
      <c r="I36">
        <v>35</v>
      </c>
      <c r="J36" s="20">
        <v>1</v>
      </c>
      <c r="K36">
        <v>2</v>
      </c>
      <c r="L36">
        <v>12</v>
      </c>
      <c r="M36">
        <v>12</v>
      </c>
      <c r="N36">
        <v>12</v>
      </c>
      <c r="O36">
        <v>24</v>
      </c>
      <c r="P36" s="1">
        <v>0.68571400000000005</v>
      </c>
    </row>
    <row r="37" spans="1:16" x14ac:dyDescent="0.25">
      <c r="A37" t="s">
        <v>16</v>
      </c>
      <c r="B37" s="16">
        <v>1971263307</v>
      </c>
      <c r="C37">
        <v>399</v>
      </c>
      <c r="D37">
        <v>2101</v>
      </c>
      <c r="E37" s="1">
        <v>0.15959999999999999</v>
      </c>
      <c r="F37" s="1">
        <v>0.84040000000000004</v>
      </c>
      <c r="G37">
        <v>103</v>
      </c>
      <c r="H37">
        <v>1</v>
      </c>
      <c r="I37">
        <v>399</v>
      </c>
      <c r="J37" s="20">
        <v>1</v>
      </c>
      <c r="K37">
        <v>21</v>
      </c>
      <c r="L37">
        <v>12.095238</v>
      </c>
      <c r="M37">
        <v>13</v>
      </c>
      <c r="N37">
        <v>12</v>
      </c>
      <c r="O37">
        <v>254</v>
      </c>
      <c r="P37" s="1">
        <v>0.63659100000000002</v>
      </c>
    </row>
    <row r="38" spans="1:16" x14ac:dyDescent="0.25">
      <c r="A38" t="s">
        <v>16</v>
      </c>
      <c r="B38" s="16">
        <v>1954335711</v>
      </c>
      <c r="C38">
        <v>131</v>
      </c>
      <c r="D38">
        <v>2369</v>
      </c>
      <c r="E38" s="1">
        <v>5.2400000000000002E-2</v>
      </c>
      <c r="F38" s="1">
        <v>0.9476</v>
      </c>
      <c r="G38">
        <v>28</v>
      </c>
      <c r="H38">
        <v>1</v>
      </c>
      <c r="I38">
        <v>131</v>
      </c>
      <c r="J38" s="20">
        <v>1</v>
      </c>
      <c r="K38">
        <v>7</v>
      </c>
      <c r="L38">
        <v>12.142856999999999</v>
      </c>
      <c r="M38">
        <v>13</v>
      </c>
      <c r="N38">
        <v>12</v>
      </c>
      <c r="O38">
        <v>85</v>
      </c>
      <c r="P38" s="1">
        <v>0.64885499999999996</v>
      </c>
    </row>
    <row r="39" spans="1:16" x14ac:dyDescent="0.25">
      <c r="A39" t="s">
        <v>16</v>
      </c>
      <c r="B39" s="16">
        <v>1620743266</v>
      </c>
      <c r="C39">
        <v>331</v>
      </c>
      <c r="D39">
        <v>2169</v>
      </c>
      <c r="E39" s="1">
        <v>0.13239999999999999</v>
      </c>
      <c r="F39" s="1">
        <v>0.86760000000000004</v>
      </c>
      <c r="G39">
        <v>78</v>
      </c>
      <c r="H39">
        <v>1</v>
      </c>
      <c r="I39">
        <v>331</v>
      </c>
      <c r="J39" s="20">
        <v>1</v>
      </c>
      <c r="K39">
        <v>18</v>
      </c>
      <c r="L39">
        <v>12.166667</v>
      </c>
      <c r="M39">
        <v>13</v>
      </c>
      <c r="N39">
        <v>12</v>
      </c>
      <c r="O39">
        <v>219</v>
      </c>
      <c r="P39" s="1">
        <v>0.66163099999999997</v>
      </c>
    </row>
    <row r="40" spans="1:16" x14ac:dyDescent="0.25">
      <c r="A40" t="s">
        <v>16</v>
      </c>
      <c r="B40" s="16">
        <v>403177848</v>
      </c>
      <c r="C40">
        <v>91</v>
      </c>
      <c r="D40">
        <v>2409</v>
      </c>
      <c r="E40" s="1">
        <v>3.6400000000000002E-2</v>
      </c>
      <c r="F40" s="1">
        <v>0.96360000000000001</v>
      </c>
      <c r="G40">
        <v>30</v>
      </c>
      <c r="H40">
        <v>1</v>
      </c>
      <c r="I40">
        <v>91</v>
      </c>
      <c r="J40" s="20">
        <v>1</v>
      </c>
      <c r="K40">
        <v>5</v>
      </c>
      <c r="L40">
        <v>12</v>
      </c>
      <c r="M40">
        <v>12</v>
      </c>
      <c r="N40">
        <v>12</v>
      </c>
      <c r="O40">
        <v>60</v>
      </c>
      <c r="P40" s="1">
        <v>0.65934099999999995</v>
      </c>
    </row>
    <row r="41" spans="1:16" x14ac:dyDescent="0.25">
      <c r="A41" t="s">
        <v>16</v>
      </c>
      <c r="B41" s="16">
        <v>583774340</v>
      </c>
      <c r="C41">
        <v>58</v>
      </c>
      <c r="D41">
        <v>2442</v>
      </c>
      <c r="E41" s="1">
        <v>2.3199999999999998E-2</v>
      </c>
      <c r="F41" s="1">
        <v>0.9768</v>
      </c>
      <c r="G41">
        <v>18</v>
      </c>
      <c r="H41">
        <v>1</v>
      </c>
      <c r="I41">
        <v>58</v>
      </c>
      <c r="J41" s="20">
        <v>1</v>
      </c>
      <c r="K41">
        <v>3</v>
      </c>
      <c r="L41">
        <v>12.333333</v>
      </c>
      <c r="M41">
        <v>13</v>
      </c>
      <c r="N41">
        <v>12</v>
      </c>
      <c r="O41">
        <v>37</v>
      </c>
      <c r="P41" s="1">
        <v>0.63793100000000003</v>
      </c>
    </row>
    <row r="42" spans="1:16" x14ac:dyDescent="0.25">
      <c r="A42" t="s">
        <v>16</v>
      </c>
      <c r="B42" s="16">
        <v>1456271388</v>
      </c>
      <c r="C42">
        <v>21</v>
      </c>
      <c r="D42">
        <v>2479</v>
      </c>
      <c r="E42" s="1">
        <v>8.3999999999999995E-3</v>
      </c>
      <c r="F42" s="1">
        <v>0.99160000000000004</v>
      </c>
      <c r="G42">
        <v>8</v>
      </c>
      <c r="H42">
        <v>1</v>
      </c>
      <c r="I42">
        <v>21</v>
      </c>
      <c r="J42" s="20">
        <v>1</v>
      </c>
      <c r="K42">
        <v>1</v>
      </c>
      <c r="L42">
        <v>12</v>
      </c>
      <c r="M42">
        <v>12</v>
      </c>
      <c r="N42">
        <v>12</v>
      </c>
      <c r="O42">
        <v>12</v>
      </c>
      <c r="P42" s="1">
        <v>0.57142899999999996</v>
      </c>
    </row>
    <row r="43" spans="1:16" x14ac:dyDescent="0.25">
      <c r="A43" t="s">
        <v>16</v>
      </c>
      <c r="B43" s="16">
        <v>1273718970</v>
      </c>
      <c r="C43">
        <v>40</v>
      </c>
      <c r="D43">
        <v>2460</v>
      </c>
      <c r="E43" s="1">
        <v>1.6E-2</v>
      </c>
      <c r="F43" s="1">
        <v>0.98399999999999999</v>
      </c>
      <c r="G43">
        <v>13</v>
      </c>
      <c r="H43">
        <v>1</v>
      </c>
      <c r="I43">
        <v>40</v>
      </c>
      <c r="J43" s="20">
        <v>1</v>
      </c>
      <c r="K43">
        <v>2</v>
      </c>
      <c r="L43">
        <v>12</v>
      </c>
      <c r="M43">
        <v>12</v>
      </c>
      <c r="N43">
        <v>12</v>
      </c>
      <c r="O43">
        <v>24</v>
      </c>
      <c r="P43" s="1">
        <v>0.6</v>
      </c>
    </row>
    <row r="44" spans="1:16" x14ac:dyDescent="0.25">
      <c r="A44" t="s">
        <v>16</v>
      </c>
      <c r="B44" s="16">
        <v>103219829</v>
      </c>
      <c r="C44">
        <v>173</v>
      </c>
      <c r="D44">
        <v>2327</v>
      </c>
      <c r="E44" s="1">
        <v>6.9199999999999998E-2</v>
      </c>
      <c r="F44" s="1">
        <v>0.93079999999999996</v>
      </c>
      <c r="G44">
        <v>41</v>
      </c>
      <c r="H44">
        <v>1</v>
      </c>
      <c r="I44">
        <v>173</v>
      </c>
      <c r="J44" s="20">
        <v>1</v>
      </c>
      <c r="K44">
        <v>9</v>
      </c>
      <c r="L44">
        <v>12.111110999999999</v>
      </c>
      <c r="M44">
        <v>13</v>
      </c>
      <c r="N44">
        <v>12</v>
      </c>
      <c r="O44">
        <v>109</v>
      </c>
      <c r="P44" s="1">
        <v>0.63005800000000001</v>
      </c>
    </row>
    <row r="45" spans="1:16" x14ac:dyDescent="0.25">
      <c r="A45" t="s">
        <v>16</v>
      </c>
      <c r="B45" s="16">
        <v>1697787831</v>
      </c>
      <c r="C45">
        <v>167</v>
      </c>
      <c r="D45">
        <v>2333</v>
      </c>
      <c r="E45" s="1">
        <v>6.6799999999999998E-2</v>
      </c>
      <c r="F45" s="1">
        <v>0.93320000000000003</v>
      </c>
      <c r="G45">
        <v>41</v>
      </c>
      <c r="H45">
        <v>1</v>
      </c>
      <c r="I45">
        <v>167</v>
      </c>
      <c r="J45" s="20">
        <v>1</v>
      </c>
      <c r="K45">
        <v>9</v>
      </c>
      <c r="L45">
        <v>12.111110999999999</v>
      </c>
      <c r="M45">
        <v>13</v>
      </c>
      <c r="N45">
        <v>12</v>
      </c>
      <c r="O45">
        <v>109</v>
      </c>
      <c r="P45" s="1">
        <v>0.65269500000000003</v>
      </c>
    </row>
    <row r="46" spans="1:16" x14ac:dyDescent="0.25">
      <c r="A46" t="s">
        <v>16</v>
      </c>
      <c r="B46" s="16">
        <v>432495227</v>
      </c>
      <c r="C46">
        <v>334</v>
      </c>
      <c r="D46">
        <v>2166</v>
      </c>
      <c r="E46" s="1">
        <v>0.1336</v>
      </c>
      <c r="F46" s="1">
        <v>0.86639999999999995</v>
      </c>
      <c r="G46">
        <v>95</v>
      </c>
      <c r="H46">
        <v>1</v>
      </c>
      <c r="I46">
        <v>334</v>
      </c>
      <c r="J46" s="20">
        <v>1</v>
      </c>
      <c r="K46">
        <v>18</v>
      </c>
      <c r="L46">
        <v>12.111110999999999</v>
      </c>
      <c r="M46">
        <v>13</v>
      </c>
      <c r="N46">
        <v>12</v>
      </c>
      <c r="O46">
        <v>218</v>
      </c>
      <c r="P46" s="1">
        <v>0.65269500000000003</v>
      </c>
    </row>
    <row r="47" spans="1:16" x14ac:dyDescent="0.25">
      <c r="A47" t="s">
        <v>16</v>
      </c>
      <c r="B47" s="16">
        <v>1019366506</v>
      </c>
      <c r="C47">
        <v>21</v>
      </c>
      <c r="D47">
        <v>2479</v>
      </c>
      <c r="E47" s="1">
        <v>8.3999999999999995E-3</v>
      </c>
      <c r="F47" s="1">
        <v>0.99160000000000004</v>
      </c>
      <c r="G47">
        <v>8</v>
      </c>
      <c r="H47">
        <v>1</v>
      </c>
      <c r="I47">
        <v>21</v>
      </c>
      <c r="J47" s="20">
        <v>1</v>
      </c>
      <c r="K47">
        <v>1</v>
      </c>
      <c r="L47">
        <v>12</v>
      </c>
      <c r="M47">
        <v>12</v>
      </c>
      <c r="N47">
        <v>12</v>
      </c>
      <c r="O47">
        <v>12</v>
      </c>
      <c r="P47" s="1">
        <v>0.57142899999999996</v>
      </c>
    </row>
    <row r="48" spans="1:16" x14ac:dyDescent="0.25">
      <c r="A48" t="s">
        <v>16</v>
      </c>
      <c r="B48" s="16">
        <v>56206450</v>
      </c>
      <c r="C48">
        <v>222</v>
      </c>
      <c r="D48">
        <v>2278</v>
      </c>
      <c r="E48" s="1">
        <v>8.8800000000000004E-2</v>
      </c>
      <c r="F48" s="1">
        <v>0.91120000000000001</v>
      </c>
      <c r="G48">
        <v>56</v>
      </c>
      <c r="H48">
        <v>1</v>
      </c>
      <c r="I48">
        <v>222</v>
      </c>
      <c r="J48" s="20">
        <v>1</v>
      </c>
      <c r="K48">
        <v>12</v>
      </c>
      <c r="L48">
        <v>12.083333</v>
      </c>
      <c r="M48">
        <v>13</v>
      </c>
      <c r="N48">
        <v>12</v>
      </c>
      <c r="O48">
        <v>145</v>
      </c>
      <c r="P48" s="1">
        <v>0.65315299999999998</v>
      </c>
    </row>
    <row r="49" spans="1:16" x14ac:dyDescent="0.25">
      <c r="A49" t="s">
        <v>16</v>
      </c>
      <c r="B49" s="16">
        <v>774786712</v>
      </c>
      <c r="C49">
        <v>75</v>
      </c>
      <c r="D49">
        <v>2425</v>
      </c>
      <c r="E49" s="1">
        <v>0.03</v>
      </c>
      <c r="F49" s="1">
        <v>0.97</v>
      </c>
      <c r="G49">
        <v>24</v>
      </c>
      <c r="H49">
        <v>1</v>
      </c>
      <c r="I49">
        <v>75</v>
      </c>
      <c r="J49" s="20">
        <v>1</v>
      </c>
      <c r="K49">
        <v>4</v>
      </c>
      <c r="L49">
        <v>12</v>
      </c>
      <c r="M49">
        <v>12</v>
      </c>
      <c r="N49">
        <v>12</v>
      </c>
      <c r="O49">
        <v>48</v>
      </c>
      <c r="P49" s="1">
        <v>0.64</v>
      </c>
    </row>
    <row r="50" spans="1:16" x14ac:dyDescent="0.25">
      <c r="A50" t="s">
        <v>16</v>
      </c>
      <c r="B50" s="16">
        <v>925665981</v>
      </c>
      <c r="C50">
        <v>246</v>
      </c>
      <c r="D50">
        <v>2254</v>
      </c>
      <c r="E50" s="1">
        <v>9.8400000000000001E-2</v>
      </c>
      <c r="F50" s="1">
        <v>0.90159999999999996</v>
      </c>
      <c r="G50">
        <v>56</v>
      </c>
      <c r="H50">
        <v>1</v>
      </c>
      <c r="I50">
        <v>246</v>
      </c>
      <c r="J50" s="20">
        <v>1</v>
      </c>
      <c r="K50">
        <v>13</v>
      </c>
      <c r="L50">
        <v>12.153846</v>
      </c>
      <c r="M50">
        <v>13</v>
      </c>
      <c r="N50">
        <v>12</v>
      </c>
      <c r="O50">
        <v>158</v>
      </c>
      <c r="P50" s="1">
        <v>0.64227599999999996</v>
      </c>
    </row>
    <row r="51" spans="1:16" x14ac:dyDescent="0.25">
      <c r="A51" t="s">
        <v>16</v>
      </c>
      <c r="B51" s="16">
        <v>649166933</v>
      </c>
      <c r="C51">
        <v>39</v>
      </c>
      <c r="D51">
        <v>2461</v>
      </c>
      <c r="E51" s="1">
        <v>1.5599999999999999E-2</v>
      </c>
      <c r="F51" s="1">
        <v>0.98440000000000005</v>
      </c>
      <c r="G51">
        <v>12</v>
      </c>
      <c r="H51">
        <v>1</v>
      </c>
      <c r="I51">
        <v>39</v>
      </c>
      <c r="J51" s="20">
        <v>1</v>
      </c>
      <c r="K51">
        <v>2</v>
      </c>
      <c r="L51">
        <v>12</v>
      </c>
      <c r="M51">
        <v>12</v>
      </c>
      <c r="N51">
        <v>12</v>
      </c>
      <c r="O51">
        <v>24</v>
      </c>
      <c r="P51" s="1">
        <v>0.61538499999999996</v>
      </c>
    </row>
    <row r="52" spans="1:16" x14ac:dyDescent="0.25">
      <c r="A52" t="s">
        <v>26</v>
      </c>
      <c r="C52">
        <f>SUBTOTAL(101,AgCon_room4_corr4[floors])</f>
        <v>137.63999999999999</v>
      </c>
      <c r="D52">
        <f>SUBTOTAL(101,AgCon_room4_corr4[walls])</f>
        <v>2362.36</v>
      </c>
      <c r="E52" s="2">
        <f>SUBTOTAL(101,AgCon_room4_corr4[floor_percent])</f>
        <v>5.5055999999999994E-2</v>
      </c>
      <c r="F52" s="2">
        <f>SUBTOTAL(101,AgCon_room4_corr4[wall_percent])</f>
        <v>0.94494400000000001</v>
      </c>
      <c r="G52">
        <f>SUBTOTAL(101,AgCon_room4_corr4[longest_shortest_path])</f>
        <v>36.340000000000003</v>
      </c>
      <c r="H52">
        <f>SUBTOTAL(101,AgCon_room4_corr4[component_count])</f>
        <v>1</v>
      </c>
      <c r="I52">
        <f>SUBTOTAL(101,AgCon_room4_corr4[max_component_size])</f>
        <v>137.63999999999999</v>
      </c>
      <c r="J52" s="20">
        <f>SUBTOTAL(101,AgCon_room4_corr4[connectivity_ratio])</f>
        <v>1</v>
      </c>
      <c r="K52">
        <f>SUBTOTAL(101,AgCon_room4_corr4[room_count])</f>
        <v>7.38</v>
      </c>
      <c r="L52">
        <f>SUBTOTAL(101,AgCon_room4_corr4[avg_room_size])</f>
        <v>12.094948680000002</v>
      </c>
      <c r="M52">
        <f>SUBTOTAL(101,AgCon_room4_corr4[max_room_size])</f>
        <v>12.52</v>
      </c>
      <c r="N52">
        <f>SUBTOTAL(101,AgCon_room4_corr4[min_room_size])</f>
        <v>12</v>
      </c>
      <c r="O52">
        <f>SUBTOTAL(101,AgCon_room4_corr4[room_tiles])</f>
        <v>89.36</v>
      </c>
      <c r="P52" s="2">
        <f>SUBTOTAL(101,AgCon_room4_corr4[room_ratio])</f>
        <v>0.644316</v>
      </c>
    </row>
    <row r="53" spans="1:16" x14ac:dyDescent="0.25">
      <c r="A53" s="19" t="s">
        <v>36</v>
      </c>
      <c r="B53" s="19"/>
      <c r="C53" s="19"/>
      <c r="D53" s="19"/>
    </row>
  </sheetData>
  <mergeCells count="1">
    <mergeCell ref="A53:D53"/>
  </mergeCells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75DA-7E54-41EE-A32D-B0938E4BA260}">
  <dimension ref="A1:L11"/>
  <sheetViews>
    <sheetView workbookViewId="0">
      <selection activeCell="C8" sqref="C8"/>
    </sheetView>
  </sheetViews>
  <sheetFormatPr defaultRowHeight="15" x14ac:dyDescent="0.25"/>
  <cols>
    <col min="1" max="1" width="14.140625" bestFit="1" customWidth="1"/>
    <col min="2" max="2" width="19.42578125" bestFit="1" customWidth="1"/>
    <col min="3" max="3" width="12.28515625" bestFit="1" customWidth="1"/>
    <col min="4" max="4" width="13.5703125" bestFit="1" customWidth="1"/>
    <col min="5" max="5" width="14.7109375" bestFit="1" customWidth="1"/>
    <col min="6" max="6" width="26.85546875" bestFit="1" customWidth="1"/>
    <col min="7" max="7" width="15.5703125" bestFit="1" customWidth="1"/>
    <col min="8" max="8" width="12.140625" bestFit="1" customWidth="1"/>
    <col min="9" max="9" width="14" bestFit="1" customWidth="1"/>
    <col min="10" max="10" width="15.28515625" bestFit="1" customWidth="1"/>
    <col min="11" max="11" width="26.85546875" bestFit="1" customWidth="1"/>
    <col min="12" max="12" width="16" bestFit="1" customWidth="1"/>
  </cols>
  <sheetData>
    <row r="1" spans="1:12" x14ac:dyDescent="0.25">
      <c r="A1" s="17" t="s">
        <v>17</v>
      </c>
      <c r="B1" s="17"/>
      <c r="C1" s="17" t="s">
        <v>19</v>
      </c>
      <c r="D1" s="17"/>
      <c r="E1" s="17"/>
      <c r="F1" s="17"/>
      <c r="G1" s="17"/>
      <c r="H1" s="18"/>
      <c r="I1" s="18"/>
      <c r="J1" s="18"/>
      <c r="K1" s="18"/>
      <c r="L1" s="18"/>
    </row>
    <row r="2" spans="1:12" ht="15.75" thickBot="1" x14ac:dyDescent="0.3">
      <c r="A2" s="5" t="s">
        <v>18</v>
      </c>
      <c r="B2" s="5" t="s">
        <v>25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9"/>
      <c r="I2" s="9"/>
      <c r="J2" s="9"/>
      <c r="K2" s="9"/>
      <c r="L2" s="9"/>
    </row>
    <row r="3" spans="1:12" x14ac:dyDescent="0.25">
      <c r="A3" s="4">
        <v>4</v>
      </c>
      <c r="B3" s="4">
        <v>4</v>
      </c>
      <c r="C3" s="13">
        <f>SUBTOTAL(101,AgCon_room4_corr4[floor_percent])</f>
        <v>5.5055999999999994E-2</v>
      </c>
      <c r="D3" s="14">
        <f>SUBTOTAL(101,AgCon_room4_corr4[longest_shortest_path])</f>
        <v>36.340000000000003</v>
      </c>
      <c r="E3" s="14">
        <f>SUBTOTAL(101,AgCon_room4_corr4[room_count])</f>
        <v>7.38</v>
      </c>
      <c r="F3" s="14">
        <f>SUBTOTAL(101,AgCon_room4_corr4[avg_room_size])</f>
        <v>12.094948680000002</v>
      </c>
      <c r="G3" s="15">
        <f>SUBTOTAL(101,AgCon_room4_corr4[room_ratio])</f>
        <v>0.644316</v>
      </c>
      <c r="H3" s="10"/>
      <c r="I3" s="11"/>
      <c r="J3" s="11"/>
      <c r="K3" s="11"/>
      <c r="L3" s="12"/>
    </row>
    <row r="4" spans="1:12" x14ac:dyDescent="0.25">
      <c r="A4" s="3">
        <v>4</v>
      </c>
      <c r="B4" s="3">
        <v>7</v>
      </c>
      <c r="C4" s="6">
        <f>SUBTOTAL(101,AgCon_room4_corr7[floor_percent])</f>
        <v>0.11629600000000001</v>
      </c>
      <c r="D4" s="7">
        <f>SUBTOTAL(101,AgCon_room4_corr7[longest_shortest_path])</f>
        <v>104</v>
      </c>
      <c r="E4" s="7">
        <f>SUBTOTAL(101,AgCon_room4_corr7[room_count])</f>
        <v>12.56</v>
      </c>
      <c r="F4" s="7">
        <f>SUBTOTAL(101,AgCon_room4_corr7[avg_room_size])</f>
        <v>12.155140579999999</v>
      </c>
      <c r="G4" s="8">
        <f>SUBTOTAL(101,AgCon_room4_corr7[room_ratio])</f>
        <v>0.51680792000000009</v>
      </c>
      <c r="H4" s="10"/>
      <c r="I4" s="11"/>
      <c r="J4" s="11"/>
      <c r="K4" s="11"/>
      <c r="L4" s="12"/>
    </row>
    <row r="5" spans="1:12" x14ac:dyDescent="0.25">
      <c r="A5" s="3">
        <v>4</v>
      </c>
      <c r="B5" s="3">
        <v>10</v>
      </c>
      <c r="C5" s="6">
        <f>SUBTOTAL(101,AgCon_room4_corr10[floor_percent])</f>
        <v>0.13052800000000001</v>
      </c>
      <c r="D5" s="7">
        <f>SUBTOTAL(101,AgCon_room4_corr10[longest_shortest_path])</f>
        <v>133.84</v>
      </c>
      <c r="E5" s="7">
        <f>SUBTOTAL(101,AgCon_room4_corr10[room_count])</f>
        <v>11.94</v>
      </c>
      <c r="F5" s="7">
        <f>SUBTOTAL(101,AgCon_room4_corr10[avg_room_size])</f>
        <v>12.459001919999999</v>
      </c>
      <c r="G5" s="8">
        <f>SUBTOTAL(101,AgCon_room4_corr10[room_ratio])</f>
        <v>0.45188730000000005</v>
      </c>
      <c r="H5" s="10"/>
      <c r="I5" s="11"/>
      <c r="J5" s="11"/>
      <c r="K5" s="11"/>
      <c r="L5" s="12"/>
    </row>
    <row r="6" spans="1:12" x14ac:dyDescent="0.25">
      <c r="A6" s="3">
        <v>7</v>
      </c>
      <c r="B6" s="3">
        <v>4</v>
      </c>
      <c r="C6" s="6">
        <f>SUBTOTAL(101,AgCon_room7_corr4[floor_percent])</f>
        <v>9.1015999999999972E-2</v>
      </c>
      <c r="D6" s="7">
        <f>SUBTOTAL(101,AgCon_room7_corr4[longest_shortest_path])</f>
        <v>33.44</v>
      </c>
      <c r="E6" s="7">
        <f>SUBTOTAL(101,AgCon_room7_corr4[room_count])</f>
        <v>5.62</v>
      </c>
      <c r="F6" s="7">
        <f>SUBTOTAL(101,AgCon_room7_corr4[avg_room_size])</f>
        <v>35.50859818</v>
      </c>
      <c r="G6" s="8">
        <f>SUBTOTAL(101,AgCon_room7_corr4[room_ratio])</f>
        <v>0.85018174000000013</v>
      </c>
      <c r="H6" s="10"/>
      <c r="I6" s="11"/>
      <c r="J6" s="11"/>
      <c r="K6" s="11"/>
      <c r="L6" s="12"/>
    </row>
    <row r="7" spans="1:12" x14ac:dyDescent="0.25">
      <c r="A7" s="3">
        <v>7</v>
      </c>
      <c r="B7" s="3">
        <v>7</v>
      </c>
      <c r="C7" s="6">
        <f>SUBTOTAL(101,AgCon_room7_corr7[floor_percent])</f>
        <v>0.19507200000000002</v>
      </c>
      <c r="D7" s="7">
        <f>SUBTOTAL(101,AgCon_room7_corr7[longest_shortest_path])</f>
        <v>84.52</v>
      </c>
      <c r="E7" s="7">
        <f>SUBTOTAL(101,AgCon_room7_corr7[room_count])</f>
        <v>9.4</v>
      </c>
      <c r="F7" s="7">
        <f>SUBTOTAL(101,AgCon_room7_corr7[avg_room_size])</f>
        <v>43.231691380000001</v>
      </c>
      <c r="G7" s="8">
        <f>SUBTOTAL(101,AgCon_room7_corr7[room_ratio])</f>
        <v>0.80544462000000039</v>
      </c>
      <c r="H7" s="10"/>
      <c r="I7" s="11"/>
      <c r="J7" s="11"/>
      <c r="K7" s="11"/>
      <c r="L7" s="12"/>
    </row>
    <row r="8" spans="1:12" x14ac:dyDescent="0.25">
      <c r="A8" s="3">
        <v>7</v>
      </c>
      <c r="B8" s="3">
        <v>10</v>
      </c>
      <c r="C8" s="6">
        <f>SUBTOTAL(101,AgCon_room7_corr10[floor_percent])</f>
        <v>0.216864</v>
      </c>
      <c r="D8" s="7">
        <f>SUBTOTAL(101,AgCon_room7_corr10[longest_shortest_path])</f>
        <v>117.58</v>
      </c>
      <c r="E8" s="7">
        <f>SUBTOTAL(101,AgCon_room7_corr10[room_count])</f>
        <v>9.5399999999999991</v>
      </c>
      <c r="F8" s="7">
        <f>SUBTOTAL(101,AgCon_room7_corr10[avg_room_size])</f>
        <v>43.038292440000006</v>
      </c>
      <c r="G8" s="8">
        <f>SUBTOTAL(101,AgCon_room7_corr10[room_ratio])</f>
        <v>0.74486354000000021</v>
      </c>
    </row>
    <row r="9" spans="1:12" x14ac:dyDescent="0.25">
      <c r="A9" s="3">
        <v>10</v>
      </c>
      <c r="B9" s="3">
        <v>4</v>
      </c>
      <c r="C9" s="6">
        <f>SUBTOTAL(101,AgCon_room10_corr4[floor_percent])</f>
        <v>0.1308</v>
      </c>
      <c r="D9" s="7">
        <f>SUBTOTAL(101,AgCon_room10_corr4[longest_shortest_path])</f>
        <v>39.46</v>
      </c>
      <c r="E9" s="7">
        <f>SUBTOTAL(101,AgCon_room10_corr4[room_count])</f>
        <v>5.56</v>
      </c>
      <c r="F9" s="7">
        <f>SUBTOTAL(101,AgCon_room10_corr4[avg_room_size])</f>
        <v>59.270245379999999</v>
      </c>
      <c r="G9" s="8">
        <f>SUBTOTAL(101,AgCon_room10_corr4[room_ratio])</f>
        <v>0.89280622000000009</v>
      </c>
    </row>
    <row r="10" spans="1:12" x14ac:dyDescent="0.25">
      <c r="A10" s="3">
        <v>10</v>
      </c>
      <c r="B10" s="3">
        <v>7</v>
      </c>
      <c r="C10" s="6">
        <f>SUBTOTAL(101,AgCon_room10_corr7[floor_percent])</f>
        <v>0.29949600000000004</v>
      </c>
      <c r="D10" s="7">
        <f>SUBTOTAL(101,AgCon_room10_corr7[longest_shortest_path])</f>
        <v>81.36</v>
      </c>
      <c r="E10" s="7">
        <f>SUBTOTAL(101,AgCon_room10_corr7[room_count])</f>
        <v>8.58</v>
      </c>
      <c r="F10" s="7">
        <f>SUBTOTAL(101,AgCon_room10_corr7[avg_room_size])</f>
        <v>81.343311639999996</v>
      </c>
      <c r="G10" s="8">
        <f>SUBTOTAL(101,AgCon_room10_corr7[room_ratio])</f>
        <v>0.90661480000000039</v>
      </c>
    </row>
    <row r="11" spans="1:12" x14ac:dyDescent="0.25">
      <c r="A11" s="3">
        <v>10</v>
      </c>
      <c r="B11" s="3">
        <v>10</v>
      </c>
      <c r="C11" s="6">
        <f>SUBTOTAL(101,AgCon_room10_corr10[floor_percent])</f>
        <v>0.32936799999999999</v>
      </c>
      <c r="D11" s="7">
        <f>SUBTOTAL(101,AgCon_room10_corr10[longest_shortest_path])</f>
        <v>120.18</v>
      </c>
      <c r="E11" s="7">
        <f>SUBTOTAL(101,AgCon_room10_corr10[room_count])</f>
        <v>8.66</v>
      </c>
      <c r="F11" s="7">
        <f>SUBTOTAL(101,AgCon_room10_corr10[avg_room_size])</f>
        <v>84.731349940000015</v>
      </c>
      <c r="G11" s="8">
        <f>SUBTOTAL(101,AgCon_room10_corr10[room_ratio])</f>
        <v>0.85760083999999992</v>
      </c>
    </row>
  </sheetData>
  <mergeCells count="3">
    <mergeCell ref="A1:B1"/>
    <mergeCell ref="C1:G1"/>
    <mergeCell ref="H1:L1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1BF20A-71E6-4F8A-ADA8-405497491B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AgCon_room10_corr7</vt:lpstr>
      <vt:lpstr>AgCon_room7_corr10</vt:lpstr>
      <vt:lpstr>AgCon_room7_corr7</vt:lpstr>
      <vt:lpstr>AgCon_room7_corr4</vt:lpstr>
      <vt:lpstr>AgCon_room4_corr7</vt:lpstr>
      <vt:lpstr>AgCon_room10_corr10</vt:lpstr>
      <vt:lpstr>AgCon_room10_corr4</vt:lpstr>
      <vt:lpstr>AgCon_room4_corr10</vt:lpstr>
      <vt:lpstr>AgCon_room4_corr4</vt:lpstr>
      <vt:lpstr>Souhrn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w8</dc:creator>
  <cp:lastModifiedBy>w8</cp:lastModifiedBy>
  <dcterms:created xsi:type="dcterms:W3CDTF">2026-04-18T12:47:52Z</dcterms:created>
  <dcterms:modified xsi:type="dcterms:W3CDTF">2026-04-21T09:48:57Z</dcterms:modified>
</cp:coreProperties>
</file>